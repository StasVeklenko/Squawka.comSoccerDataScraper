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228" codeName="{EFFCB103-AD96-A003-248E-DF2DB03C9060}"/>
  <workbookPr codeName="Workbook________" hidePivotFieldList="1" defaultThemeVersion="124226"/>
  <mc:AlternateContent xmlns:mc="http://schemas.openxmlformats.org/markup-compatibility/2006">
    <mc:Choice Requires="x15">
      <x15ac:absPath xmlns:x15ac="http://schemas.microsoft.com/office/spreadsheetml/2010/11/ac" url="C:\Users\HP10\AppData\Local\Programs\Python\Python35\Lib\site-packages\scrapy\projects\squawka\squawka\excel\"/>
    </mc:Choice>
  </mc:AlternateContent>
  <xr:revisionPtr revIDLastSave="0" documentId="10_ncr:8100000_{11065D5D-376F-4855-AF22-5B8172700158}" xr6:coauthVersionLast="34" xr6:coauthVersionMax="34" xr10:uidLastSave="{00000000-0000-0000-0000-000000000000}"/>
  <bookViews>
    <workbookView xWindow="204" yWindow="516" windowWidth="22716" windowHeight="8940" activeTab="1" xr2:uid="{00000000-000D-0000-FFFF-FFFF00000000}"/>
  </bookViews>
  <sheets>
    <sheet name="team-by-team match parameters" sheetId="3" r:id="rId1"/>
    <sheet name="Spain - correlation analysis" sheetId="11" r:id="rId2"/>
    <sheet name="Лист2" sheetId="17" state="hidden" r:id="rId3"/>
    <sheet name="Ideas" sheetId="18" r:id="rId4"/>
  </sheets>
  <calcPr calcId="162913"/>
</workbook>
</file>

<file path=xl/calcChain.xml><?xml version="1.0" encoding="utf-8"?>
<calcChain xmlns="http://schemas.openxmlformats.org/spreadsheetml/2006/main">
  <c r="BJ80" i="11" l="1"/>
  <c r="BI80" i="11"/>
  <c r="BH80" i="11"/>
  <c r="BG80" i="11"/>
  <c r="BG75" i="11"/>
  <c r="BH75" i="11"/>
  <c r="BI75" i="11"/>
  <c r="BJ75" i="11"/>
  <c r="BJ72" i="11"/>
  <c r="BI72" i="11"/>
  <c r="BH72" i="11"/>
  <c r="BG72" i="11"/>
  <c r="BJ70" i="11"/>
  <c r="BI70" i="11"/>
  <c r="BH70" i="11"/>
  <c r="BG70" i="11"/>
  <c r="BJ68" i="11"/>
  <c r="BI68" i="11"/>
  <c r="BH68" i="11"/>
  <c r="BG68" i="11"/>
  <c r="BJ65" i="11"/>
  <c r="BI65" i="11"/>
  <c r="BH65" i="11"/>
  <c r="BG65" i="11"/>
  <c r="AW80" i="11"/>
  <c r="AX80" i="11"/>
  <c r="AZ80" i="11"/>
  <c r="AZ75" i="11"/>
  <c r="AY75" i="11"/>
  <c r="AX75" i="11"/>
  <c r="AW75" i="11"/>
  <c r="AQ87" i="11"/>
  <c r="BX29" i="11"/>
  <c r="BY29" i="11"/>
  <c r="CA29" i="11"/>
  <c r="BZ29" i="11"/>
  <c r="AS35" i="11"/>
  <c r="AS36" i="11"/>
  <c r="AS37" i="11"/>
  <c r="AS38" i="11"/>
  <c r="AS39" i="11"/>
  <c r="AS40" i="11"/>
  <c r="AS41" i="11"/>
  <c r="AS42" i="11"/>
  <c r="AS43" i="11"/>
  <c r="AS44" i="11"/>
  <c r="AS45" i="11"/>
  <c r="AS34" i="11"/>
  <c r="AS53" i="11"/>
  <c r="AS54" i="11"/>
  <c r="AS55" i="11"/>
  <c r="AS56" i="11"/>
  <c r="AS57" i="11"/>
  <c r="AS58" i="11"/>
  <c r="AS59" i="11"/>
  <c r="AS60" i="11"/>
  <c r="AS61" i="11"/>
  <c r="AS62" i="11"/>
  <c r="AS63" i="11"/>
  <c r="AS52" i="11"/>
  <c r="BO49" i="11"/>
  <c r="BO50" i="11"/>
  <c r="BO51" i="11"/>
  <c r="BO52" i="11"/>
  <c r="BO53" i="11"/>
  <c r="BO54" i="11"/>
  <c r="BO55" i="11"/>
  <c r="BO56" i="11"/>
  <c r="BO57" i="11"/>
  <c r="BO58" i="11"/>
  <c r="BO59" i="11"/>
  <c r="BO48" i="11"/>
  <c r="AQ86" i="11"/>
  <c r="AQ88" i="11"/>
  <c r="AQ89" i="11"/>
  <c r="AQ90" i="11"/>
  <c r="AQ91" i="11"/>
  <c r="AQ92" i="11"/>
  <c r="AQ93" i="11"/>
  <c r="AQ94" i="11"/>
  <c r="AQ95" i="11"/>
  <c r="AQ96" i="11"/>
  <c r="AQ85" i="11"/>
  <c r="BO34" i="11"/>
  <c r="BO35" i="11"/>
  <c r="BO36" i="11"/>
  <c r="BO37" i="11"/>
  <c r="BO38" i="11"/>
  <c r="BO39" i="11"/>
  <c r="BO40" i="11"/>
  <c r="BO41" i="11"/>
  <c r="BO42" i="11"/>
  <c r="BO43" i="11"/>
  <c r="BO44" i="11"/>
  <c r="BO33" i="11"/>
  <c r="BN34" i="11"/>
  <c r="BN35" i="11"/>
  <c r="BN36" i="11"/>
  <c r="BN37" i="11"/>
  <c r="BN38" i="11"/>
  <c r="BN39" i="11"/>
  <c r="BN40" i="11"/>
  <c r="BN41" i="11"/>
  <c r="BN42" i="11"/>
  <c r="BN43" i="11"/>
  <c r="BN44" i="11"/>
  <c r="BN33" i="11"/>
  <c r="BN49" i="11"/>
  <c r="BN50" i="11"/>
  <c r="BN51" i="11"/>
  <c r="BN52" i="11"/>
  <c r="BN53" i="11"/>
  <c r="BN54" i="11"/>
  <c r="BN55" i="11"/>
  <c r="BN56" i="11"/>
  <c r="BN57" i="11"/>
  <c r="BN58" i="11"/>
  <c r="BN59" i="11"/>
  <c r="BN48" i="11"/>
  <c r="AZ65" i="11"/>
  <c r="AR53" i="11"/>
  <c r="AR54" i="11"/>
  <c r="AR55" i="11"/>
  <c r="AR56" i="11"/>
  <c r="AR57" i="11"/>
  <c r="AR58" i="11"/>
  <c r="AR59" i="11"/>
  <c r="AR60" i="11"/>
  <c r="AR61" i="11"/>
  <c r="AR62" i="11"/>
  <c r="AR63" i="11"/>
  <c r="AR52" i="11"/>
  <c r="AZ72" i="11"/>
  <c r="AZ70" i="11"/>
  <c r="AZ68" i="11"/>
  <c r="AY80" i="11"/>
  <c r="AY68" i="11"/>
  <c r="AY72" i="11"/>
  <c r="AY70" i="11"/>
  <c r="AY65" i="11"/>
  <c r="AX72" i="11"/>
  <c r="AW72" i="11"/>
  <c r="AX68" i="11"/>
  <c r="AW68" i="11"/>
  <c r="AX65" i="11"/>
  <c r="AW65" i="11"/>
  <c r="AX70" i="11"/>
  <c r="AW70" i="11"/>
  <c r="A6" i="3" l="1"/>
  <c r="A14" i="3"/>
  <c r="A15" i="3"/>
  <c r="A16" i="3"/>
  <c r="A17" i="3"/>
  <c r="A20" i="3"/>
  <c r="A21" i="3"/>
  <c r="A22" i="3"/>
  <c r="A23" i="3"/>
  <c r="A26" i="3"/>
  <c r="A32" i="3"/>
  <c r="A33" i="3"/>
  <c r="A38" i="3"/>
  <c r="A39" i="3"/>
  <c r="A40" i="3"/>
  <c r="A41" i="3"/>
  <c r="A42" i="3"/>
  <c r="A5" i="3"/>
  <c r="OX2" i="3" l="1"/>
  <c r="OB2" i="3"/>
  <c r="EX44" i="3" l="1"/>
  <c r="EY44" i="3"/>
  <c r="WX44" i="3"/>
  <c r="ACX48" i="3" s="1"/>
  <c r="WY44" i="3"/>
  <c r="EX45" i="3"/>
  <c r="EY45" i="3"/>
  <c r="WX45" i="3"/>
  <c r="ACX49" i="3" s="1"/>
  <c r="WY45" i="3"/>
  <c r="ACY49" i="3" s="1"/>
  <c r="ACM48" i="3"/>
  <c r="ACN48" i="3"/>
  <c r="ACO48" i="3"/>
  <c r="ACP48" i="3"/>
  <c r="ACQ48" i="3"/>
  <c r="ACR48" i="3"/>
  <c r="ACS48" i="3"/>
  <c r="ACT48" i="3"/>
  <c r="ACV48" i="3"/>
  <c r="ADA48" i="3"/>
  <c r="ACM49" i="3"/>
  <c r="ACN49" i="3"/>
  <c r="ACO49" i="3"/>
  <c r="ACP49" i="3"/>
  <c r="ACQ49" i="3"/>
  <c r="ACR49" i="3"/>
  <c r="ACS49" i="3"/>
  <c r="ACT49" i="3"/>
  <c r="ACV49" i="3"/>
  <c r="ADA49" i="3"/>
  <c r="O80" i="3"/>
  <c r="P80" i="3" s="1"/>
  <c r="I80" i="3"/>
  <c r="J80" i="3" s="1"/>
  <c r="ACY48" i="3" l="1"/>
  <c r="Q80" i="3"/>
  <c r="R80" i="3" s="1"/>
  <c r="Q81" i="3"/>
  <c r="R81" i="3" s="1"/>
  <c r="Q82" i="3"/>
  <c r="R82" i="3" s="1"/>
  <c r="Q83" i="3"/>
  <c r="R83" i="3" s="1"/>
  <c r="Q84" i="3"/>
  <c r="R84" i="3" s="1"/>
  <c r="Q85" i="3"/>
  <c r="R85" i="3" s="1"/>
  <c r="Q86" i="3"/>
  <c r="R86" i="3" s="1"/>
  <c r="Q87" i="3"/>
  <c r="R87" i="3" s="1"/>
  <c r="Q88" i="3"/>
  <c r="R88" i="3" s="1"/>
  <c r="Q89" i="3"/>
  <c r="R89" i="3" s="1"/>
  <c r="Q90" i="3"/>
  <c r="R90" i="3" s="1"/>
  <c r="Q91" i="3"/>
  <c r="R91" i="3" s="1"/>
  <c r="I81" i="3"/>
  <c r="J81" i="3" s="1"/>
  <c r="O81" i="3"/>
  <c r="P81" i="3" s="1"/>
  <c r="O82" i="3"/>
  <c r="P82" i="3" s="1"/>
  <c r="O83" i="3"/>
  <c r="P83" i="3" s="1"/>
  <c r="O84" i="3"/>
  <c r="P84" i="3" s="1"/>
  <c r="O85" i="3"/>
  <c r="P85" i="3" s="1"/>
  <c r="O86" i="3"/>
  <c r="P86" i="3" s="1"/>
  <c r="O87" i="3"/>
  <c r="P87" i="3" s="1"/>
  <c r="O88" i="3"/>
  <c r="P88" i="3" s="1"/>
  <c r="O89" i="3"/>
  <c r="P89" i="3" s="1"/>
  <c r="O90" i="3"/>
  <c r="P90" i="3" s="1"/>
  <c r="O91" i="3"/>
  <c r="P91" i="3" s="1"/>
  <c r="M80" i="3"/>
  <c r="N80" i="3" s="1"/>
  <c r="M81" i="3"/>
  <c r="N81" i="3" s="1"/>
  <c r="M82" i="3"/>
  <c r="N82" i="3" s="1"/>
  <c r="M83" i="3"/>
  <c r="N83" i="3" s="1"/>
  <c r="M84" i="3"/>
  <c r="N84" i="3" s="1"/>
  <c r="M85" i="3"/>
  <c r="N85" i="3" s="1"/>
  <c r="M86" i="3"/>
  <c r="N86" i="3" s="1"/>
  <c r="M87" i="3"/>
  <c r="N87" i="3" s="1"/>
  <c r="M88" i="3"/>
  <c r="N88" i="3" s="1"/>
  <c r="M89" i="3"/>
  <c r="N89" i="3" s="1"/>
  <c r="M90" i="3"/>
  <c r="N90" i="3" s="1"/>
  <c r="M91" i="3"/>
  <c r="N91" i="3" s="1"/>
  <c r="K80" i="3"/>
  <c r="L80" i="3" s="1"/>
  <c r="K81" i="3"/>
  <c r="L81" i="3" s="1"/>
  <c r="K82" i="3"/>
  <c r="L82" i="3" s="1"/>
  <c r="K83" i="3"/>
  <c r="L83" i="3" s="1"/>
  <c r="K84" i="3"/>
  <c r="L84" i="3" s="1"/>
  <c r="K85" i="3"/>
  <c r="L85" i="3" s="1"/>
  <c r="K86" i="3"/>
  <c r="L86" i="3" s="1"/>
  <c r="K87" i="3"/>
  <c r="L87" i="3" s="1"/>
  <c r="K88" i="3"/>
  <c r="L88" i="3" s="1"/>
  <c r="K89" i="3"/>
  <c r="L89" i="3" s="1"/>
  <c r="K90" i="3"/>
  <c r="L90" i="3" s="1"/>
  <c r="K91" i="3"/>
  <c r="L91" i="3" s="1"/>
  <c r="I82" i="3"/>
  <c r="J82" i="3" s="1"/>
  <c r="I83" i="3"/>
  <c r="J83" i="3" s="1"/>
  <c r="I84" i="3"/>
  <c r="J84" i="3" s="1"/>
  <c r="I85" i="3"/>
  <c r="J85" i="3" s="1"/>
  <c r="I86" i="3"/>
  <c r="J86" i="3" s="1"/>
  <c r="I87" i="3"/>
  <c r="J87" i="3" s="1"/>
  <c r="I88" i="3"/>
  <c r="J88" i="3" s="1"/>
  <c r="I89" i="3"/>
  <c r="J89" i="3" s="1"/>
  <c r="I90" i="3"/>
  <c r="J90" i="3" s="1"/>
  <c r="I91" i="3"/>
  <c r="J91" i="3" s="1"/>
  <c r="P92" i="3" l="1"/>
  <c r="R92" i="3"/>
  <c r="J92" i="3"/>
  <c r="L92" i="3"/>
  <c r="N92" i="3"/>
</calcChain>
</file>

<file path=xl/sharedStrings.xml><?xml version="1.0" encoding="utf-8"?>
<sst xmlns="http://schemas.openxmlformats.org/spreadsheetml/2006/main" count="6993" uniqueCount="760">
  <si>
    <t xml:space="preserve">        -&gt;</t>
  </si>
  <si>
    <t xml:space="preserve">       -&gt;</t>
  </si>
  <si>
    <t xml:space="preserve">         -&gt;</t>
  </si>
  <si>
    <t>La Liga</t>
  </si>
  <si>
    <t>2015/16</t>
  </si>
  <si>
    <t>Barcelona</t>
  </si>
  <si>
    <t>Real Madrid</t>
  </si>
  <si>
    <t>Atletico Madrid</t>
  </si>
  <si>
    <t>Villarreal</t>
  </si>
  <si>
    <t>Athletic Club</t>
  </si>
  <si>
    <t>Celta Vigo</t>
  </si>
  <si>
    <t>Sevilla</t>
  </si>
  <si>
    <t>Malaga</t>
  </si>
  <si>
    <t>Real Sociedad</t>
  </si>
  <si>
    <t>Real Betis</t>
  </si>
  <si>
    <t>Las Palmas</t>
  </si>
  <si>
    <t>Deportivo La Coruna</t>
  </si>
  <si>
    <t>Valencia</t>
  </si>
  <si>
    <t>Espanyol</t>
  </si>
  <si>
    <t>Eibar</t>
  </si>
  <si>
    <t>Granada</t>
  </si>
  <si>
    <t>Rayo Vallecano</t>
  </si>
  <si>
    <t>Getafe</t>
  </si>
  <si>
    <t>Levante</t>
  </si>
  <si>
    <t>Брать динамику изменения pass success</t>
  </si>
  <si>
    <t>для начала посмотреть, как меняется pass success от матча к матчу (держиться ли он возле какого-то среднего, как влияет pass success соперника за какое-то предыдущее n матчей на pass success нашей команды)</t>
  </si>
  <si>
    <t>Смотрим на серию pass successes, зависит ли pass success в нашем матче от предыдущих матчей нашей команды (скачет или не скачет, может быть, падает сериями, как зависит от pass success (или другого фактора) соперника в предыдущих матчах; может быть, два pass success в матче как-то зависят друг от друга вне зависимости от соперников и соблюдаются согласно какому-то закону, то есть соблюдается их сумма или их продукт и тд;</t>
  </si>
  <si>
    <t>может быть, нужно сравнить двух недавних соперников команды (похожих друг на друга по классу), и чем ближе они по классу (pass success etc.) друг к другу, тем одинаковее команда будет играть в обоих матчах с ними (ну и параметры будут похожи соответственно)</t>
  </si>
  <si>
    <t>pass success</t>
  </si>
  <si>
    <t>может быть, средняя реализация за какое-то n матчей соблюдается? (то есть остается приблизительно на одном уровне)</t>
  </si>
  <si>
    <t>может быть, если растет pass success, то и кол-во ударов на каждый гол падает (повышение качества игры отражается на всех параметрах)</t>
  </si>
  <si>
    <t>то есть, может быть, какие-то параметры растут и падают вместе?</t>
  </si>
  <si>
    <t>может быть, команда бьет один дополнительный удар на каждый повышенный процент pass success</t>
  </si>
  <si>
    <t>Идеи связанные с pass success</t>
  </si>
  <si>
    <t>Sporting Gijon</t>
  </si>
  <si>
    <t>possession</t>
  </si>
  <si>
    <t>(matches in chronological order)</t>
  </si>
  <si>
    <t>или: чем выше pass success, тем выше реализация (в плане голов или в плане ударов - проверить все)</t>
  </si>
  <si>
    <t>по-моему, есть какая-то зависимость между shots on target/shots per game или goals scored/shots per game и pass success (прямая? - проверить)</t>
  </si>
  <si>
    <t>чем ниже pass success, тем ниже possession???</t>
  </si>
  <si>
    <t>проверить зависимость pass success нашей команды от среднего pass success соперника в предыдущих матчах - наверняка она будет!</t>
  </si>
  <si>
    <t>нужно взять разные параметры: pass success, dispossessions/tackles, % of shots that were on target - и посмотреть какой из этих лучше всего предсказывает победу в матче (то есть когда перевес в каком-то параметре чаще всего сопровождается и перевесом в счёте; посмотреть на разных лигах, как будет там!)</t>
  </si>
  <si>
    <t>сначала это:</t>
  </si>
  <si>
    <t xml:space="preserve">               -&gt;</t>
  </si>
  <si>
    <t>найдя параметр, можно приступать к его зависимости от предыдущих матчей</t>
  </si>
  <si>
    <t>также проверить: если pass success наиболее точный предсказатель класса, то может быть в матчах в которых он ошибочно предсказывает, другой параметр предскажет точно!</t>
  </si>
  <si>
    <t>tackles</t>
  </si>
  <si>
    <t>если исследуем tackles - посмотреть сколько этих tackles было у нашего соперника в нашем матче. Затем исследовать предыдущие матчи предыдущих 5 соперников на среднее, посмотреть какие tackles получились</t>
  </si>
  <si>
    <t>чтобы упростить задачу по tackles, можно разобрать по отдельности для каждого игрока, посмотреть сколько каждый игрок забирал мячей</t>
  </si>
  <si>
    <t>продумать концепт средней команды?</t>
  </si>
  <si>
    <t>метод 1:</t>
  </si>
  <si>
    <t>метод 2:</t>
  </si>
  <si>
    <t>4 matches</t>
  </si>
  <si>
    <t>5 matches</t>
  </si>
  <si>
    <t>7 matches</t>
  </si>
  <si>
    <t>8 matches</t>
  </si>
  <si>
    <t>посмотреть также для домашних/выездных матчей</t>
  </si>
  <si>
    <t>aerials won</t>
  </si>
  <si>
    <t>dribbles</t>
  </si>
  <si>
    <t>определить интервал для ничьи</t>
  </si>
  <si>
    <t>dispossessed</t>
  </si>
  <si>
    <t>shots on target</t>
  </si>
  <si>
    <t>score</t>
  </si>
  <si>
    <t>разница между показателями pass success в победных матчах? (чем больше разница, тем более вероятно что тот у кого больше победил)</t>
  </si>
  <si>
    <t>что если взять только домашние матчи и только выездные? В какую сторону склониться статистика?</t>
  </si>
  <si>
    <t>класс не проявляется сразу вместе во всех параметрах: он проявляется как минимум в одном, в остальных он может и уступить</t>
  </si>
  <si>
    <t>задача: определить в каком параметре сейчас он будет самым весомым (то есть, уступив в каком параметре, команда выше классом имеет наибольший риск проиграть)</t>
  </si>
  <si>
    <t xml:space="preserve">          -&gt;</t>
  </si>
  <si>
    <t xml:space="preserve">по предыдущим матчам (5, 6, 7…) посмотреть: сколько матчей команда скорее всего </t>
  </si>
  <si>
    <t xml:space="preserve">              -&gt;</t>
  </si>
  <si>
    <t>возможно, класс определяется процентом удачных пасов в первом тайме (так как во втором соперник может отдать мяч своему сопу и т.д., и тот будет перепасовываться на своей половине)</t>
  </si>
  <si>
    <t>возможно из этих данных можно определить стиль игры</t>
  </si>
  <si>
    <t>смотреть зависимость каждого из параметров от предыдущих n матчей по отдельности (но зависимость такую: при каком n среднее за последние n (среднее либо рассчитанное как-то по-другому) при сравнении с тем же средним для соперника будет так же сравниваться и в матче)</t>
  </si>
  <si>
    <t xml:space="preserve">возможно, так можно будет определить количество матчей n + то как параметры всё-таки влияют на успех команды в матче </t>
  </si>
  <si>
    <t>цепочка из параметров: если 1 не сработал - использовать следующий?</t>
  </si>
  <si>
    <t>можно определять вероятное количество чего-то по тому каким оно сделает среднее за последние n матчей, например оно не может сделать среднее за последние n матчей выше чем какое-то значение ибо мы так рассчитали, и поэтому может быть только в диапазоне от такого-то до такого-то</t>
  </si>
  <si>
    <t xml:space="preserve">после того как посчитаю то что считаю сейчас, надо будет: </t>
  </si>
  <si>
    <t>расчёт того кто победит (не голов пока что):</t>
  </si>
  <si>
    <t>а) модифицировать способ подсчёта параметра (разбить на игроков; использовать взвешенные, сложные средние за предыдущие матчи)</t>
  </si>
  <si>
    <t>б) добавить других параметров в подсчёт, такие как tackles (самый важный), возможно он будет добавлен так: если у команды высокий показатель tackles, то она способна понизить показатель shots on t/shots total у соперника, таким образом склонив шансы на свою сторону; посмотреть как она понижала шансы других команд в других матчах, используя расчёт того каким должно было быть shot efficiency и каким оно реально было (возможно, использовать концепт "средней" команды здесь)</t>
  </si>
  <si>
    <t>важно: tackles влияет на shot efficiency, а не наоборот</t>
  </si>
  <si>
    <t>следовательно, можно использовать первое чтобы правильнее рассчитать второе</t>
  </si>
  <si>
    <t>shot efficiency</t>
  </si>
  <si>
    <t>mixture distribution of goals? And then probability for each number of shots is calculated the same way from a mixture distribution too?</t>
  </si>
  <si>
    <t>prob. Distr. For tackles -&gt; prob. Distr. For shots -&gt; prob. Distr. For goals</t>
  </si>
  <si>
    <t>если это идея связанная с анализом кол-ва голов для любого количества ударов, то вторая идея - анализ кол-ва голов для какого-то определенного количества ударов по воротам</t>
  </si>
  <si>
    <t>для каждого из параметров - tackles, shots, goals - нужно исследовать как будет меняться каждый раз распределение; НО для этого нужно понять между какими параметрами самая близкая связь (что, возможно, я и буду делать в своей предыдущей идее), затем идти по принципу исследования распределений для какого-то фиксированного параметра (скажем, для shots on target = 5, исследовать распределение голов; затем для shots = 4 исследовать распределение голов и т.д.); нужно посмотреть как будет меняться распределение с каждым шагом от параметра к параметру</t>
  </si>
  <si>
    <t>joint probability distribution gives out a certain probability depending on number of shots and number of, say, tackles. That probability is used for calculating goals</t>
  </si>
  <si>
    <t>по тому что предыдущие матчи по tackles предсказывают одинаково результат и сами tackles, можно сказать что между ними тремя есть интересная зависимость, joint distribution?</t>
  </si>
  <si>
    <t>как связать совпадение перевеса в счёте и перевеса в tackles, а также среднего по tackles за предыдущие матчи? Можно обьяснить это так: tackles и score зависят от tackles в предыдущих матчах приблизительно (по похожих функциях), и поэтому проявляются частые совпадения; надо посмотреть по матчах которые будут, посмотреть насколько частыми будут эти совпадения для среднего по tackles за предыдущие матчи, и для других параметров тоже - если чем меньше процент совпадающих матчей по параметру за теперешний матч, то и совпадение по среднему тому же параметру за предыдущие матчи будет меньше между score и этим параметром в нынешнем матче</t>
  </si>
  <si>
    <t xml:space="preserve">probability distribution of goals better resembles probability distribution of shots on target, because they both have probability distributions of similar form (as we go along the chain of "parameters" (say tackles-&gt;dribbles-&gt;shot efficiency-&gt;shots on target), the probability distribution for each parameter comes closer and closer to the probability distribution of goals) - in other words, if we have a prob. distribution of goals equal to sum of pi*F(xi), then all F(xi) are of more and more similar form and difference between max(p(i)) and min(p(i)) is becoming bigger and bigger; that way, the final distribution of goals resembles only a few F(xi) much more rather than if F(xi) were all of different forms </t>
  </si>
  <si>
    <t>tackles-&gt;dribbles-&gt;shot efficiency-&gt;shots on target - a similar kind of chain will be for probability distributions, however, it will be a mix of a chain and tree (that is, some parameters will have 2+ arguments, but in the end it will look like a chain leading to the final amount of number of correct goals) - however, it can all combine into 1 big formula for calculating probability distribution for goals</t>
  </si>
  <si>
    <t>Приоритет:</t>
  </si>
  <si>
    <t>Нужно поиграться с mixture distributions, поподставлять разные p и F(x) в, например, предположительную зависимость голов от ударов в створ/эффективности ударов. Перед этим нужно, конечно же, исследовать распределения голов и ударов в створ/эффективности ударов. Нужно посмотреть на графики и попытаться поиграться с параметрами в mixture distribution, чтобы из распределения ударов в створ/эффективности ударов получалось распределение голов</t>
  </si>
  <si>
    <t>сделать анализ для средних из предыдущих матчей для goals, shots on target, shot efficiency, and some 4th parameter</t>
  </si>
  <si>
    <t>Посмотреть, будут ли эти параметры так же рангироваться по предсказанию будущих матчей как они рангируются по предсказанию нынешних (теперешних) матчей, то есть goals -&gt; shots on target -&gt; shot efficiency и т.д. Чем выше по рангу, тем лучший представитель класса?</t>
  </si>
  <si>
    <t>но главная идея вот в чем:</t>
  </si>
  <si>
    <t xml:space="preserve">основная проблема по которой перевес по результату не всегда соответствует перевесу по среднему из какого-то параметра за предыдущие n матчей, является то что команды играют с разными командами в предыдущих 5-6 матчах; </t>
  </si>
  <si>
    <t>теория в том, что средние будут более предсказательными (например, 70% матчей вместо 50% матчей) тогда когда команды будут играть с похожими соперниками в предыдущих матчах (и я в данном случае говорю о средних из, наверняка, любых параметров - tackles, dispossessed, shot efficiency etc.)</t>
  </si>
  <si>
    <t>нужно взять матчи угаданные по перевесу для какого-то параметра, посмотреть сколько в среднем у обоих команд было одинаковых соперников для кол-ва матчей n из которых рассчитывался перевес по параметру; затем сделать то же самое, но для матчей не угаданных по перевесу; сравнить средние по одинаковым командам</t>
  </si>
  <si>
    <t>хотя это может быть необьективно, ибо количество матчей будет разное; тогда сделать так: найти все средние где количество одинаковых соперников за последние n матчей было больше или равно какого-то k (скажем, 4), и посмотреть, какая пропорция этих групп предсказали перевес по какому-то параметру верно, а сколько неверно</t>
  </si>
  <si>
    <t>Идея в основном связанные с joint distribution для разных параметров</t>
  </si>
  <si>
    <t>Идеи в основном связанные с mixture distribution для голов от ударов в створ/эффективности ударов/других</t>
  </si>
  <si>
    <t>Идеи связанные с разными параметрами и расчётами среднего</t>
  </si>
  <si>
    <t>также этот метод будет использован для нахождения какого-то количества матчей n которое является самым обьективным, то есть: для разных параметров нужно посмотреть какое кол-во предыдущих матчей n наиболее часто предсказывает перевес (то есть этот n должен быть общим для всех/большинства параметров)</t>
  </si>
  <si>
    <t>возможно, нужно так же посчитать перевес по параметру не только для score, но и для самого себя (past tackles -&gt; tackles, dispossessions -&gt; dispossessions etc.)</t>
  </si>
  <si>
    <t xml:space="preserve">берем какое-то количество предыдущих матчей, считаем среднее, сравниваем для обоих соперников, смотрим у какого соперника больше, смотрим реально ли было во время матча больше </t>
  </si>
  <si>
    <t>методы расчёта средних:</t>
  </si>
  <si>
    <t>берём последние n матчей нашей команды и параметр в них, для каждого соперника в этом матче берём взвешенное среднее за последние n матчей (как берём: если, допустим, в матче с какой-то командой A было 19 tackles (tackles как пример), но у той команды A среднее за ЕЁ последние n матчей было 22, берём 19 и умножаем на 19/22; для этого соперника взвешенное, возможно, уже и не нужно будет считать, ибо оно не будет сильно влиять на результат; возможно, лучше использовать не tackles противника, а действия идущие против tackles (или соответствующего параметра расчёта) нашей команды, например (посмотреть какие это будут, возможно, dispossessions)); рассчитав взвешенные средние для каждой команды A, берём каждое из них и рассчитываем по такому же методу взвешенное среднее и для нашей команды (по сути получается такое себе мета-взвешенное среднее, ибо чтобы рассчитать такое взвешенное среднее, нужно рассчитать сначала другие взвешенные средние)</t>
  </si>
  <si>
    <t>этот метод расчёта взвешенных средних можно "перенести" на mixture distributions и использовать "аналог" там, но вместо средних использовать вероятности, распределения и т.д.</t>
  </si>
  <si>
    <t>time series analysis для разных команд, сопоставление предыдущих соперников наших команд по времени каким-то образом, так их сравнивая</t>
  </si>
  <si>
    <t>проверить распределение голов: если будет похоже на нормальное распределение при увеличении количества n (то бишь матчей), то можно попытаться приложить сюда центральную предельную теорему - а именно предположить что параметр (количество голов) является суммой независимых или слабо зависимых подпараметров; эти подпараметры могут являются результатами перерасчёта (допустим, перерасчёт tackles уменьшает его и т.д.), для того чтобы каждый из подпараметров не сильно влиял на конечный результат, то есть количество голов</t>
  </si>
  <si>
    <t>возможно, это нормальное распределение будет состоять не из "чистых" численных параметров, а из, допустим, других распределений (посмотреть на распределение наших вероятных подпараметров, посмотреть какие из них при комбинациях будут вероятнее всего давать голы, попробовать из их распределений дать распределение голов? - по сути, исследовать какие распределения могут быть комбинациями других распределений; также исследовать может ли какое-то количество голов быть как-то рассчитано из распределений для других параметров, то есть оно будет суммой для комбинации из, возможно, одних и тех же подпараметров, но, конечно же, с разными вероятностями для каждого количества голов, то есть для каждого количества голов у каждого подпараметра может быть разная вероятность, НО одни и те же распределения для каждого количества голов, ЛИБО вообще разные распределения для каждого количества голов (использовать количество голов как "дано" (после |)? чтобы получше рассмотреть зависимость; а там уже и joint distribution в числителе может появиться)</t>
  </si>
  <si>
    <t>shots</t>
  </si>
  <si>
    <t>shot efficiency difference</t>
  </si>
  <si>
    <t>tackles difference</t>
  </si>
  <si>
    <t>0.0%</t>
  </si>
  <si>
    <t>67%</t>
  </si>
  <si>
    <t>32.6%</t>
  </si>
  <si>
    <t>21.43%</t>
  </si>
  <si>
    <t>84%</t>
  </si>
  <si>
    <t>61.7%</t>
  </si>
  <si>
    <t>12.5%</t>
  </si>
  <si>
    <t>74%</t>
  </si>
  <si>
    <t>38.3%</t>
  </si>
  <si>
    <t>50.0%</t>
  </si>
  <si>
    <t>62%</t>
  </si>
  <si>
    <t>34.4%</t>
  </si>
  <si>
    <t>27.27%</t>
  </si>
  <si>
    <t>78%</t>
  </si>
  <si>
    <t>65.6%</t>
  </si>
  <si>
    <t>25.0%</t>
  </si>
  <si>
    <t>61%</t>
  </si>
  <si>
    <t>40.0%</t>
  </si>
  <si>
    <t>81%</t>
  </si>
  <si>
    <t>67.4%</t>
  </si>
  <si>
    <t>87%</t>
  </si>
  <si>
    <t>70.8%</t>
  </si>
  <si>
    <t>18.18%</t>
  </si>
  <si>
    <t>68%</t>
  </si>
  <si>
    <t>29.2%</t>
  </si>
  <si>
    <t>20.0%</t>
  </si>
  <si>
    <t>73%</t>
  </si>
  <si>
    <t>42.8%</t>
  </si>
  <si>
    <t>80%</t>
  </si>
  <si>
    <t>57.2%</t>
  </si>
  <si>
    <t>22.22%</t>
  </si>
  <si>
    <t>71%</t>
  </si>
  <si>
    <t>43.1%</t>
  </si>
  <si>
    <t>31.25%</t>
  </si>
  <si>
    <t>56.9%</t>
  </si>
  <si>
    <t>69%</t>
  </si>
  <si>
    <t>43.2%</t>
  </si>
  <si>
    <t>37.5%</t>
  </si>
  <si>
    <t>76%</t>
  </si>
  <si>
    <t>56.8%</t>
  </si>
  <si>
    <t>66%</t>
  </si>
  <si>
    <t>33.5%</t>
  </si>
  <si>
    <t>23.08%</t>
  </si>
  <si>
    <t>66.5%</t>
  </si>
  <si>
    <t>42.9%</t>
  </si>
  <si>
    <t>77%</t>
  </si>
  <si>
    <t>57.1%</t>
  </si>
  <si>
    <t>29.63%</t>
  </si>
  <si>
    <t>14.29%</t>
  </si>
  <si>
    <t>30.9%</t>
  </si>
  <si>
    <t>41.18%</t>
  </si>
  <si>
    <t>28.0%</t>
  </si>
  <si>
    <t>82%</t>
  </si>
  <si>
    <t>62.5%</t>
  </si>
  <si>
    <t>28.57%</t>
  </si>
  <si>
    <t>79%</t>
  </si>
  <si>
    <t>57.4%</t>
  </si>
  <si>
    <t>60.0%</t>
  </si>
  <si>
    <t>42.6%</t>
  </si>
  <si>
    <t>11.11%</t>
  </si>
  <si>
    <t>75%</t>
  </si>
  <si>
    <t>88.89%</t>
  </si>
  <si>
    <t>63.64%</t>
  </si>
  <si>
    <t>86%</t>
  </si>
  <si>
    <t>64.8%</t>
  </si>
  <si>
    <t>35.2%</t>
  </si>
  <si>
    <t>25.1%</t>
  </si>
  <si>
    <t>59.09%</t>
  </si>
  <si>
    <t>74.9%</t>
  </si>
  <si>
    <t>8.33%</t>
  </si>
  <si>
    <t>60.3%</t>
  </si>
  <si>
    <t>39.7%</t>
  </si>
  <si>
    <t>52.38%</t>
  </si>
  <si>
    <t>91%</t>
  </si>
  <si>
    <t>69.1%</t>
  </si>
  <si>
    <t>65.7%</t>
  </si>
  <si>
    <t>66.67%</t>
  </si>
  <si>
    <t>60%</t>
  </si>
  <si>
    <t>34.3%</t>
  </si>
  <si>
    <t>53.6%</t>
  </si>
  <si>
    <t>46.4%</t>
  </si>
  <si>
    <t>44.44%</t>
  </si>
  <si>
    <t>39%</t>
  </si>
  <si>
    <t>88%</t>
  </si>
  <si>
    <t>52.7%</t>
  </si>
  <si>
    <t>31%</t>
  </si>
  <si>
    <t>38.46%</t>
  </si>
  <si>
    <t>72%</t>
  </si>
  <si>
    <t>44.4%</t>
  </si>
  <si>
    <t>15.38%</t>
  </si>
  <si>
    <t>55.6%</t>
  </si>
  <si>
    <t>42.86%</t>
  </si>
  <si>
    <t>54.3%</t>
  </si>
  <si>
    <t>33.33%</t>
  </si>
  <si>
    <t>45.7%</t>
  </si>
  <si>
    <t>48.0%</t>
  </si>
  <si>
    <t>67.7%</t>
  </si>
  <si>
    <t>32.3%</t>
  </si>
  <si>
    <t>46%</t>
  </si>
  <si>
    <t>54%</t>
  </si>
  <si>
    <t>54.4%</t>
  </si>
  <si>
    <t>45.6%</t>
  </si>
  <si>
    <t>60.6%</t>
  </si>
  <si>
    <t>70%</t>
  </si>
  <si>
    <t>39.4%</t>
  </si>
  <si>
    <t>17.65%</t>
  </si>
  <si>
    <t>59.8%</t>
  </si>
  <si>
    <t>53.33%</t>
  </si>
  <si>
    <t>40.2%</t>
  </si>
  <si>
    <t>47.3%</t>
  </si>
  <si>
    <t>57.14%</t>
  </si>
  <si>
    <t>36.2%</t>
  </si>
  <si>
    <t>63.8%</t>
  </si>
  <si>
    <t>32.9%</t>
  </si>
  <si>
    <t>83%</t>
  </si>
  <si>
    <t>58.7%</t>
  </si>
  <si>
    <t>41.3%</t>
  </si>
  <si>
    <t>55.4%</t>
  </si>
  <si>
    <t>44.6%</t>
  </si>
  <si>
    <t>61.2%</t>
  </si>
  <si>
    <t>38.8%</t>
  </si>
  <si>
    <t>30.0%</t>
  </si>
  <si>
    <t>51.4%</t>
  </si>
  <si>
    <t>48.6%</t>
  </si>
  <si>
    <t>22.73%</t>
  </si>
  <si>
    <t>67.1%</t>
  </si>
  <si>
    <t>50.6%</t>
  </si>
  <si>
    <t>35.29%</t>
  </si>
  <si>
    <t>49.4%</t>
  </si>
  <si>
    <t>47.37%</t>
  </si>
  <si>
    <t>62.4%</t>
  </si>
  <si>
    <t>100.0%</t>
  </si>
  <si>
    <t>37.6%</t>
  </si>
  <si>
    <t>36.36%</t>
  </si>
  <si>
    <t>30.1%</t>
  </si>
  <si>
    <t>38.1%</t>
  </si>
  <si>
    <t>90%</t>
  </si>
  <si>
    <t>69.9%</t>
  </si>
  <si>
    <t>41.67%</t>
  </si>
  <si>
    <t>41.5%</t>
  </si>
  <si>
    <t>26.67%</t>
  </si>
  <si>
    <t>58.5%</t>
  </si>
  <si>
    <t>85%</t>
  </si>
  <si>
    <t>27.78%</t>
  </si>
  <si>
    <t>43.9%</t>
  </si>
  <si>
    <t>38.89%</t>
  </si>
  <si>
    <t>56.1%</t>
  </si>
  <si>
    <t>49%</t>
  </si>
  <si>
    <t>9.09%</t>
  </si>
  <si>
    <t>51%</t>
  </si>
  <si>
    <t>60.1%</t>
  </si>
  <si>
    <t>39.9%</t>
  </si>
  <si>
    <t>51.6%</t>
  </si>
  <si>
    <t>29.41%</t>
  </si>
  <si>
    <t>48.4%</t>
  </si>
  <si>
    <t>40.7%</t>
  </si>
  <si>
    <t>16.67%</t>
  </si>
  <si>
    <t>59.3%</t>
  </si>
  <si>
    <t>36.3%</t>
  </si>
  <si>
    <t>63.7%</t>
  </si>
  <si>
    <t>30.7%</t>
  </si>
  <si>
    <t>51.9%</t>
  </si>
  <si>
    <t>48.1%</t>
  </si>
  <si>
    <t>52.8%</t>
  </si>
  <si>
    <t>65%</t>
  </si>
  <si>
    <t>47.2%</t>
  </si>
  <si>
    <t>65.9%</t>
  </si>
  <si>
    <t>59%</t>
  </si>
  <si>
    <t>34.1%</t>
  </si>
  <si>
    <t>48.5%</t>
  </si>
  <si>
    <t>51.5%</t>
  </si>
  <si>
    <t>29.03%</t>
  </si>
  <si>
    <t>92%</t>
  </si>
  <si>
    <t>69.3%</t>
  </si>
  <si>
    <t>43.8%</t>
  </si>
  <si>
    <t>52.63%</t>
  </si>
  <si>
    <t>56.2%</t>
  </si>
  <si>
    <t>32.8%</t>
  </si>
  <si>
    <t>67.2%</t>
  </si>
  <si>
    <t>47.9%</t>
  </si>
  <si>
    <t>52.1%</t>
  </si>
  <si>
    <t>35.71%</t>
  </si>
  <si>
    <t>56.25%</t>
  </si>
  <si>
    <t>58.2%</t>
  </si>
  <si>
    <t>41.8%</t>
  </si>
  <si>
    <t>52.3%</t>
  </si>
  <si>
    <t>47.7%</t>
  </si>
  <si>
    <t>43.75%</t>
  </si>
  <si>
    <t>49.7%</t>
  </si>
  <si>
    <t>50.3%</t>
  </si>
  <si>
    <t>67.5%</t>
  </si>
  <si>
    <t>64%</t>
  </si>
  <si>
    <t>32.5%</t>
  </si>
  <si>
    <t>37.1%</t>
  </si>
  <si>
    <t>32.14%</t>
  </si>
  <si>
    <t>62.9%</t>
  </si>
  <si>
    <t>36.4%</t>
  </si>
  <si>
    <t>63.6%</t>
  </si>
  <si>
    <t>55%</t>
  </si>
  <si>
    <t>33.1%</t>
  </si>
  <si>
    <t>39.13%</t>
  </si>
  <si>
    <t>66.9%</t>
  </si>
  <si>
    <t>62.2%</t>
  </si>
  <si>
    <t>37.8%</t>
  </si>
  <si>
    <t>69.23%</t>
  </si>
  <si>
    <t>55.3%</t>
  </si>
  <si>
    <t>44.7%</t>
  </si>
  <si>
    <t>47.1%</t>
  </si>
  <si>
    <t>52.9%</t>
  </si>
  <si>
    <t>41.7%</t>
  </si>
  <si>
    <t>42.2%</t>
  </si>
  <si>
    <t>57.8%</t>
  </si>
  <si>
    <t>32.7%</t>
  </si>
  <si>
    <t>67.3%</t>
  </si>
  <si>
    <t>43%</t>
  </si>
  <si>
    <t>57%</t>
  </si>
  <si>
    <t>57.9%</t>
  </si>
  <si>
    <t>42.1%</t>
  </si>
  <si>
    <t>50.5%</t>
  </si>
  <si>
    <t>49.5%</t>
  </si>
  <si>
    <t>59.2%</t>
  </si>
  <si>
    <t>30.77%</t>
  </si>
  <si>
    <t>40.8%</t>
  </si>
  <si>
    <t>18.75%</t>
  </si>
  <si>
    <t>58.8%</t>
  </si>
  <si>
    <t>41.2%</t>
  </si>
  <si>
    <t>64.29%</t>
  </si>
  <si>
    <t>89%</t>
  </si>
  <si>
    <t>58.3%</t>
  </si>
  <si>
    <t>49.8%</t>
  </si>
  <si>
    <t>50.2%</t>
  </si>
  <si>
    <t>48.9%</t>
  </si>
  <si>
    <t>10.0%</t>
  </si>
  <si>
    <t>51.1%</t>
  </si>
  <si>
    <t>46.15%</t>
  </si>
  <si>
    <t>42.5%</t>
  </si>
  <si>
    <t>57.5%</t>
  </si>
  <si>
    <t>53.85%</t>
  </si>
  <si>
    <t>71.43%</t>
  </si>
  <si>
    <t>30.8%</t>
  </si>
  <si>
    <t>69.2%</t>
  </si>
  <si>
    <t>47.5%</t>
  </si>
  <si>
    <t>45.45%</t>
  </si>
  <si>
    <t>51.7%</t>
  </si>
  <si>
    <t>48.3%</t>
  </si>
  <si>
    <t>52.5%</t>
  </si>
  <si>
    <t>58.1%</t>
  </si>
  <si>
    <t>41.9%</t>
  </si>
  <si>
    <t>63.9%</t>
  </si>
  <si>
    <t>36.1%</t>
  </si>
  <si>
    <t>64.71%</t>
  </si>
  <si>
    <t>59.5%</t>
  </si>
  <si>
    <t>40.5%</t>
  </si>
  <si>
    <t>57.6%</t>
  </si>
  <si>
    <t>55.56%</t>
  </si>
  <si>
    <t>63%</t>
  </si>
  <si>
    <t>42.4%</t>
  </si>
  <si>
    <t>56%</t>
  </si>
  <si>
    <t>37.9%</t>
  </si>
  <si>
    <t>62.1%</t>
  </si>
  <si>
    <t>28.6%</t>
  </si>
  <si>
    <t>71.4%</t>
  </si>
  <si>
    <t>45.4%</t>
  </si>
  <si>
    <t>53%</t>
  </si>
  <si>
    <t>28%</t>
  </si>
  <si>
    <t>35.7%</t>
  </si>
  <si>
    <t>45.0%</t>
  </si>
  <si>
    <t>64.3%</t>
  </si>
  <si>
    <t>44.1%</t>
  </si>
  <si>
    <t>55.9%</t>
  </si>
  <si>
    <t>60.5%</t>
  </si>
  <si>
    <t>39.5%</t>
  </si>
  <si>
    <t>54.6%</t>
  </si>
  <si>
    <t>54.55%</t>
  </si>
  <si>
    <t>44.2%</t>
  </si>
  <si>
    <t>55.8%</t>
  </si>
  <si>
    <t>58.6%</t>
  </si>
  <si>
    <t>57.3%</t>
  </si>
  <si>
    <t>42.7%</t>
  </si>
  <si>
    <t>38.7%</t>
  </si>
  <si>
    <t>61.3%</t>
  </si>
  <si>
    <t>51.3%</t>
  </si>
  <si>
    <t>48.7%</t>
  </si>
  <si>
    <t>39.1%</t>
  </si>
  <si>
    <t>33.3%</t>
  </si>
  <si>
    <t>66.7%</t>
  </si>
  <si>
    <t>61.6%</t>
  </si>
  <si>
    <t>0%</t>
  </si>
  <si>
    <t>38.4%</t>
  </si>
  <si>
    <t>58.33%</t>
  </si>
  <si>
    <t>43.6%</t>
  </si>
  <si>
    <t>56.4%</t>
  </si>
  <si>
    <t>43.3%</t>
  </si>
  <si>
    <t>7.14%</t>
  </si>
  <si>
    <t>56.7%</t>
  </si>
  <si>
    <t>60.9%</t>
  </si>
  <si>
    <t>38%</t>
  </si>
  <si>
    <t>44.8%</t>
  </si>
  <si>
    <t>55.2%</t>
  </si>
  <si>
    <t>40.4%</t>
  </si>
  <si>
    <t>59.6%</t>
  </si>
  <si>
    <t>56.3%</t>
  </si>
  <si>
    <t>43.7%</t>
  </si>
  <si>
    <t>70.0%</t>
  </si>
  <si>
    <t>64.6%</t>
  </si>
  <si>
    <t>35.4%</t>
  </si>
  <si>
    <t>33%</t>
  </si>
  <si>
    <t>28.7%</t>
  </si>
  <si>
    <t>71.3%</t>
  </si>
  <si>
    <t>34.8%</t>
  </si>
  <si>
    <t>5.0%</t>
  </si>
  <si>
    <t>65.2%</t>
  </si>
  <si>
    <t>71.1%</t>
  </si>
  <si>
    <t>28.9%</t>
  </si>
  <si>
    <t>48%</t>
  </si>
  <si>
    <t>52%</t>
  </si>
  <si>
    <t>35.1%</t>
  </si>
  <si>
    <t>64.9%</t>
  </si>
  <si>
    <t>31.1%</t>
  </si>
  <si>
    <t>68.9%</t>
  </si>
  <si>
    <t>23.53%</t>
  </si>
  <si>
    <t>53.2%</t>
  </si>
  <si>
    <t>46.8%</t>
  </si>
  <si>
    <t>50.8%</t>
  </si>
  <si>
    <t>49.2%</t>
  </si>
  <si>
    <t>51.8%</t>
  </si>
  <si>
    <t>48.2%</t>
  </si>
  <si>
    <t>61.1%</t>
  </si>
  <si>
    <t>38.9%</t>
  </si>
  <si>
    <t>7.69%</t>
  </si>
  <si>
    <t>58%</t>
  </si>
  <si>
    <t>45.3%</t>
  </si>
  <si>
    <t>54.7%</t>
  </si>
  <si>
    <t>50%</t>
  </si>
  <si>
    <t>35.5%</t>
  </si>
  <si>
    <t>64.5%</t>
  </si>
  <si>
    <t>56.52%</t>
  </si>
  <si>
    <t>48.8%</t>
  </si>
  <si>
    <t>51.2%</t>
  </si>
  <si>
    <t>55.7%</t>
  </si>
  <si>
    <t>44.3%</t>
  </si>
  <si>
    <t>45.9%</t>
  </si>
  <si>
    <t>54.1%</t>
  </si>
  <si>
    <t>60.7%</t>
  </si>
  <si>
    <t>39.3%</t>
  </si>
  <si>
    <t>46.67%</t>
  </si>
  <si>
    <t>44%</t>
  </si>
  <si>
    <t>83.33%</t>
  </si>
  <si>
    <t>27.9%</t>
  </si>
  <si>
    <t>72.1%</t>
  </si>
  <si>
    <t>46.6%</t>
  </si>
  <si>
    <t>41.4%</t>
  </si>
  <si>
    <t>29.17%</t>
  </si>
  <si>
    <t>50.1%</t>
  </si>
  <si>
    <t>49.9%</t>
  </si>
  <si>
    <t>47.8%</t>
  </si>
  <si>
    <t>52.2%</t>
  </si>
  <si>
    <t>53.4%</t>
  </si>
  <si>
    <t>47.06%</t>
  </si>
  <si>
    <t>52.94%</t>
  </si>
  <si>
    <t>40.9%</t>
  </si>
  <si>
    <t>59.1%</t>
  </si>
  <si>
    <t>50.4%</t>
  </si>
  <si>
    <t>13.33%</t>
  </si>
  <si>
    <t>49.6%</t>
  </si>
  <si>
    <t>23.5%</t>
  </si>
  <si>
    <t>76.5%</t>
  </si>
  <si>
    <t>53.5%</t>
  </si>
  <si>
    <t>46.5%</t>
  </si>
  <si>
    <t>63.5%</t>
  </si>
  <si>
    <t>36.5%</t>
  </si>
  <si>
    <t>53.9%</t>
  </si>
  <si>
    <t>46.1%</t>
  </si>
  <si>
    <t>15.0%</t>
  </si>
  <si>
    <t>54.9%</t>
  </si>
  <si>
    <t>45.1%</t>
  </si>
  <si>
    <t>34.2%</t>
  </si>
  <si>
    <t>65.8%</t>
  </si>
  <si>
    <t>70.4%</t>
  </si>
  <si>
    <t>29.6%</t>
  </si>
  <si>
    <t>37%</t>
  </si>
  <si>
    <t>32.4%</t>
  </si>
  <si>
    <t>28.8%</t>
  </si>
  <si>
    <t>71.2%</t>
  </si>
  <si>
    <t>42%</t>
  </si>
  <si>
    <t>67.6%</t>
  </si>
  <si>
    <t>44.9%</t>
  </si>
  <si>
    <t>80.0%</t>
  </si>
  <si>
    <t>55.1%</t>
  </si>
  <si>
    <t>39.2%</t>
  </si>
  <si>
    <t>60.8%</t>
  </si>
  <si>
    <t>73.7%</t>
  </si>
  <si>
    <t>26.3%</t>
  </si>
  <si>
    <t>45%</t>
  </si>
  <si>
    <t>30.4%</t>
  </si>
  <si>
    <t>69.6%</t>
  </si>
  <si>
    <t>50.9%</t>
  </si>
  <si>
    <t>49.1%</t>
  </si>
  <si>
    <t>55.0%</t>
  </si>
  <si>
    <t>44.0%</t>
  </si>
  <si>
    <t>47.4%</t>
  </si>
  <si>
    <t>52.6%</t>
  </si>
  <si>
    <t>22.4%</t>
  </si>
  <si>
    <t>77.6%</t>
  </si>
  <si>
    <t>37.7%</t>
  </si>
  <si>
    <t>62.3%</t>
  </si>
  <si>
    <t>75.0%</t>
  </si>
  <si>
    <t>53.1%</t>
  </si>
  <si>
    <t>46.9%</t>
  </si>
  <si>
    <t>31.3%</t>
  </si>
  <si>
    <t>68.7%</t>
  </si>
  <si>
    <t>31.6%</t>
  </si>
  <si>
    <t>68.4%</t>
  </si>
  <si>
    <t>39.8%</t>
  </si>
  <si>
    <t>60.2%</t>
  </si>
  <si>
    <t>45.8%</t>
  </si>
  <si>
    <t>54.2%</t>
  </si>
  <si>
    <t>35%</t>
  </si>
  <si>
    <t>61.54%</t>
  </si>
  <si>
    <t>55.5%</t>
  </si>
  <si>
    <t>44.5%</t>
  </si>
  <si>
    <t>47.6%</t>
  </si>
  <si>
    <t>52.4%</t>
  </si>
  <si>
    <t>54.5%</t>
  </si>
  <si>
    <t>45.5%</t>
  </si>
  <si>
    <t>41%</t>
  </si>
  <si>
    <t>29.7%</t>
  </si>
  <si>
    <t>70.3%</t>
  </si>
  <si>
    <t>36.8%</t>
  </si>
  <si>
    <t>63.2%</t>
  </si>
  <si>
    <t>61.11%</t>
  </si>
  <si>
    <t>53.8%</t>
  </si>
  <si>
    <t>46.2%</t>
  </si>
  <si>
    <t>47%</t>
  </si>
  <si>
    <t>58.9%</t>
  </si>
  <si>
    <t>41.1%</t>
  </si>
  <si>
    <t>34.78%</t>
  </si>
  <si>
    <t>26.2%</t>
  </si>
  <si>
    <t>73.8%</t>
  </si>
  <si>
    <t>26.32%</t>
  </si>
  <si>
    <t>34%</t>
  </si>
  <si>
    <t>56.5%</t>
  </si>
  <si>
    <t>43.5%</t>
  </si>
  <si>
    <t>31.82%</t>
  </si>
  <si>
    <t>31.9%</t>
  </si>
  <si>
    <t>68.1%</t>
  </si>
  <si>
    <t>61.5%</t>
  </si>
  <si>
    <t>38.5%</t>
  </si>
  <si>
    <t>59.7%</t>
  </si>
  <si>
    <t>40.3%</t>
  </si>
  <si>
    <t>46.3%</t>
  </si>
  <si>
    <t>53.7%</t>
  </si>
  <si>
    <t>42.11%</t>
  </si>
  <si>
    <t>59.4%</t>
  </si>
  <si>
    <t>40.6%</t>
  </si>
  <si>
    <t>27.6%</t>
  </si>
  <si>
    <t>72.4%</t>
  </si>
  <si>
    <t>26.5%</t>
  </si>
  <si>
    <t>73.5%</t>
  </si>
  <si>
    <t>38.2%</t>
  </si>
  <si>
    <t>61.8%</t>
  </si>
  <si>
    <t>36%</t>
  </si>
  <si>
    <t>Total trues for matches (without draws)</t>
  </si>
  <si>
    <t>Total number of matches (without draws)</t>
  </si>
  <si>
    <t>Averages for wins/losses</t>
  </si>
  <si>
    <t>Total number of wins and losses</t>
  </si>
  <si>
    <t>Total trues for all matches</t>
  </si>
  <si>
    <t>Total number of all matches</t>
  </si>
  <si>
    <t>Averages for draws</t>
  </si>
  <si>
    <t>Total number of draws</t>
  </si>
  <si>
    <t>суммы:</t>
  </si>
  <si>
    <t>статистика и вероятности: посмотреть можно ли сравнивать данные если в одном эксперименте было меньше trials нежели в другом (как сейчас у меня с draws и wins/losses)</t>
  </si>
  <si>
    <t>Вообще нужно создать таблицу для каждой команды по процентам которые предсказываются по каждому параметру, и посмотреть: возможно, у команды выше классом перевес в процентах по КАЖДОМУ параметру будет выше нежели у команды ниже классом; смотреть из сезона в сезон</t>
  </si>
  <si>
    <t>чем больше действие направлено на собственно забитие гола, тем лучше такие действия являются, собственно, индикаторами голов</t>
  </si>
  <si>
    <t>Total number of wins/losses</t>
  </si>
  <si>
    <t>Количество правильных предсказаний (1 или 0) по каждому параметру (те что я скачивал): проверить их для каждой команды по отдельности в процентном плане - то есть пропорция от всех матчей для конкретного параметра (допустим, у одной команды количество дрибблов лучше определяет исход в процентном плане, у другой команды количество tackles - посмотреть на это из сезона в сезон для разных команд, сравнить процент правильности для разных команд)</t>
  </si>
  <si>
    <t>Идеи связанные с сезонными данными которые я скачал для всех команд одного чемпионата</t>
  </si>
  <si>
    <t xml:space="preserve">       -&gt; </t>
  </si>
  <si>
    <t>Посмотреть как предсказывают, например, удары по воротам - голы, и голы по воротам - удары; возможно, между этими предсказательствами будет какая-то обратная зависимость в плане чисел или вероятностных распределений</t>
  </si>
  <si>
    <t>возможно, эта идея будет следующей которую можно будет протестировать</t>
  </si>
  <si>
    <t>Использовать идею covariance чтобы померять то как два наших параметра (например, shots on target и goals) связаны между собой</t>
  </si>
  <si>
    <t>Сравнить одну и ту же команду в двух матчах по каждому параметру: посмотреть, была ли эта команда лучше в матче против соперника более слабого по параметрам предыдущих матчей, например (в среднем, разумеется, то есть в большинстве матчей? Сыграла ли наша команда лучше против той команды у которой параметры за предыдущие матчи были лучше? Посмотреть на большое количество матчей для исследования таких взаимосвязей.</t>
  </si>
  <si>
    <t>Статистические направления которые нужно подучить</t>
  </si>
  <si>
    <t>Как сравнивать 2 параметра с разными количествами экспериментов для каждого? Является ли такое сравнение обьективным?</t>
  </si>
  <si>
    <t>Когда показатель процентный (пропорции) является приоритетным показателем, а когда - какой-то другой?</t>
  </si>
  <si>
    <t>Возможно, нужно сравнивать не среднее по именам соперников, а среднее по параметрам (допустим, чем ближе среднее по голам за последние матчи двух соперников по какому-то параметру, тем меньше вероятность того что тот у кого больше, превзойдет другого по этому параметру (так как они близко по среднему, и повернуться может преимущество в любую сторону, а если разрыв большой, то и вероятность перевеса того кто сильнее больше)</t>
  </si>
  <si>
    <t>По таблицам которые я получил, посмотреть какой параметр предсказывает себя в общем лучше</t>
  </si>
  <si>
    <t>Как на счёт: взять те матчи в которых у соперников было больше всего общих соперников (скажем, как минимум 6-7 из 10), сравнить средние за те матчи (а может быть, взять только матчи с общими соперниками), и посмотреть отражал ли перевес в нашем матче перевес в тех матчах с общими соперниками?</t>
  </si>
  <si>
    <t xml:space="preserve">            -&gt;</t>
  </si>
  <si>
    <t xml:space="preserve">Что если распределение Пуассона имеет место для каждого игрока? Рассмотреть распределение голов для отдельного игрока. Возможно, там будет лучшее следование распределению Пуассона. </t>
  </si>
  <si>
    <t>Показатели команды - это в основном суммы показателей игроков. Если части суммы - это распределения Пуассона, то будет ли их сумма тоже распределением Пуассона?</t>
  </si>
  <si>
    <t>нужно понять через какую модификацию (умножение/какое-то распределение в квадрате) может пройти распределение Пуассона чтобы стать распределением другим</t>
  </si>
  <si>
    <t>представлять собранные данные как матрицы? Интересно, что может получиться.</t>
  </si>
  <si>
    <t xml:space="preserve">из central limit theorem: можно ли рассчитать распределение случ. Перем. (например, голов) из того насколько быстро оно приближается к нормальному распределению? Как приближается? Какое мы получаем распределение sample mean? </t>
  </si>
  <si>
    <t>метод Монте-Карло, который помог бы хотя бы посмотреть к какому распределению количество голов хотя бы близко (используя вероятности рассчитанные из разных случайных переменных; можно также попытаться использовать метод расчёта не только для среднего, но и для дисперсии</t>
  </si>
  <si>
    <t>связать это с расчётами моих цепей распределений - применить Монте-Карло для каждой случайной переменной, начиная от пасов и заканчивая голами (и даже для переменных обозначающих переход от одной сл.пер. к другой; возможно, посмотреть как Монте-Карло будет работать до и после моего расчёта связанного со средней командой)</t>
  </si>
  <si>
    <t>НО: для начала нужно собственно построить цепь (или даже граф) из случайных переменных (какая зависит от какой), параллельно тестируя их на зависимости друг от друга</t>
  </si>
  <si>
    <t>двойное ожидание которое базируется на том какое мы считаем есть prior и каким становиться posterior зависимо от того каким мы выбрали prior - то есть ожидание ожидания posterior при данном prior E(E(posterior|prior)) = E(posterior), а так как у нас есть данные, можно посмотреть насколько близки друг к другу левая и правая части уравнений</t>
  </si>
  <si>
    <t>проанализировать распределение ударов и голов в одних и тех же матчах, может, будет видна какая-то взаимосвязь (запомнить - надо найти параметры между которыми будет наибольшая взаимосвязь! какие параметры сильнее всего зависят друг от друга? как это определить - сравнить их распределения, насколько они похожи друг на друга?) НО это надо делать для большого количества матчей, чтобы посмотреть, будет ли стремление к каким-то числам/процентам для без разницы какого количества матчей</t>
  </si>
  <si>
    <t>-</t>
  </si>
  <si>
    <t>advantage</t>
  </si>
  <si>
    <t>yellow/red cards</t>
  </si>
  <si>
    <t>home/away</t>
  </si>
  <si>
    <t>start/middle/end of match (player fatigue)</t>
  </si>
  <si>
    <t>game importance</t>
  </si>
  <si>
    <t>to find what is the input into the function (say, Poisson function): check how opponent teams perform on the periods that we're looking at for our team (ex. If we're looking at 30-min winning period at home for our team, then look for 30-min losing period for away team)</t>
  </si>
  <si>
    <t>посмотреть на удары в створ с двух сторон: одна - они следуют Пуассону, вторая - следуют биномиальному (как кол-во успешных попыток, где попытки - удары по воротам)</t>
  </si>
  <si>
    <t>лямбда для ударов в створ по Пуассону - это n*p, где n - кол-во вероятных ударов по воротам в какой-то из этих периодов (то есть в ничейный и т.д.), а p - вероятность успеха каждой попытки в такой-то период (в ничейный и т.д.)</t>
  </si>
  <si>
    <t>возможно, можно использовать 2 распределения чтобы точнее задать распределение ударов в игре</t>
  </si>
  <si>
    <t>Наверное, для того чтобы посчитать вероятное среднее по Пуассону, надо будет посмотреть с каким параметром у ударов в створ/ударов по воротам наилучшая корреляция</t>
  </si>
  <si>
    <t>early injury of a player</t>
  </si>
  <si>
    <t>opponent playing in Europe or no</t>
  </si>
  <si>
    <t>нет</t>
  </si>
  <si>
    <t>да</t>
  </si>
  <si>
    <t>Cordoba</t>
  </si>
  <si>
    <t>Elche</t>
  </si>
  <si>
    <t>у ударов по воротам бОльшая вариация (следовательно, бОльшая разница между средними по Пуассону) чем у ударов в створ потому что удары по воротам обычно имеют больше параметров входящих, влияющих на эти самые удары по воротам (больше разных игроков бьет по воротам, из большего количества разных ситуаций) нежели на удары в створ (меньше разных игроков, в большинстве форварды/вингеры, и из более похожих ситуаций, и поэтому можно ожидать что удары в створ будут лучше следовать Пуассону)</t>
  </si>
  <si>
    <t>Athletic Bilbao</t>
  </si>
  <si>
    <t>Almeria</t>
  </si>
  <si>
    <t>увеличивается ли корреляция с увеличением количества матчей за которые подсчитывается среднее?</t>
  </si>
  <si>
    <t>Spain 2014-15</t>
  </si>
  <si>
    <t>абстрактная идея: если среднее по Пуассону в матче постоянно меняется (с каждой секундой), то возможно сюда можно привязать лимиты при приближении к нулю и какое-то типо моментальное среднее по Пуассону (среднее по Пуассону в определенный момент времени)</t>
  </si>
  <si>
    <t>length (minutes)</t>
  </si>
  <si>
    <t>opponent</t>
  </si>
  <si>
    <t>home team during draw period, shots on target:</t>
  </si>
  <si>
    <t>home team during draw period, shots:</t>
  </si>
  <si>
    <t>N is:</t>
  </si>
  <si>
    <t>tackles + aerials won</t>
  </si>
  <si>
    <t>continuous period?</t>
  </si>
  <si>
    <t>my team is:</t>
  </si>
  <si>
    <t>подумать как можно подогнать распределение под только одну/несколько точек (ибо когда мы уберем влияние кое-каких переменных, данных будет становиться всё меньше) - подумать, может, общее распределение которое имеет в себе несколько параметров будет какой-то смесью из двух которые учитывают только по одному параметру каждое</t>
  </si>
  <si>
    <t>starting column is (column with opponent names):</t>
  </si>
  <si>
    <t>starting row is (row with first opponent data):</t>
  </si>
  <si>
    <t>number of parameters (parameter columns, say):</t>
  </si>
  <si>
    <t>абстрактная идея: если мы предполагаем что чем больше мы берем последних N матчей, тем больше и больше 2 переменных коррелируют (одна из которых зависит от N), то возможно можно найти закон их корреляции, взяв лимит для N который стремиться к бесконечности, и взяв этот лимит для теоретической зависимости (любой, даже линейной), посмотреть, насколько близко/быстро/сильно приближаются наши данные к формуле зависимости при N которое стремиться к бесконечности (то есть увеличивая N постепенно мы смотрим что получается, конечно же, мы можем брать любой лимит для N, какой мы считаем нужным)</t>
  </si>
  <si>
    <t>we could isolate not only the dependent, but also the independent variable (like "tackles during draws", "aerials won in this area" etc.) - most likely the correlation will be better in that case</t>
  </si>
  <si>
    <t>N = 10</t>
  </si>
  <si>
    <t>N = 5</t>
  </si>
  <si>
    <t>N = 20</t>
  </si>
  <si>
    <t>N = 15</t>
  </si>
  <si>
    <t>N = 8</t>
  </si>
  <si>
    <t>N = 12</t>
  </si>
  <si>
    <t>tackles/shots correlation:</t>
  </si>
  <si>
    <t>dispossessed/shots correlation:</t>
  </si>
  <si>
    <t>N:</t>
  </si>
  <si>
    <t>aerials won/shots correlation:</t>
  </si>
  <si>
    <t>pass success/shots correlation:</t>
  </si>
  <si>
    <t>possession can be the primary factor, since the lower the possession, the more time the opponent has to shoot more, but then secondary factors like tackles and all that start to come into play</t>
  </si>
  <si>
    <t>should there be a high correlation between possession and pass success then?</t>
  </si>
  <si>
    <t>tackles + aerials won/shots correlation:</t>
  </si>
  <si>
    <t>conceded</t>
  </si>
  <si>
    <t>goals conceded/shots correlation:</t>
  </si>
  <si>
    <t>моделировать распределение под несколько точе</t>
  </si>
  <si>
    <t>pass success/dispossessed</t>
  </si>
  <si>
    <t>tackles+aerials won</t>
  </si>
  <si>
    <t>multiplier1</t>
  </si>
  <si>
    <t>multiplier2</t>
  </si>
  <si>
    <t>power1</t>
  </si>
  <si>
    <t>power2</t>
  </si>
  <si>
    <t>multiplier1*(pass success^power1) + multiplier2*(dispossessed^power2)</t>
  </si>
  <si>
    <t>(multiplier1*(pass success^power1) + multiplier2*(dispossessed^power2)) / shots correlation</t>
  </si>
  <si>
    <t>shots during draw period</t>
  </si>
  <si>
    <t>shots on target during draw period</t>
  </si>
  <si>
    <t>Shots during draw:</t>
  </si>
  <si>
    <t>shots during whole match</t>
  </si>
  <si>
    <t>корреляция между ударами за весь матч/ударами за 30 минут ничейного счета и параметрами выше для ударов за весь матч потому что эти параметры были рассчитаны за 90 минут, ничейный счёт - за 30; НО так как между этими матчами есть кое-что общее, а именно 30 минут ничейного счёта, то корреляция для ударов за весь матч выше, чем для ударов за весь матч, но для всех выездных матчей тоже</t>
  </si>
  <si>
    <t>All home matches of the team:</t>
  </si>
  <si>
    <t>shots during draw period (only matches with draw periods of 30 mins) correlations:</t>
  </si>
  <si>
    <t>shots during whole match (only matches with draw periods of 30 minutes) correlations:</t>
  </si>
  <si>
    <t>интересно то, что чем больше предыдущих матчей учтено, тем больше растёт корреляция для pass success и aerials won, и тем больше она падает для dispossessed и tackles</t>
  </si>
  <si>
    <t>чем матчи похожее, тем лучше корреляция (чем, например, длиннее в этих матчах был ничейный период)</t>
  </si>
  <si>
    <t>c) use same parameters during draw periods for opponents</t>
  </si>
  <si>
    <t>d) compare these correlations with shots during whole match (not during draw periods), confirm the fact that those correlations will be weaker</t>
  </si>
  <si>
    <t>e) "widen out" pass success graph, really look into the way it is structured and if the correlation makes sense</t>
  </si>
  <si>
    <t>b) check if correlation is higher for matches with common draw periods than for matches with no common draw periods (i.e. smaller draw periods or just matches which don't have a, say, 30 min draw period)</t>
  </si>
  <si>
    <t>Celta</t>
  </si>
  <si>
    <t>total shots during whole match</t>
  </si>
  <si>
    <t>если это аутсайдер - скорее всего за последние 10-15 матчей среднее будет низким, а количество пропущенных ударов - высоким</t>
  </si>
  <si>
    <t>conceded/shots correlation:</t>
  </si>
  <si>
    <t>a) check table of correlations for same parameters for other teams, see if progress for correlation is similar (i.e. the higher the number of matches, the higher the correlation); use correlation for 2 seasons, not just for one</t>
  </si>
  <si>
    <t>может быть так что чем меньше период мы берём, тем лучше становиться корреляция, и так же с параметрами - чем меньше мы берём, тем лучше становиться корреляция; проверить первое на данных, подумать, что может получиться, если взять границу при которой длительность периода стремиться к нулю</t>
  </si>
  <si>
    <t>возможно, нам как раз и нужно посмотреть на серии корреляций (увеличиваются они или уменьшаются), к какой зависимости/величине корреляции они стремятся, и если удастся найти моментную корреляцию, то она поможет нам найти среднее по Пуассону, ведь Пуассон это биномиальное распределение с множеством попыток на очень маленьких интервалах времени</t>
  </si>
  <si>
    <t>также нужно подумать как из двух данных по корреляции вывести возможную зависимость от двух переменных</t>
  </si>
  <si>
    <t>возможно, нужно пойти по каждой точке зависимой переменной, смотреть на то какие 2 пары её генерируют, исходя из этого подумать какую зависимость можно разработать</t>
  </si>
  <si>
    <t>нужно будет тестить, смотреть увеличивает ли корреляцию такая комбинация переменных</t>
  </si>
  <si>
    <t xml:space="preserve">Monte Carlo: используется распределение для того чтобы оно выбросило какую-то переменную в симулирующей среде, будь то место падения иголки, условие в компьютерной игре такое как оружие боса (если меряем вероятность успешности нашей стратегии), и т.д. Это может быть распределение uniform или какое-то другое (в зависимости от задачи) </t>
  </si>
  <si>
    <t>тогда вопрос - зачем использовать симуляцию если есть статистическая модель?</t>
  </si>
  <si>
    <t>Это тоже МОДЕЛЬ - но это симуляционная модель, и она может выступать как замена статистической модели, ЛИБО в её основе лежит статистическая модель; но скорее всего это незаконченная статистическая модель</t>
  </si>
  <si>
    <t>если дана серия корреляций (функция от N) или матрица корреляций (серия от N, team), можно ли из серии/матрицы рассчитать самую вероятную функцию зависимости двух переменных? (смотреть на серию корреляций как на те которые выпадают из одного распределения, либо взять границу (при количестве независимых переменных которое стремиться к бесконечности, посмотреть к чему стремиться график (ну или вероятность того к чему стремиться график, какая функция самая вероятная к которой он стремиться, либо к чему стремиться среднее расстояние от нашей функции для тех данных которые будут выпадать, то есть расстояние от линии: чем больше будет выпадать значений, тем ближе/быстрее к нашей функции будут стремиться значения)</t>
  </si>
  <si>
    <t>как подобрать наилучшую формулу зависимости: использовать уже полученные данные, и, при такой-то формуле Y, сравнивать вероятности получения тех данных которые были получены, чем выше вероятность, тем вероятнее такая формула</t>
  </si>
  <si>
    <t>как-то связать формулу и вероятностные распределения - то бишь как учесть в формулу то что она может не дать такое количество, но при этом рассчитанное будет наиболее вероятным? Можно ли убрать формулу и просто задать распределение для среднего по Пуассону для наших ударов?</t>
  </si>
  <si>
    <t>как подобрать наилучшую формулу зависимости для двух переменных: так же как и для одной переменной, варианты и вероятности (указано выше)</t>
  </si>
  <si>
    <t>конечно же, формула может меняться со временем - попытаться как-то рассчитать как она может меняться</t>
  </si>
  <si>
    <t>если формулы равны - их производные тоже равны; было бы интересно как-то использовать это</t>
  </si>
  <si>
    <t>смотря на матрицу корреляций, записать каждую корреляцию как формулу; матрица формул; посмотреть дает ли эта матрица какое-то преимущество в расчёте зависимостей наших двух переменных (как можно привязать сюда, например, айгенвэлью матрицы, или например строчные векторы, которые, если корреляция и правда увеличивается со временем, будут увеличиваться в модулях; может быть можно будет вынести ковариации и т.д.)</t>
  </si>
  <si>
    <t>повставлять разные зависимости двух переменных, посмотреть какие из них скорее всего будут выдавать те значения/те корреляции которые собственно мы и получили - таким образом найти самую вероятную зависимость; возможно, анализируя корреляции вместе (как матрицы или как, например, числа из распределения), можно будет посмотреть какие зависимости дают наибольшую вероятность таких значений</t>
  </si>
  <si>
    <t>чем дольше период, тем больше вероятность случайностей и других параметров, поэтому нужно брать периоды покороче (проверять заодно, правда ли что при увеличении N корреляция будет увеличиваться более прямолинейно тогда)</t>
  </si>
  <si>
    <t>надо брать и данные для независимой переменной тоже из периодов покороче, таким образом зависимая переменная не будет зависеть от многих факторов которые могли бы повлиять на независимую переменную если бы она была длинной (то есть будет зависимость только от одной переменной)</t>
  </si>
  <si>
    <t>можно ли использовать likelihood function для того чтобы оценить какое n/N (размер сэмпла) даст наиболее точную оценку параметра (тэта)? Можно ли придумать какую-то функцию, которую, продифферециировав/проинтегрировав/сделав что-то еще, можно будет получить самое точное n? Можно ли придумать распределение которое покажет какое n взять (или какой параметр взять который приведёт нас к такому-то n) чтобы быть на 95% уверенным в том что n находиться в таком-то интервале?</t>
  </si>
  <si>
    <t>посмотреть на количество n с точки зрения sufficient statistic</t>
  </si>
  <si>
    <t>еще идея (возможно, уже описывал её выше): по двум параметрам - таблица корреляций (сверху - N, слева - команда), представляется как матрица, посмотреть есть ли какие-то свойства у этой матрицы которыми можно было бы оперировать? Также можно вот как подумать: посмотреть на то как изменяется корреляция от N-1 до N для всех команд (возможно это подразумевает взять производную), если производные не сильно друг от друга отличаются для одного и того же (n-1,n) для разных команд, значит параметры действительно коррелируют, и причём для как раз таки подходящего N которое мы только что тестировали</t>
  </si>
  <si>
    <t>посмотреть можно ли рассчитать корреляцию голов в матче от среднего по possession в предыдущих 5 матчах?</t>
  </si>
  <si>
    <t>Вычисляемое поле</t>
  </si>
  <si>
    <t>Порядок решения</t>
  </si>
  <si>
    <t>Поле</t>
  </si>
  <si>
    <t>Формула</t>
  </si>
  <si>
    <t>Вычисляемый объект</t>
  </si>
  <si>
    <t>Объект</t>
  </si>
  <si>
    <t>Примечание:</t>
  </si>
  <si>
    <t>Когда значение ячейки обновляется в результате вычисления нескольких формул,</t>
  </si>
  <si>
    <t>ее значение определяется формулой, значение которой вычисляется последним.</t>
  </si>
  <si>
    <t>Для изменения порядка вычисления формул в нескольких вычисляемых элементах или полях</t>
  </si>
  <si>
    <t>на вкладке "Параметры" в группе "Сервис" нажмите кнопку "Формулы" и выберите команду "Порядок вычислений".</t>
  </si>
  <si>
    <t>подумать еще вот о чем: если есть взаимосвязь между одной переменной и двумя остальными такая как: z = x^2 + y, то x влияет на z больше чем y влияет на z, а значит между z и x больше взаимосвязь (корреляция), чем между z и y - подумать как можно в таком случае применить корреляцию; проверить если ли взаимосвязь между x и y так: если, увеличивая x, изменение в z идет не по квадратичному закону, а по немного другому (ибо изменение в x влечёт изменение в y), значит взаимосвязь между x и y существует -&gt; если найдена взаимосвязь между ними двумя, можно начинать находить её, если же её нет, значит можно пытаться найти формулу зависимости z от этих двух по найденым корреляциям, так как они независимы друг от друга</t>
  </si>
  <si>
    <t>способ решения полиномиальных уравнений: берем 2 икса по 2 стороны от корня (чтобы один давал значение больше нуля, второй меньше), берем границу (при приближении к этому значению значение функции приближается к нулю), смотрим что будет</t>
  </si>
  <si>
    <t>since X most likely follows some form of Poisson distribution, opponent's Y factor most likely influences lambda of that Poisson; could try making inferences about that parameter, but not separately for each match, rather together for all of them (likelihood for n independent RVs all from Poisson; if I assume that lambda depends on opponent's shots in some way, then maybe in the likelihood function I can group those shots altogether, and make an inference about parameters which are used for dependence between lambda and shots - likiliest b1, b2 etc.; if lambda depends on some other parameters too, we can assume it by adding into the equation; if I assume some kind of relationship between lambda and Y (say lambda=b*y^2), I will have to look at CONSISTENCY - that is, that for each given match that parameter *b* will not be jumping around; I will have to test different hypothesis with regards to that *b* parameter; but first, I will have to test likelihood, since it seems appropriate here; don't forget to use expectations and variances, including those of *b* - they might be of use here); look at progression of correlations with time periods (e.g. when increasing time periods (while still keeping outside parameters constant), how will the correlation between shots and Y be changing? AND use progression of time to check on that *b* parameter - the parameter has to stand the test of time, so to speak, and be consistent, that is the way to check if the hypothesis was correct)</t>
  </si>
  <si>
    <t>studying: 1) try computing confidence intervals for parameter estimators like x^2+5, ln(x) etc.; 2) check if standard errors always show up in confidence intervals</t>
  </si>
  <si>
    <t>регресионный анализ: ПРЕДПОЛОЖЕНИЕ того что зависимость линейная, НО для того чтобы найти зависимость, можно делить на интервалы (интервалы независимой переменной) и смотреть как меняется зависимая переменная на них, таким образом деля проблему на меньшие (эти интервалы можно делить на те на которых зависимость от третьих переменных меньше, и те где зависимость от третьих переменных больше, и т.д.); также можно считать условную вероятность того что получим данный сэмпл при определенном распределении; вообще, линейную регрессию можно делить на подпроблемы которые решаются легче и которые дают намеки на решения остальных подпроблем; посмотрев на значения нашей независимой переменной, определить является ли независимая переменная сильно зависимой от остальных переменных (если она зависима, то результаты будут менее хаотичны и больше следовать какому-то закону, и таким образом наша исследуемая переменная тоже будет лучше следовать какому-то закону; можно ли, поделив на интервалы независимую переменную, посмотреть как ведут себя переменные которые возможно влияют на неё на этих интервалах, и из этого как-то определить что если наша независимая переменная на самом деле зависимая, то и наша исследуемая зависимая переменная должна не быть хаотичной, а следовать какому-то распределению (мапа X' -&gt; X -&gt; Y, если X зависит от X', значит из этого можно как-то определить в каком предполагаемом интервале/какой закон будет больше всего подходить для данных значений Y) )</t>
  </si>
  <si>
    <t>сколько из тех Y, которые мы наблюдаем, дальше определенного расстояния от нашей рассчитанной линии? Чем больше, тем маловероятнее распределение. Можно ли эти расстояния как-то порассчитывать учтя а) интервалы X которые мы взяли для упрощения б) то на сколько Y может колебаться, исходя из того сколько переменных мы не учли для X; как сюда приплести X'. Для этого нужно хотя бы теоретическое распределение X (как совместить функцию зависимости от какой-то другой переменной и распределение нашей переменной?) чтобы понять как сильно позволено колебаться Y. Может быть, эти расстояния сами должны иметь какое-то распределение по которому они выпадают? И та зависимость будет самой подходящей у которой расстояния будут следовать какому-то более подходящему распределению (по сути, распределение случ. (или не случ.?) переменной d(x) = y(x) - x - чем ближе y(x) к истинному, тем вероятнее что расстояние будет даже для маленького количества наблюдений (скажем, 20) иметь приблизительно bell curve; для разных интервалов на X будут разные распределения, разумеется); может быть, чем более равномерное распределение -&gt; чем больше его вариация -&gt; тем маловероятнее что оно истинное? (ибо это показывает что есть какой-то gap который не был учтён в функции зависимости - например, посчитали как 1+x, а должно быть 3+x) -&gt; сначала надо смотреть на среднее этого распределения (чем меньше среднее, тем лучше), а затем на вариацию (чем меньше вариация - тем вероятнее что надо просто "передвинуть функцию", то есть добавить константу, и тем вероятнее что функция линейная; чем больше вариация, тем больше вероятность что функция неправильная/нелинейная/не учтено слишком много переменных)</t>
  </si>
  <si>
    <t>разобраться в mean squared error и в том, как она может влиять на параметр</t>
  </si>
  <si>
    <t>чем лучше реализация у соперника - тем "галимее" защита команды? (типо чем больший процент своих ударов реализовывает соперник, тем больше ему позволяет чужая защита -&gt; тем эта самая защита галимее)</t>
  </si>
  <si>
    <t>можно использовать инференционные формулы чтобы тестить какое n нужно для того чтобы быть, скажем, на 95% уверенным в каком-то интервале (взять какой-то интервал для 95%, посмотреть какое n нужно будет)</t>
  </si>
  <si>
    <t>время: оно даёт больше времени чтобы проявить свой скилл, чем дольше тем больше вероятность что проявиться твой скилл лучше -&gt; взять отсюда идею для того что есть какой-то отрезок времени в который скилл проявиться лучше всего (скажем, 10 минут), и на который влияние случайных факторов будет самое меньшее? Типо скилл и случайные факторы имеют влияние по какой-то определенной функции, скажем, когда время растёт до 10 минут, то скилл проявляется лучше, когда больше 10 минут, случайные факторы становяться более явными</t>
  </si>
  <si>
    <t>чем хаотичнее производная (при соответственно постепенном увеличении переменной) взятая при помощи, собственно, данных, тем больше вероятность что зависимость между двумя переменными слабая</t>
  </si>
  <si>
    <t>Next to do:</t>
  </si>
  <si>
    <t>Likelihood inference from multiple matches for, say, shots:</t>
  </si>
  <si>
    <t>Since number of shots in a match/period of time follows Poisson, but with changing lambda parameter (which however changes by some law from period to period if we are looking at matches of a particular team) every time, then for the first match we can use lambda, for second - f(lambda); then we can get the actual likelihood function for 2 matches by multiplying 2 formulas for Poisson but with lambda and f(lambda); then we can take derivative/integral/smth else to see what is the relationship between lambda and f(lambda), may be take a look at other things that happened in a match and see whether they have something in common with this relationship between lambda and f(lambda)</t>
  </si>
  <si>
    <t xml:space="preserve">apply 1 to correlation analysis, but while isolating for more variables: </t>
  </si>
  <si>
    <t>isolated for similar periods in time during a match</t>
  </si>
  <si>
    <t>a)</t>
  </si>
  <si>
    <t>b)</t>
  </si>
  <si>
    <t>c)</t>
  </si>
  <si>
    <t>Random ideas:</t>
  </si>
  <si>
    <t>…</t>
  </si>
  <si>
    <t xml:space="preserve">for each opponent, look at their corresponding periods (correlation for our period and opponent's) in a similar manner (how they perform during same periods that have been listed), so that some kind of dependence relation can be worked out (ex. If researching Celta during draw periods at home, and it's playing against Barca, then research Barca during draw periods away, and do that for every Celta opponent to find relationship; but first don't consider an opponent, and just check whether shots of our team follow Poisson or smth like that?) </t>
  </si>
  <si>
    <t>Correlation analysis which was planned initially:</t>
  </si>
  <si>
    <t>Plan:</t>
  </si>
  <si>
    <t>моделирование количества минут до первого удара/гола соперника</t>
  </si>
  <si>
    <t>удары в створ зависят от других параметров меньше?</t>
  </si>
  <si>
    <t xml:space="preserve">1) найти количество матчей N которые будут давать наилучшую корреляцию (лучше взять интервал поменьше, скажем, первые 15 ничейных минут); 2) сделать рейтинг корреляций по параметрам, от лучшей к худшей; 3) проверить рейтинги и сами корреляции для многих команд, чтобы сверить и посмотреть, являются ли зависимости похожими для многих команд или нет, являются ли самые коррелируемые параметры таковыми для всех команд, или у каждой команды по разному; 4) придумать как совместить 2-3 лучших по корреляции параметра в одну формулу/распределение; 5) посмотреть будет ли формула давать такую же или лучшую корреляцию для будущих ударов </t>
  </si>
  <si>
    <t>in yellow - ideas which somehow relate to "next to do"</t>
  </si>
  <si>
    <t>под N имеется ввиду конечно же количество предыдущих матчей из которых рассчитывается среднее/какая-то нужная нам статистика</t>
  </si>
  <si>
    <t>может быть, если увидим какое-то N которое дает наилучшую корреляцию, то можно будет из таблицы корреляций для разных N попытаться вычислить weighted average на основе того наиэффективнейшего N и других N из таблицы</t>
  </si>
  <si>
    <t>сначала - посмотреть какой параметр лучше коррелирует, затем - за какой период лучше коррелирует (за те же периоды за которые мы и подсчитываем, или за весь матч, то есть коррелирует ли он с параметрами подсчитанными из полного матча для других команд, или из того же (схожего) отрезка для других команд)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</si>
</sst>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0000"/>
  </numFmts>
  <fonts count="18" x14ac:knownFonts="1">
    <font>
      <sz val="11"/>
      <color theme="1"/>
      <name val="Calibri"/>
      <family val="2"/>
      <charset val="20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charset val="204"/>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
      <name val="Calibri"/>
      <family val="2"/>
      <charset val="204"/>
      <scheme val="minor"/>
    </font>
    <font>
      <sz val="11"/>
      <color rgb="FF000000"/>
      <name val="Calibri"/>
      <family val="2"/>
      <scheme val="minor"/>
    </font>
    <font>
      <sz val="11"/>
      <color theme="1"/>
      <name val="Calibri"/>
      <family val="2"/>
      <charset val="204"/>
      <scheme val="minor"/>
    </font>
    <font>
      <sz val="14"/>
      <color theme="1"/>
      <name val="Calibri"/>
      <family val="2"/>
      <charset val="204"/>
      <scheme val="minor"/>
    </font>
    <font>
      <sz val="16"/>
      <color theme="1"/>
      <name val="Calibri"/>
      <family val="2"/>
      <charset val="204"/>
      <scheme val="minor"/>
    </font>
    <font>
      <b/>
      <sz val="11"/>
      <color theme="1"/>
      <name val="Calibri"/>
      <family val="2"/>
      <charset val="204"/>
      <scheme val="minor"/>
    </font>
    <font>
      <b/>
      <i/>
      <sz val="11"/>
      <color theme="1"/>
      <name val="Calibri"/>
      <family val="2"/>
      <charset val="204"/>
      <scheme val="minor"/>
    </font>
    <font>
      <sz val="11"/>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rgb="FF00FF00"/>
        <bgColor rgb="FF00FF00"/>
      </patternFill>
    </fill>
    <fill>
      <patternFill patternType="solid">
        <fgColor rgb="FFFF0000"/>
        <bgColor rgb="FFFFFF00"/>
      </patternFill>
    </fill>
    <fill>
      <patternFill patternType="solid">
        <fgColor rgb="FFFFFF00"/>
        <bgColor rgb="FFFFFF00"/>
      </patternFill>
    </fill>
  </fills>
  <borders count="10">
    <border>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8"/>
      </bottom>
      <diagonal/>
    </border>
  </borders>
  <cellStyleXfs count="1">
    <xf numFmtId="0" fontId="0" fillId="0" borderId="0"/>
  </cellStyleXfs>
  <cellXfs count="96">
    <xf numFmtId="0" fontId="0" fillId="0" borderId="0" xfId="0"/>
    <xf numFmtId="0" fontId="0" fillId="0" borderId="0" xfId="0"/>
    <xf numFmtId="0" fontId="0" fillId="0" borderId="0" xfId="0" applyFill="1" applyBorder="1"/>
    <xf numFmtId="0" fontId="0" fillId="0" borderId="0" xfId="0" applyFill="1"/>
    <xf numFmtId="9" fontId="0" fillId="0" borderId="0" xfId="0" applyNumberFormat="1" applyFill="1" applyBorder="1"/>
    <xf numFmtId="1" fontId="0" fillId="0" borderId="0" xfId="0" applyNumberFormat="1" applyFill="1"/>
    <xf numFmtId="10" fontId="0" fillId="0" borderId="0" xfId="0" applyNumberFormat="1" applyFill="1"/>
    <xf numFmtId="9" fontId="0" fillId="0" borderId="0" xfId="0" applyNumberFormat="1" applyFill="1"/>
    <xf numFmtId="0" fontId="5" fillId="0" borderId="0" xfId="0" applyFont="1" applyFill="1"/>
    <xf numFmtId="2" fontId="0" fillId="0" borderId="0" xfId="0" applyNumberFormat="1" applyFill="1"/>
    <xf numFmtId="10" fontId="5" fillId="0" borderId="0" xfId="0" applyNumberFormat="1" applyFont="1" applyFill="1"/>
    <xf numFmtId="9" fontId="5" fillId="0" borderId="0" xfId="0" applyNumberFormat="1" applyFont="1" applyFill="1"/>
    <xf numFmtId="1" fontId="5" fillId="0" borderId="0" xfId="0" applyNumberFormat="1" applyFont="1" applyFill="1"/>
    <xf numFmtId="0" fontId="4" fillId="0" borderId="0" xfId="0" applyFont="1" applyFill="1"/>
    <xf numFmtId="2" fontId="4" fillId="0" borderId="0" xfId="0" applyNumberFormat="1" applyFont="1" applyFill="1"/>
    <xf numFmtId="0" fontId="0" fillId="0" borderId="0" xfId="0" applyNumberFormat="1" applyFill="1"/>
    <xf numFmtId="0" fontId="5" fillId="0" borderId="0" xfId="0" applyFont="1" applyFill="1" applyBorder="1"/>
    <xf numFmtId="2" fontId="0" fillId="0" borderId="0" xfId="0" applyNumberFormat="1" applyFill="1" applyBorder="1"/>
    <xf numFmtId="1" fontId="0" fillId="0" borderId="0" xfId="0" applyNumberFormat="1" applyFill="1" applyBorder="1"/>
    <xf numFmtId="10" fontId="0" fillId="0" borderId="0" xfId="0" applyNumberFormat="1" applyFill="1" applyBorder="1"/>
    <xf numFmtId="0" fontId="6" fillId="0" borderId="0" xfId="0" applyFont="1"/>
    <xf numFmtId="0" fontId="7" fillId="0" borderId="0" xfId="0" applyFont="1"/>
    <xf numFmtId="0" fontId="6" fillId="0" borderId="0" xfId="0" applyFont="1" applyFill="1"/>
    <xf numFmtId="0" fontId="6" fillId="0" borderId="0" xfId="0" applyFont="1" applyBorder="1"/>
    <xf numFmtId="0" fontId="6" fillId="0" borderId="0" xfId="0" applyFont="1" applyFill="1" applyBorder="1"/>
    <xf numFmtId="0" fontId="7" fillId="0" borderId="0" xfId="0" applyFont="1" applyFill="1" applyBorder="1"/>
    <xf numFmtId="0" fontId="8" fillId="2" borderId="0" xfId="0" applyFont="1" applyFill="1"/>
    <xf numFmtId="10" fontId="6" fillId="0" borderId="0" xfId="0" applyNumberFormat="1" applyFont="1"/>
    <xf numFmtId="9" fontId="6" fillId="0" borderId="0" xfId="0" applyNumberFormat="1" applyFont="1"/>
    <xf numFmtId="1" fontId="6" fillId="3" borderId="0" xfId="0" applyNumberFormat="1" applyFont="1" applyFill="1"/>
    <xf numFmtId="1" fontId="6" fillId="0" borderId="0" xfId="0" applyNumberFormat="1" applyFont="1"/>
    <xf numFmtId="1" fontId="6" fillId="4" borderId="0" xfId="0" applyNumberFormat="1" applyFont="1" applyFill="1"/>
    <xf numFmtId="0" fontId="6" fillId="5" borderId="0" xfId="0" applyFont="1" applyFill="1"/>
    <xf numFmtId="0" fontId="6" fillId="3" borderId="0" xfId="0" applyFont="1" applyFill="1"/>
    <xf numFmtId="0" fontId="6" fillId="4" borderId="0" xfId="0" applyFont="1" applyFill="1"/>
    <xf numFmtId="1" fontId="6" fillId="5" borderId="0" xfId="0" applyNumberFormat="1" applyFont="1" applyFill="1"/>
    <xf numFmtId="2" fontId="6" fillId="0" borderId="0" xfId="0" applyNumberFormat="1" applyFont="1"/>
    <xf numFmtId="0" fontId="6" fillId="0" borderId="5" xfId="0" applyFont="1" applyBorder="1"/>
    <xf numFmtId="0" fontId="6" fillId="0" borderId="1" xfId="0" applyFont="1" applyBorder="1"/>
    <xf numFmtId="0" fontId="6" fillId="0" borderId="6" xfId="0" applyFont="1" applyBorder="1"/>
    <xf numFmtId="0" fontId="6" fillId="0" borderId="4" xfId="0" applyFont="1" applyBorder="1"/>
    <xf numFmtId="2" fontId="6" fillId="0" borderId="0" xfId="0" applyNumberFormat="1" applyFont="1" applyBorder="1"/>
    <xf numFmtId="0" fontId="6" fillId="0" borderId="3" xfId="0" applyFont="1" applyBorder="1"/>
    <xf numFmtId="0" fontId="6" fillId="0" borderId="8" xfId="0" applyFont="1" applyBorder="1"/>
    <xf numFmtId="0" fontId="6" fillId="0" borderId="2" xfId="0" applyFont="1" applyBorder="1"/>
    <xf numFmtId="2" fontId="6" fillId="0" borderId="2" xfId="0" applyNumberFormat="1" applyFont="1" applyBorder="1"/>
    <xf numFmtId="0" fontId="6" fillId="0" borderId="7" xfId="0" applyFont="1" applyBorder="1"/>
    <xf numFmtId="0" fontId="8" fillId="0" borderId="0" xfId="0" applyFont="1"/>
    <xf numFmtId="2" fontId="6" fillId="0" borderId="4" xfId="0" applyNumberFormat="1" applyFont="1" applyBorder="1"/>
    <xf numFmtId="2" fontId="6" fillId="0" borderId="3" xfId="0" applyNumberFormat="1" applyFont="1" applyBorder="1"/>
    <xf numFmtId="0" fontId="6" fillId="0" borderId="3" xfId="0" applyFont="1" applyFill="1" applyBorder="1"/>
    <xf numFmtId="2" fontId="6" fillId="0" borderId="3" xfId="0" applyNumberFormat="1" applyFont="1" applyFill="1" applyBorder="1"/>
    <xf numFmtId="0" fontId="9" fillId="0" borderId="0" xfId="0" applyFont="1"/>
    <xf numFmtId="0" fontId="10" fillId="0" borderId="0" xfId="0" applyFont="1"/>
    <xf numFmtId="0" fontId="11" fillId="0" borderId="0" xfId="0" applyFont="1"/>
    <xf numFmtId="0" fontId="12" fillId="0" borderId="0" xfId="0" applyFont="1" applyFill="1"/>
    <xf numFmtId="1" fontId="12" fillId="0" borderId="0" xfId="0" applyNumberFormat="1" applyFont="1" applyFill="1"/>
    <xf numFmtId="10" fontId="12" fillId="0" borderId="0" xfId="0" applyNumberFormat="1" applyFont="1" applyFill="1"/>
    <xf numFmtId="0" fontId="12" fillId="0" borderId="0" xfId="0" applyFont="1" applyFill="1" applyBorder="1"/>
    <xf numFmtId="0" fontId="12" fillId="0" borderId="4" xfId="0" applyFont="1" applyFill="1" applyBorder="1"/>
    <xf numFmtId="1" fontId="12" fillId="0" borderId="0" xfId="0" applyNumberFormat="1" applyFont="1" applyFill="1" applyBorder="1"/>
    <xf numFmtId="2" fontId="12" fillId="0" borderId="0" xfId="0" applyNumberFormat="1" applyFont="1" applyFill="1"/>
    <xf numFmtId="0" fontId="0" fillId="0" borderId="0" xfId="0" applyFont="1" applyFill="1"/>
    <xf numFmtId="0" fontId="0" fillId="0" borderId="0" xfId="0" applyFont="1" applyFill="1" applyBorder="1"/>
    <xf numFmtId="1" fontId="0" fillId="0" borderId="0" xfId="0" applyNumberFormat="1" applyFont="1" applyFill="1" applyBorder="1"/>
    <xf numFmtId="1" fontId="0" fillId="0" borderId="0" xfId="0" applyNumberFormat="1" applyFont="1" applyFill="1"/>
    <xf numFmtId="0" fontId="0" fillId="0" borderId="3" xfId="0" applyFill="1" applyBorder="1"/>
    <xf numFmtId="0" fontId="0" fillId="0" borderId="4" xfId="0" applyFill="1" applyBorder="1"/>
    <xf numFmtId="165" fontId="0" fillId="0" borderId="0" xfId="0" applyNumberFormat="1" applyFill="1"/>
    <xf numFmtId="164" fontId="0" fillId="0" borderId="0" xfId="0" applyNumberFormat="1" applyFill="1"/>
    <xf numFmtId="0" fontId="0" fillId="0" borderId="5" xfId="0" applyFill="1" applyBorder="1"/>
    <xf numFmtId="0" fontId="0" fillId="0" borderId="1" xfId="0" applyFill="1" applyBorder="1"/>
    <xf numFmtId="9" fontId="0" fillId="0" borderId="6" xfId="0" applyNumberFormat="1" applyFill="1" applyBorder="1"/>
    <xf numFmtId="9" fontId="0" fillId="0" borderId="3" xfId="0" applyNumberFormat="1" applyFill="1" applyBorder="1"/>
    <xf numFmtId="165" fontId="0" fillId="0" borderId="0" xfId="0" applyNumberFormat="1" applyFill="1" applyBorder="1"/>
    <xf numFmtId="0" fontId="0" fillId="0" borderId="8" xfId="0" applyFill="1" applyBorder="1"/>
    <xf numFmtId="165" fontId="0" fillId="0" borderId="2" xfId="0" applyNumberFormat="1" applyFill="1" applyBorder="1"/>
    <xf numFmtId="0" fontId="0" fillId="0" borderId="2" xfId="0" applyFill="1" applyBorder="1"/>
    <xf numFmtId="0" fontId="0" fillId="0" borderId="2" xfId="0" applyNumberFormat="1" applyFill="1" applyBorder="1"/>
    <xf numFmtId="0" fontId="0" fillId="0" borderId="7" xfId="0" applyFill="1" applyBorder="1"/>
    <xf numFmtId="0" fontId="9" fillId="0" borderId="0" xfId="0" applyFont="1" applyFill="1"/>
    <xf numFmtId="0" fontId="13" fillId="0" borderId="0" xfId="0" applyFont="1" applyFill="1"/>
    <xf numFmtId="0" fontId="14" fillId="0" borderId="0" xfId="0" applyFont="1" applyFill="1"/>
    <xf numFmtId="0" fontId="0" fillId="0" borderId="3" xfId="0" applyFont="1" applyFill="1" applyBorder="1"/>
    <xf numFmtId="166" fontId="0" fillId="0" borderId="2" xfId="0" applyNumberFormat="1" applyFill="1" applyBorder="1"/>
    <xf numFmtId="10" fontId="13" fillId="0" borderId="0" xfId="0" applyNumberFormat="1" applyFont="1" applyFill="1"/>
    <xf numFmtId="0" fontId="0" fillId="0" borderId="6" xfId="0" applyFill="1" applyBorder="1"/>
    <xf numFmtId="0" fontId="10" fillId="0" borderId="0" xfId="0" applyFont="1" applyFill="1"/>
    <xf numFmtId="0" fontId="16" fillId="0" borderId="0" xfId="0" applyFont="1"/>
    <xf numFmtId="0" fontId="15" fillId="0" borderId="9" xfId="0" applyFont="1" applyBorder="1"/>
    <xf numFmtId="10" fontId="6" fillId="0" borderId="0" xfId="0" applyNumberFormat="1" applyFont="1" applyFill="1"/>
    <xf numFmtId="0" fontId="3" fillId="0" borderId="0" xfId="0" applyFont="1" applyFill="1"/>
    <xf numFmtId="0" fontId="0" fillId="2" borderId="0" xfId="0" applyFill="1"/>
    <xf numFmtId="0" fontId="2" fillId="0" borderId="0" xfId="0" applyFont="1" applyFill="1"/>
    <xf numFmtId="0" fontId="1" fillId="0" borderId="0" xfId="0" applyFont="1" applyFill="1"/>
    <xf numFmtId="0" fontId="12" fillId="0" borderId="3" xfId="0" applyFont="1" applyFill="1" applyBorder="1"/>
  </cellXfs>
  <cellStyles count="1">
    <cellStyle name="Normal" xfId="0" builtinId="0"/>
  </cellStyles>
  <dxfs count="0"/>
  <tableStyles count="0" defaultTableStyle="TableStyleMedium9"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26</xdr:row>
          <xdr:rowOff>68580</xdr:rowOff>
        </xdr:from>
        <xdr:to>
          <xdr:col>10</xdr:col>
          <xdr:colOff>365760</xdr:colOff>
          <xdr:row>29</xdr:row>
          <xdr:rowOff>213360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download parameters for this table for N in  cell A2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152400</xdr:colOff>
          <xdr:row>17</xdr:row>
          <xdr:rowOff>76200</xdr:rowOff>
        </xdr:from>
        <xdr:to>
          <xdr:col>17</xdr:col>
          <xdr:colOff>419100</xdr:colOff>
          <xdr:row>21</xdr:row>
          <xdr:rowOff>144780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download parameters for this table for N in cell A2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365760</xdr:colOff>
          <xdr:row>25</xdr:row>
          <xdr:rowOff>60960</xdr:rowOff>
        </xdr:from>
        <xdr:to>
          <xdr:col>13</xdr:col>
          <xdr:colOff>76200</xdr:colOff>
          <xdr:row>26</xdr:row>
          <xdr:rowOff>144780</xdr:rowOff>
        </xdr:to>
        <xdr:sp macro="" textlink="">
          <xdr:nvSpPr>
            <xdr:cNvPr id="1027" name="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358140</xdr:colOff>
          <xdr:row>26</xdr:row>
          <xdr:rowOff>205740</xdr:rowOff>
        </xdr:from>
        <xdr:to>
          <xdr:col>13</xdr:col>
          <xdr:colOff>60960</xdr:colOff>
          <xdr:row>28</xdr:row>
          <xdr:rowOff>30480</xdr:rowOff>
        </xdr:to>
        <xdr:sp macro="" textlink="">
          <xdr:nvSpPr>
            <xdr:cNvPr id="1028" name="starting_row"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28</xdr:row>
          <xdr:rowOff>83820</xdr:rowOff>
        </xdr:from>
        <xdr:to>
          <xdr:col>13</xdr:col>
          <xdr:colOff>60960</xdr:colOff>
          <xdr:row>29</xdr:row>
          <xdr:rowOff>167640</xdr:rowOff>
        </xdr:to>
        <xdr:sp macro="" textlink="">
          <xdr:nvSpPr>
            <xdr:cNvPr id="1029" name="starting_colum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33</xdr:row>
          <xdr:rowOff>76200</xdr:rowOff>
        </xdr:from>
        <xdr:to>
          <xdr:col>13</xdr:col>
          <xdr:colOff>38100</xdr:colOff>
          <xdr:row>34</xdr:row>
          <xdr:rowOff>144780</xdr:rowOff>
        </xdr:to>
        <xdr:sp macro="" textlink="">
          <xdr:nvSpPr>
            <xdr:cNvPr id="1030" name="my_team"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350520</xdr:colOff>
          <xdr:row>30</xdr:row>
          <xdr:rowOff>129540</xdr:rowOff>
        </xdr:from>
        <xdr:to>
          <xdr:col>13</xdr:col>
          <xdr:colOff>45720</xdr:colOff>
          <xdr:row>32</xdr:row>
          <xdr:rowOff>7620</xdr:rowOff>
        </xdr:to>
        <xdr:sp macro="" textlink="">
          <xdr:nvSpPr>
            <xdr:cNvPr id="1031" name="number_of_parameters"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sheet____1"/>
  <dimension ref="A1:ADA179"/>
  <sheetViews>
    <sheetView topLeftCell="A2" workbookViewId="0">
      <selection activeCell="B175" sqref="B175"/>
    </sheetView>
  </sheetViews>
  <sheetFormatPr defaultRowHeight="14.4" x14ac:dyDescent="0.3"/>
  <cols>
    <col min="1" max="2" width="8.88671875" style="20"/>
    <col min="3" max="3" width="13" style="20" customWidth="1"/>
    <col min="4" max="4" width="8.6640625" style="20" customWidth="1"/>
    <col min="5" max="5" width="13.44140625" style="20" customWidth="1"/>
    <col min="6" max="6" width="11.109375" style="20" customWidth="1"/>
    <col min="7" max="7" width="11.44140625" style="20" customWidth="1"/>
    <col min="8" max="8" width="11.33203125" style="20" customWidth="1"/>
    <col min="9" max="11" width="11" style="20" customWidth="1"/>
    <col min="12" max="12" width="11.109375" style="20" customWidth="1"/>
    <col min="13" max="13" width="8.109375" style="20" customWidth="1"/>
    <col min="14" max="14" width="12.21875" style="20" customWidth="1"/>
    <col min="15" max="17" width="11.44140625" style="20" customWidth="1"/>
    <col min="18" max="20" width="8.88671875" style="20"/>
    <col min="21" max="21" width="13.5546875" style="20" customWidth="1"/>
    <col min="22" max="33" width="8.88671875" style="20"/>
    <col min="34" max="34" width="9" style="20" customWidth="1"/>
    <col min="35" max="36" width="8.88671875" style="20"/>
    <col min="37" max="37" width="8.88671875" style="21"/>
    <col min="38" max="38" width="8.88671875" style="20"/>
    <col min="39" max="40" width="8.88671875" style="21"/>
    <col min="41" max="46" width="8.88671875" style="20"/>
    <col min="47" max="47" width="9.6640625" style="21" customWidth="1"/>
    <col min="48" max="48" width="8.88671875" style="20"/>
    <col min="49" max="50" width="8.88671875" style="21"/>
    <col min="51" max="66" width="8.88671875" style="20"/>
    <col min="67" max="71" width="8.88671875" style="21"/>
    <col min="72" max="76" width="8.88671875" style="20"/>
    <col min="77" max="81" width="8.88671875" style="21"/>
    <col min="82" max="89" width="8.88671875" style="20"/>
    <col min="90" max="92" width="8" style="20" customWidth="1"/>
    <col min="93" max="93" width="8.88671875" style="20"/>
    <col min="94" max="94" width="8.88671875" style="21"/>
    <col min="95" max="96" width="8.88671875" style="20"/>
    <col min="97" max="100" width="8.88671875" style="21"/>
    <col min="101" max="103" width="8.88671875" style="20"/>
    <col min="104" max="104" width="8.88671875" style="21"/>
    <col min="105" max="106" width="8.88671875" style="20"/>
    <col min="107" max="110" width="8.88671875" style="21"/>
    <col min="111" max="16384" width="8.88671875" style="20"/>
  </cols>
  <sheetData>
    <row r="1" spans="1:779" x14ac:dyDescent="0.3">
      <c r="A1" s="20" t="s">
        <v>3</v>
      </c>
      <c r="B1" s="20" t="s">
        <v>4</v>
      </c>
      <c r="I1" s="21" t="s">
        <v>64</v>
      </c>
      <c r="J1" s="20" t="s">
        <v>71</v>
      </c>
    </row>
    <row r="2" spans="1:779" x14ac:dyDescent="0.3">
      <c r="A2" s="20" t="s">
        <v>36</v>
      </c>
      <c r="D2" s="22"/>
      <c r="M2" s="22"/>
      <c r="W2" s="23"/>
      <c r="X2" s="23"/>
      <c r="Y2" s="23"/>
      <c r="AA2" s="20" t="s">
        <v>59</v>
      </c>
      <c r="OB2" s="20">
        <f>COLUMN()</f>
        <v>392</v>
      </c>
      <c r="OX2" s="20">
        <f>COLUMN()</f>
        <v>414</v>
      </c>
    </row>
    <row r="3" spans="1:779" s="24" customFormat="1" x14ac:dyDescent="0.3">
      <c r="AG3" s="25"/>
      <c r="AO3" s="25"/>
      <c r="AP3" s="25"/>
      <c r="AY3" s="25"/>
      <c r="AZ3" s="25"/>
      <c r="BR3" s="25"/>
      <c r="BS3" s="25"/>
      <c r="BT3" s="25"/>
      <c r="BU3" s="25"/>
      <c r="CB3" s="25"/>
      <c r="CC3" s="25"/>
      <c r="CD3" s="25"/>
      <c r="CE3" s="25"/>
      <c r="CH3" s="25"/>
      <c r="CR3" s="25"/>
      <c r="CV3" s="25"/>
      <c r="CW3" s="25"/>
      <c r="CX3" s="25"/>
      <c r="CY3" s="25"/>
      <c r="DB3" s="25"/>
      <c r="DF3" s="25"/>
      <c r="DG3" s="25"/>
      <c r="DH3" s="25"/>
      <c r="DI3" s="25"/>
      <c r="DK3" s="25"/>
      <c r="DL3" s="25"/>
      <c r="DZ3" s="25"/>
      <c r="EA3" s="25"/>
      <c r="EB3" s="25"/>
      <c r="EC3" s="25"/>
      <c r="EJ3" s="25"/>
      <c r="EK3" s="25"/>
      <c r="EL3" s="25"/>
      <c r="EM3" s="25"/>
      <c r="EP3" s="25"/>
      <c r="FD3" s="25"/>
      <c r="FE3" s="25"/>
      <c r="FF3" s="25"/>
      <c r="FG3" s="25"/>
      <c r="FN3" s="25"/>
      <c r="FO3" s="25"/>
      <c r="FP3" s="25"/>
      <c r="FQ3" s="25"/>
      <c r="FS3" s="25"/>
      <c r="FT3" s="25"/>
      <c r="GG3" s="25"/>
      <c r="GH3" s="25"/>
      <c r="GI3" s="25"/>
      <c r="GJ3" s="25"/>
      <c r="GQ3" s="25"/>
      <c r="GR3" s="25"/>
      <c r="GS3" s="25"/>
      <c r="GT3" s="25"/>
      <c r="GW3" s="25"/>
    </row>
    <row r="4" spans="1:779" x14ac:dyDescent="0.3">
      <c r="C4" s="26" t="s">
        <v>5</v>
      </c>
      <c r="E4" s="20" t="s">
        <v>62</v>
      </c>
      <c r="F4" s="20" t="s">
        <v>113</v>
      </c>
      <c r="G4" s="27" t="s">
        <v>61</v>
      </c>
      <c r="H4" s="28" t="s">
        <v>82</v>
      </c>
      <c r="I4" s="20" t="s">
        <v>28</v>
      </c>
      <c r="J4" s="20" t="s">
        <v>46</v>
      </c>
      <c r="K4" s="20" t="s">
        <v>57</v>
      </c>
      <c r="L4" s="20" t="s">
        <v>58</v>
      </c>
      <c r="M4" s="27" t="s">
        <v>60</v>
      </c>
      <c r="N4" s="20" t="s">
        <v>35</v>
      </c>
      <c r="O4" s="20" t="s">
        <v>62</v>
      </c>
      <c r="P4" s="20" t="s">
        <v>113</v>
      </c>
      <c r="Q4" s="27" t="s">
        <v>61</v>
      </c>
      <c r="R4" s="28" t="s">
        <v>82</v>
      </c>
      <c r="S4" s="20" t="s">
        <v>28</v>
      </c>
      <c r="T4" s="20" t="s">
        <v>46</v>
      </c>
      <c r="U4" s="20" t="s">
        <v>57</v>
      </c>
      <c r="V4" s="20" t="s">
        <v>58</v>
      </c>
      <c r="W4" s="27" t="s">
        <v>60</v>
      </c>
      <c r="X4" s="20" t="s">
        <v>35</v>
      </c>
      <c r="Z4" s="20" t="s">
        <v>61</v>
      </c>
      <c r="AA4" s="20" t="s">
        <v>82</v>
      </c>
      <c r="AB4" s="20" t="s">
        <v>28</v>
      </c>
      <c r="AC4" s="20" t="s">
        <v>46</v>
      </c>
      <c r="AD4" s="20" t="s">
        <v>57</v>
      </c>
      <c r="AE4" s="20" t="s">
        <v>58</v>
      </c>
      <c r="AF4" s="20" t="s">
        <v>60</v>
      </c>
      <c r="AG4" s="20" t="s">
        <v>35</v>
      </c>
      <c r="AK4" s="20" t="s">
        <v>114</v>
      </c>
      <c r="AL4" s="20" t="s">
        <v>115</v>
      </c>
      <c r="AM4" s="20"/>
      <c r="AN4" s="20"/>
      <c r="AP4" s="26" t="s">
        <v>6</v>
      </c>
      <c r="AR4" s="20" t="s">
        <v>62</v>
      </c>
      <c r="AS4" s="20" t="s">
        <v>113</v>
      </c>
      <c r="AT4" s="27" t="s">
        <v>61</v>
      </c>
      <c r="AU4" s="28" t="s">
        <v>82</v>
      </c>
      <c r="AV4" s="20" t="s">
        <v>28</v>
      </c>
      <c r="AW4" s="20" t="s">
        <v>46</v>
      </c>
      <c r="AX4" s="20" t="s">
        <v>57</v>
      </c>
      <c r="AY4" s="20" t="s">
        <v>58</v>
      </c>
      <c r="AZ4" s="27" t="s">
        <v>60</v>
      </c>
      <c r="BA4" s="20" t="s">
        <v>35</v>
      </c>
      <c r="BB4" s="20" t="s">
        <v>62</v>
      </c>
      <c r="BC4" s="20" t="s">
        <v>113</v>
      </c>
      <c r="BD4" s="27" t="s">
        <v>61</v>
      </c>
      <c r="BE4" s="28" t="s">
        <v>82</v>
      </c>
      <c r="BF4" s="20" t="s">
        <v>28</v>
      </c>
      <c r="BG4" s="20" t="s">
        <v>46</v>
      </c>
      <c r="BH4" s="20" t="s">
        <v>57</v>
      </c>
      <c r="BI4" s="20" t="s">
        <v>58</v>
      </c>
      <c r="BJ4" s="27" t="s">
        <v>60</v>
      </c>
      <c r="BK4" s="20" t="s">
        <v>35</v>
      </c>
      <c r="BM4" s="20" t="s">
        <v>61</v>
      </c>
      <c r="BN4" s="20" t="s">
        <v>82</v>
      </c>
      <c r="BO4" s="20" t="s">
        <v>28</v>
      </c>
      <c r="BP4" s="20" t="s">
        <v>46</v>
      </c>
      <c r="BQ4" s="20" t="s">
        <v>57</v>
      </c>
      <c r="BR4" s="20" t="s">
        <v>58</v>
      </c>
      <c r="BS4" s="20" t="s">
        <v>60</v>
      </c>
      <c r="BT4" s="20" t="s">
        <v>35</v>
      </c>
      <c r="BX4" s="20" t="s">
        <v>114</v>
      </c>
      <c r="BY4" s="20" t="s">
        <v>115</v>
      </c>
      <c r="BZ4" s="20"/>
      <c r="CA4" s="20"/>
      <c r="CB4" s="20"/>
      <c r="CC4" s="26" t="s">
        <v>7</v>
      </c>
      <c r="CE4" s="20" t="s">
        <v>62</v>
      </c>
      <c r="CF4" s="20" t="s">
        <v>113</v>
      </c>
      <c r="CG4" s="27" t="s">
        <v>61</v>
      </c>
      <c r="CH4" s="28" t="s">
        <v>82</v>
      </c>
      <c r="CI4" s="20" t="s">
        <v>28</v>
      </c>
      <c r="CJ4" s="20" t="s">
        <v>46</v>
      </c>
      <c r="CK4" s="20" t="s">
        <v>57</v>
      </c>
      <c r="CL4" s="20" t="s">
        <v>58</v>
      </c>
      <c r="CM4" s="27" t="s">
        <v>60</v>
      </c>
      <c r="CN4" s="20" t="s">
        <v>35</v>
      </c>
      <c r="CO4" s="20" t="s">
        <v>62</v>
      </c>
      <c r="CP4" s="20" t="s">
        <v>113</v>
      </c>
      <c r="CQ4" s="27" t="s">
        <v>61</v>
      </c>
      <c r="CR4" s="28" t="s">
        <v>82</v>
      </c>
      <c r="CS4" s="20" t="s">
        <v>28</v>
      </c>
      <c r="CT4" s="20" t="s">
        <v>46</v>
      </c>
      <c r="CU4" s="20" t="s">
        <v>57</v>
      </c>
      <c r="CV4" s="20" t="s">
        <v>58</v>
      </c>
      <c r="CW4" s="27" t="s">
        <v>60</v>
      </c>
      <c r="CX4" s="20" t="s">
        <v>35</v>
      </c>
      <c r="CZ4" s="20" t="s">
        <v>61</v>
      </c>
      <c r="DA4" s="20" t="s">
        <v>82</v>
      </c>
      <c r="DB4" s="20" t="s">
        <v>28</v>
      </c>
      <c r="DC4" s="20" t="s">
        <v>46</v>
      </c>
      <c r="DD4" s="20" t="s">
        <v>57</v>
      </c>
      <c r="DE4" s="20" t="s">
        <v>58</v>
      </c>
      <c r="DF4" s="20" t="s">
        <v>60</v>
      </c>
      <c r="DG4" s="20" t="s">
        <v>35</v>
      </c>
      <c r="DK4" s="20" t="s">
        <v>114</v>
      </c>
      <c r="DL4" s="20" t="s">
        <v>115</v>
      </c>
      <c r="DP4" s="26" t="s">
        <v>8</v>
      </c>
      <c r="DR4" s="20" t="s">
        <v>62</v>
      </c>
      <c r="DS4" s="20" t="s">
        <v>113</v>
      </c>
      <c r="DT4" s="27" t="s">
        <v>61</v>
      </c>
      <c r="DU4" s="28" t="s">
        <v>82</v>
      </c>
      <c r="DV4" s="20" t="s">
        <v>28</v>
      </c>
      <c r="DW4" s="20" t="s">
        <v>46</v>
      </c>
      <c r="DX4" s="20" t="s">
        <v>57</v>
      </c>
      <c r="DY4" s="20" t="s">
        <v>58</v>
      </c>
      <c r="DZ4" s="27" t="s">
        <v>60</v>
      </c>
      <c r="EA4" s="20" t="s">
        <v>35</v>
      </c>
      <c r="EB4" s="20" t="s">
        <v>62</v>
      </c>
      <c r="EC4" s="20" t="s">
        <v>113</v>
      </c>
      <c r="ED4" s="27" t="s">
        <v>61</v>
      </c>
      <c r="EE4" s="28" t="s">
        <v>82</v>
      </c>
      <c r="EF4" s="20" t="s">
        <v>28</v>
      </c>
      <c r="EG4" s="20" t="s">
        <v>46</v>
      </c>
      <c r="EH4" s="20" t="s">
        <v>57</v>
      </c>
      <c r="EI4" s="20" t="s">
        <v>58</v>
      </c>
      <c r="EJ4" s="27" t="s">
        <v>60</v>
      </c>
      <c r="EK4" s="20" t="s">
        <v>35</v>
      </c>
      <c r="EM4" s="20" t="s">
        <v>61</v>
      </c>
      <c r="EN4" s="20" t="s">
        <v>82</v>
      </c>
      <c r="EO4" s="20" t="s">
        <v>28</v>
      </c>
      <c r="EP4" s="20" t="s">
        <v>46</v>
      </c>
      <c r="EQ4" s="20" t="s">
        <v>57</v>
      </c>
      <c r="ER4" s="20" t="s">
        <v>58</v>
      </c>
      <c r="ES4" s="20" t="s">
        <v>60</v>
      </c>
      <c r="ET4" s="20" t="s">
        <v>35</v>
      </c>
      <c r="EX4" s="20" t="s">
        <v>114</v>
      </c>
      <c r="EY4" s="20" t="s">
        <v>115</v>
      </c>
      <c r="FC4" s="26" t="s">
        <v>9</v>
      </c>
      <c r="FE4" s="20" t="s">
        <v>62</v>
      </c>
      <c r="FF4" s="20" t="s">
        <v>113</v>
      </c>
      <c r="FG4" s="27" t="s">
        <v>61</v>
      </c>
      <c r="FH4" s="28" t="s">
        <v>82</v>
      </c>
      <c r="FI4" s="20" t="s">
        <v>28</v>
      </c>
      <c r="FJ4" s="20" t="s">
        <v>46</v>
      </c>
      <c r="FK4" s="20" t="s">
        <v>57</v>
      </c>
      <c r="FL4" s="20" t="s">
        <v>58</v>
      </c>
      <c r="FM4" s="27" t="s">
        <v>60</v>
      </c>
      <c r="FN4" s="20" t="s">
        <v>35</v>
      </c>
      <c r="FO4" s="20" t="s">
        <v>62</v>
      </c>
      <c r="FP4" s="20" t="s">
        <v>113</v>
      </c>
      <c r="FQ4" s="27" t="s">
        <v>61</v>
      </c>
      <c r="FR4" s="28" t="s">
        <v>82</v>
      </c>
      <c r="FS4" s="20" t="s">
        <v>28</v>
      </c>
      <c r="FT4" s="20" t="s">
        <v>46</v>
      </c>
      <c r="FU4" s="20" t="s">
        <v>57</v>
      </c>
      <c r="FV4" s="20" t="s">
        <v>58</v>
      </c>
      <c r="FW4" s="27" t="s">
        <v>60</v>
      </c>
      <c r="FX4" s="20" t="s">
        <v>35</v>
      </c>
      <c r="FZ4" s="20" t="s">
        <v>61</v>
      </c>
      <c r="GA4" s="20" t="s">
        <v>82</v>
      </c>
      <c r="GB4" s="20" t="s">
        <v>28</v>
      </c>
      <c r="GC4" s="20" t="s">
        <v>46</v>
      </c>
      <c r="GD4" s="20" t="s">
        <v>57</v>
      </c>
      <c r="GE4" s="20" t="s">
        <v>58</v>
      </c>
      <c r="GF4" s="20" t="s">
        <v>60</v>
      </c>
      <c r="GG4" s="20" t="s">
        <v>35</v>
      </c>
      <c r="GK4" s="20" t="s">
        <v>114</v>
      </c>
      <c r="GL4" s="20" t="s">
        <v>115</v>
      </c>
      <c r="GP4" s="26" t="s">
        <v>10</v>
      </c>
      <c r="GR4" s="20" t="s">
        <v>62</v>
      </c>
      <c r="GS4" s="20" t="s">
        <v>113</v>
      </c>
      <c r="GT4" s="27" t="s">
        <v>61</v>
      </c>
      <c r="GU4" s="28" t="s">
        <v>82</v>
      </c>
      <c r="GV4" s="20" t="s">
        <v>28</v>
      </c>
      <c r="GW4" s="20" t="s">
        <v>46</v>
      </c>
      <c r="GX4" s="20" t="s">
        <v>57</v>
      </c>
      <c r="GY4" s="20" t="s">
        <v>58</v>
      </c>
      <c r="GZ4" s="27" t="s">
        <v>60</v>
      </c>
      <c r="HA4" s="20" t="s">
        <v>35</v>
      </c>
      <c r="HB4" s="20" t="s">
        <v>62</v>
      </c>
      <c r="HC4" s="20" t="s">
        <v>113</v>
      </c>
      <c r="HD4" s="27" t="s">
        <v>61</v>
      </c>
      <c r="HE4" s="28" t="s">
        <v>82</v>
      </c>
      <c r="HF4" s="20" t="s">
        <v>28</v>
      </c>
      <c r="HG4" s="20" t="s">
        <v>46</v>
      </c>
      <c r="HH4" s="20" t="s">
        <v>57</v>
      </c>
      <c r="HI4" s="20" t="s">
        <v>58</v>
      </c>
      <c r="HJ4" s="27" t="s">
        <v>60</v>
      </c>
      <c r="HK4" s="20" t="s">
        <v>35</v>
      </c>
      <c r="HM4" s="20" t="s">
        <v>61</v>
      </c>
      <c r="HN4" s="20" t="s">
        <v>82</v>
      </c>
      <c r="HO4" s="20" t="s">
        <v>28</v>
      </c>
      <c r="HP4" s="20" t="s">
        <v>46</v>
      </c>
      <c r="HQ4" s="20" t="s">
        <v>57</v>
      </c>
      <c r="HR4" s="20" t="s">
        <v>58</v>
      </c>
      <c r="HS4" s="20" t="s">
        <v>60</v>
      </c>
      <c r="HT4" s="20" t="s">
        <v>35</v>
      </c>
      <c r="HX4" s="20" t="s">
        <v>114</v>
      </c>
      <c r="HY4" s="20" t="s">
        <v>115</v>
      </c>
      <c r="IC4" s="26" t="s">
        <v>11</v>
      </c>
      <c r="IE4" s="20" t="s">
        <v>62</v>
      </c>
      <c r="IF4" s="20" t="s">
        <v>113</v>
      </c>
      <c r="IG4" s="27" t="s">
        <v>61</v>
      </c>
      <c r="IH4" s="28" t="s">
        <v>82</v>
      </c>
      <c r="II4" s="20" t="s">
        <v>28</v>
      </c>
      <c r="IJ4" s="20" t="s">
        <v>46</v>
      </c>
      <c r="IK4" s="20" t="s">
        <v>57</v>
      </c>
      <c r="IL4" s="20" t="s">
        <v>58</v>
      </c>
      <c r="IM4" s="27" t="s">
        <v>60</v>
      </c>
      <c r="IN4" s="20" t="s">
        <v>35</v>
      </c>
      <c r="IO4" s="20" t="s">
        <v>62</v>
      </c>
      <c r="IP4" s="20" t="s">
        <v>113</v>
      </c>
      <c r="IQ4" s="27" t="s">
        <v>61</v>
      </c>
      <c r="IR4" s="28" t="s">
        <v>82</v>
      </c>
      <c r="IS4" s="20" t="s">
        <v>28</v>
      </c>
      <c r="IT4" s="20" t="s">
        <v>46</v>
      </c>
      <c r="IU4" s="20" t="s">
        <v>57</v>
      </c>
      <c r="IV4" s="20" t="s">
        <v>58</v>
      </c>
      <c r="IW4" s="27" t="s">
        <v>60</v>
      </c>
      <c r="IX4" s="20" t="s">
        <v>35</v>
      </c>
      <c r="IZ4" s="20" t="s">
        <v>61</v>
      </c>
      <c r="JA4" s="20" t="s">
        <v>82</v>
      </c>
      <c r="JB4" s="20" t="s">
        <v>28</v>
      </c>
      <c r="JC4" s="20" t="s">
        <v>46</v>
      </c>
      <c r="JD4" s="20" t="s">
        <v>57</v>
      </c>
      <c r="JE4" s="20" t="s">
        <v>58</v>
      </c>
      <c r="JF4" s="20" t="s">
        <v>60</v>
      </c>
      <c r="JG4" s="20" t="s">
        <v>35</v>
      </c>
      <c r="JK4" s="20" t="s">
        <v>114</v>
      </c>
      <c r="JL4" s="20" t="s">
        <v>115</v>
      </c>
      <c r="JP4" s="26" t="s">
        <v>12</v>
      </c>
      <c r="JR4" s="20" t="s">
        <v>62</v>
      </c>
      <c r="JS4" s="20" t="s">
        <v>113</v>
      </c>
      <c r="JT4" s="27" t="s">
        <v>61</v>
      </c>
      <c r="JU4" s="28" t="s">
        <v>82</v>
      </c>
      <c r="JV4" s="20" t="s">
        <v>28</v>
      </c>
      <c r="JW4" s="20" t="s">
        <v>46</v>
      </c>
      <c r="JX4" s="20" t="s">
        <v>57</v>
      </c>
      <c r="JY4" s="20" t="s">
        <v>58</v>
      </c>
      <c r="JZ4" s="27" t="s">
        <v>60</v>
      </c>
      <c r="KA4" s="20" t="s">
        <v>35</v>
      </c>
      <c r="KB4" s="20" t="s">
        <v>62</v>
      </c>
      <c r="KC4" s="20" t="s">
        <v>113</v>
      </c>
      <c r="KD4" s="27" t="s">
        <v>61</v>
      </c>
      <c r="KE4" s="28" t="s">
        <v>82</v>
      </c>
      <c r="KF4" s="20" t="s">
        <v>28</v>
      </c>
      <c r="KG4" s="20" t="s">
        <v>46</v>
      </c>
      <c r="KH4" s="20" t="s">
        <v>57</v>
      </c>
      <c r="KI4" s="20" t="s">
        <v>58</v>
      </c>
      <c r="KJ4" s="27" t="s">
        <v>60</v>
      </c>
      <c r="KK4" s="20" t="s">
        <v>35</v>
      </c>
      <c r="KM4" s="20" t="s">
        <v>61</v>
      </c>
      <c r="KN4" s="20" t="s">
        <v>82</v>
      </c>
      <c r="KO4" s="20" t="s">
        <v>28</v>
      </c>
      <c r="KP4" s="20" t="s">
        <v>46</v>
      </c>
      <c r="KQ4" s="20" t="s">
        <v>57</v>
      </c>
      <c r="KR4" s="20" t="s">
        <v>58</v>
      </c>
      <c r="KS4" s="20" t="s">
        <v>60</v>
      </c>
      <c r="KT4" s="20" t="s">
        <v>35</v>
      </c>
      <c r="KX4" s="20" t="s">
        <v>114</v>
      </c>
      <c r="KY4" s="20" t="s">
        <v>115</v>
      </c>
      <c r="LC4" s="26" t="s">
        <v>13</v>
      </c>
      <c r="LE4" s="20" t="s">
        <v>62</v>
      </c>
      <c r="LF4" s="20" t="s">
        <v>113</v>
      </c>
      <c r="LG4" s="27" t="s">
        <v>61</v>
      </c>
      <c r="LH4" s="28" t="s">
        <v>82</v>
      </c>
      <c r="LI4" s="20" t="s">
        <v>28</v>
      </c>
      <c r="LJ4" s="20" t="s">
        <v>46</v>
      </c>
      <c r="LK4" s="20" t="s">
        <v>57</v>
      </c>
      <c r="LL4" s="20" t="s">
        <v>58</v>
      </c>
      <c r="LM4" s="27" t="s">
        <v>60</v>
      </c>
      <c r="LN4" s="20" t="s">
        <v>35</v>
      </c>
      <c r="LO4" s="20" t="s">
        <v>62</v>
      </c>
      <c r="LP4" s="20" t="s">
        <v>113</v>
      </c>
      <c r="LQ4" s="27" t="s">
        <v>61</v>
      </c>
      <c r="LR4" s="28" t="s">
        <v>82</v>
      </c>
      <c r="LS4" s="20" t="s">
        <v>28</v>
      </c>
      <c r="LT4" s="20" t="s">
        <v>46</v>
      </c>
      <c r="LU4" s="20" t="s">
        <v>57</v>
      </c>
      <c r="LV4" s="20" t="s">
        <v>58</v>
      </c>
      <c r="LW4" s="27" t="s">
        <v>60</v>
      </c>
      <c r="LX4" s="20" t="s">
        <v>35</v>
      </c>
      <c r="LZ4" s="20" t="s">
        <v>61</v>
      </c>
      <c r="MA4" s="20" t="s">
        <v>82</v>
      </c>
      <c r="MB4" s="20" t="s">
        <v>28</v>
      </c>
      <c r="MC4" s="20" t="s">
        <v>46</v>
      </c>
      <c r="MD4" s="20" t="s">
        <v>57</v>
      </c>
      <c r="ME4" s="20" t="s">
        <v>58</v>
      </c>
      <c r="MF4" s="20" t="s">
        <v>60</v>
      </c>
      <c r="MG4" s="20" t="s">
        <v>35</v>
      </c>
      <c r="MK4" s="20" t="s">
        <v>114</v>
      </c>
      <c r="ML4" s="20" t="s">
        <v>115</v>
      </c>
      <c r="MP4" s="26" t="s">
        <v>14</v>
      </c>
      <c r="MR4" s="20" t="s">
        <v>62</v>
      </c>
      <c r="MS4" s="20" t="s">
        <v>113</v>
      </c>
      <c r="MT4" s="27" t="s">
        <v>61</v>
      </c>
      <c r="MU4" s="28" t="s">
        <v>82</v>
      </c>
      <c r="MV4" s="20" t="s">
        <v>28</v>
      </c>
      <c r="MW4" s="20" t="s">
        <v>46</v>
      </c>
      <c r="MX4" s="20" t="s">
        <v>57</v>
      </c>
      <c r="MY4" s="20" t="s">
        <v>58</v>
      </c>
      <c r="MZ4" s="27" t="s">
        <v>60</v>
      </c>
      <c r="NA4" s="20" t="s">
        <v>35</v>
      </c>
      <c r="NB4" s="20" t="s">
        <v>62</v>
      </c>
      <c r="NC4" s="20" t="s">
        <v>113</v>
      </c>
      <c r="ND4" s="27" t="s">
        <v>61</v>
      </c>
      <c r="NE4" s="28" t="s">
        <v>82</v>
      </c>
      <c r="NF4" s="20" t="s">
        <v>28</v>
      </c>
      <c r="NG4" s="20" t="s">
        <v>46</v>
      </c>
      <c r="NH4" s="20" t="s">
        <v>57</v>
      </c>
      <c r="NI4" s="20" t="s">
        <v>58</v>
      </c>
      <c r="NJ4" s="27" t="s">
        <v>60</v>
      </c>
      <c r="NK4" s="20" t="s">
        <v>35</v>
      </c>
      <c r="NM4" s="20" t="s">
        <v>61</v>
      </c>
      <c r="NN4" s="20" t="s">
        <v>82</v>
      </c>
      <c r="NO4" s="20" t="s">
        <v>28</v>
      </c>
      <c r="NP4" s="20" t="s">
        <v>46</v>
      </c>
      <c r="NQ4" s="20" t="s">
        <v>57</v>
      </c>
      <c r="NR4" s="20" t="s">
        <v>58</v>
      </c>
      <c r="NS4" s="20" t="s">
        <v>60</v>
      </c>
      <c r="NT4" s="20" t="s">
        <v>35</v>
      </c>
      <c r="NX4" s="20" t="s">
        <v>114</v>
      </c>
      <c r="NY4" s="20" t="s">
        <v>115</v>
      </c>
      <c r="OC4" s="26" t="s">
        <v>15</v>
      </c>
      <c r="OE4" s="20" t="s">
        <v>62</v>
      </c>
      <c r="OF4" s="20" t="s">
        <v>113</v>
      </c>
      <c r="OG4" s="27" t="s">
        <v>61</v>
      </c>
      <c r="OH4" s="28" t="s">
        <v>82</v>
      </c>
      <c r="OI4" s="20" t="s">
        <v>28</v>
      </c>
      <c r="OJ4" s="20" t="s">
        <v>46</v>
      </c>
      <c r="OK4" s="20" t="s">
        <v>57</v>
      </c>
      <c r="OL4" s="20" t="s">
        <v>58</v>
      </c>
      <c r="OM4" s="27" t="s">
        <v>60</v>
      </c>
      <c r="ON4" s="20" t="s">
        <v>35</v>
      </c>
      <c r="OO4" s="20" t="s">
        <v>62</v>
      </c>
      <c r="OP4" s="20" t="s">
        <v>113</v>
      </c>
      <c r="OQ4" s="27" t="s">
        <v>61</v>
      </c>
      <c r="OR4" s="28" t="s">
        <v>82</v>
      </c>
      <c r="OS4" s="20" t="s">
        <v>28</v>
      </c>
      <c r="OT4" s="20" t="s">
        <v>46</v>
      </c>
      <c r="OU4" s="20" t="s">
        <v>57</v>
      </c>
      <c r="OV4" s="20" t="s">
        <v>58</v>
      </c>
      <c r="OW4" s="27" t="s">
        <v>60</v>
      </c>
      <c r="OX4" s="20" t="s">
        <v>35</v>
      </c>
      <c r="OZ4" s="20" t="s">
        <v>61</v>
      </c>
      <c r="PA4" s="20" t="s">
        <v>82</v>
      </c>
      <c r="PB4" s="20" t="s">
        <v>28</v>
      </c>
      <c r="PC4" s="20" t="s">
        <v>46</v>
      </c>
      <c r="PD4" s="20" t="s">
        <v>57</v>
      </c>
      <c r="PE4" s="20" t="s">
        <v>58</v>
      </c>
      <c r="PF4" s="20" t="s">
        <v>60</v>
      </c>
      <c r="PG4" s="20" t="s">
        <v>35</v>
      </c>
      <c r="PK4" s="20" t="s">
        <v>114</v>
      </c>
      <c r="PL4" s="20" t="s">
        <v>115</v>
      </c>
      <c r="PP4" s="26" t="s">
        <v>17</v>
      </c>
      <c r="PR4" s="20" t="s">
        <v>62</v>
      </c>
      <c r="PS4" s="20" t="s">
        <v>113</v>
      </c>
      <c r="PT4" s="27" t="s">
        <v>61</v>
      </c>
      <c r="PU4" s="28" t="s">
        <v>82</v>
      </c>
      <c r="PV4" s="20" t="s">
        <v>28</v>
      </c>
      <c r="PW4" s="20" t="s">
        <v>46</v>
      </c>
      <c r="PX4" s="20" t="s">
        <v>57</v>
      </c>
      <c r="PY4" s="20" t="s">
        <v>58</v>
      </c>
      <c r="PZ4" s="27" t="s">
        <v>60</v>
      </c>
      <c r="QA4" s="20" t="s">
        <v>35</v>
      </c>
      <c r="QB4" s="20" t="s">
        <v>62</v>
      </c>
      <c r="QC4" s="20" t="s">
        <v>113</v>
      </c>
      <c r="QD4" s="27" t="s">
        <v>61</v>
      </c>
      <c r="QE4" s="28" t="s">
        <v>82</v>
      </c>
      <c r="QF4" s="20" t="s">
        <v>28</v>
      </c>
      <c r="QG4" s="20" t="s">
        <v>46</v>
      </c>
      <c r="QH4" s="20" t="s">
        <v>57</v>
      </c>
      <c r="QI4" s="20" t="s">
        <v>58</v>
      </c>
      <c r="QJ4" s="27" t="s">
        <v>60</v>
      </c>
      <c r="QK4" s="20" t="s">
        <v>35</v>
      </c>
      <c r="QM4" s="20" t="s">
        <v>61</v>
      </c>
      <c r="QN4" s="20" t="s">
        <v>82</v>
      </c>
      <c r="QO4" s="20" t="s">
        <v>28</v>
      </c>
      <c r="QP4" s="20" t="s">
        <v>46</v>
      </c>
      <c r="QQ4" s="20" t="s">
        <v>57</v>
      </c>
      <c r="QR4" s="20" t="s">
        <v>58</v>
      </c>
      <c r="QS4" s="20" t="s">
        <v>60</v>
      </c>
      <c r="QT4" s="20" t="s">
        <v>35</v>
      </c>
      <c r="QX4" s="20" t="s">
        <v>114</v>
      </c>
      <c r="QY4" s="20" t="s">
        <v>115</v>
      </c>
      <c r="RC4" s="26" t="s">
        <v>18</v>
      </c>
      <c r="RE4" s="20" t="s">
        <v>62</v>
      </c>
      <c r="RF4" s="20" t="s">
        <v>113</v>
      </c>
      <c r="RG4" s="27" t="s">
        <v>61</v>
      </c>
      <c r="RH4" s="28" t="s">
        <v>82</v>
      </c>
      <c r="RI4" s="20" t="s">
        <v>28</v>
      </c>
      <c r="RJ4" s="20" t="s">
        <v>46</v>
      </c>
      <c r="RK4" s="20" t="s">
        <v>57</v>
      </c>
      <c r="RL4" s="20" t="s">
        <v>58</v>
      </c>
      <c r="RM4" s="27" t="s">
        <v>60</v>
      </c>
      <c r="RN4" s="20" t="s">
        <v>35</v>
      </c>
      <c r="RO4" s="20" t="s">
        <v>62</v>
      </c>
      <c r="RP4" s="20" t="s">
        <v>113</v>
      </c>
      <c r="RQ4" s="27" t="s">
        <v>61</v>
      </c>
      <c r="RR4" s="28" t="s">
        <v>82</v>
      </c>
      <c r="RS4" s="20" t="s">
        <v>28</v>
      </c>
      <c r="RT4" s="20" t="s">
        <v>46</v>
      </c>
      <c r="RU4" s="20" t="s">
        <v>57</v>
      </c>
      <c r="RV4" s="20" t="s">
        <v>58</v>
      </c>
      <c r="RW4" s="27" t="s">
        <v>60</v>
      </c>
      <c r="RX4" s="20" t="s">
        <v>35</v>
      </c>
      <c r="RZ4" s="20" t="s">
        <v>61</v>
      </c>
      <c r="SA4" s="20" t="s">
        <v>82</v>
      </c>
      <c r="SB4" s="20" t="s">
        <v>28</v>
      </c>
      <c r="SC4" s="20" t="s">
        <v>46</v>
      </c>
      <c r="SD4" s="20" t="s">
        <v>57</v>
      </c>
      <c r="SE4" s="20" t="s">
        <v>58</v>
      </c>
      <c r="SF4" s="20" t="s">
        <v>60</v>
      </c>
      <c r="SG4" s="20" t="s">
        <v>35</v>
      </c>
      <c r="SK4" s="20" t="s">
        <v>114</v>
      </c>
      <c r="SL4" s="20" t="s">
        <v>115</v>
      </c>
      <c r="SP4" s="26" t="s">
        <v>19</v>
      </c>
      <c r="SR4" s="20" t="s">
        <v>62</v>
      </c>
      <c r="SS4" s="20" t="s">
        <v>113</v>
      </c>
      <c r="ST4" s="27" t="s">
        <v>61</v>
      </c>
      <c r="SU4" s="28" t="s">
        <v>82</v>
      </c>
      <c r="SV4" s="20" t="s">
        <v>28</v>
      </c>
      <c r="SW4" s="20" t="s">
        <v>46</v>
      </c>
      <c r="SX4" s="20" t="s">
        <v>57</v>
      </c>
      <c r="SY4" s="20" t="s">
        <v>58</v>
      </c>
      <c r="SZ4" s="27" t="s">
        <v>60</v>
      </c>
      <c r="TA4" s="20" t="s">
        <v>35</v>
      </c>
      <c r="TB4" s="20" t="s">
        <v>62</v>
      </c>
      <c r="TC4" s="20" t="s">
        <v>113</v>
      </c>
      <c r="TD4" s="27" t="s">
        <v>61</v>
      </c>
      <c r="TE4" s="28" t="s">
        <v>82</v>
      </c>
      <c r="TF4" s="20" t="s">
        <v>28</v>
      </c>
      <c r="TG4" s="20" t="s">
        <v>46</v>
      </c>
      <c r="TH4" s="20" t="s">
        <v>57</v>
      </c>
      <c r="TI4" s="20" t="s">
        <v>58</v>
      </c>
      <c r="TJ4" s="27" t="s">
        <v>60</v>
      </c>
      <c r="TK4" s="20" t="s">
        <v>35</v>
      </c>
      <c r="TM4" s="20" t="s">
        <v>61</v>
      </c>
      <c r="TN4" s="20" t="s">
        <v>82</v>
      </c>
      <c r="TO4" s="20" t="s">
        <v>28</v>
      </c>
      <c r="TP4" s="20" t="s">
        <v>46</v>
      </c>
      <c r="TQ4" s="20" t="s">
        <v>57</v>
      </c>
      <c r="TR4" s="20" t="s">
        <v>58</v>
      </c>
      <c r="TS4" s="20" t="s">
        <v>60</v>
      </c>
      <c r="TT4" s="20" t="s">
        <v>35</v>
      </c>
      <c r="TX4" s="20" t="s">
        <v>114</v>
      </c>
      <c r="TY4" s="20" t="s">
        <v>115</v>
      </c>
      <c r="UC4" s="26" t="s">
        <v>16</v>
      </c>
      <c r="UE4" s="20" t="s">
        <v>62</v>
      </c>
      <c r="UF4" s="20" t="s">
        <v>113</v>
      </c>
      <c r="UG4" s="27" t="s">
        <v>61</v>
      </c>
      <c r="UH4" s="28" t="s">
        <v>82</v>
      </c>
      <c r="UI4" s="20" t="s">
        <v>28</v>
      </c>
      <c r="UJ4" s="20" t="s">
        <v>46</v>
      </c>
      <c r="UK4" s="20" t="s">
        <v>57</v>
      </c>
      <c r="UL4" s="20" t="s">
        <v>58</v>
      </c>
      <c r="UM4" s="27" t="s">
        <v>60</v>
      </c>
      <c r="UN4" s="20" t="s">
        <v>35</v>
      </c>
      <c r="UO4" s="20" t="s">
        <v>62</v>
      </c>
      <c r="UP4" s="20" t="s">
        <v>113</v>
      </c>
      <c r="UQ4" s="27" t="s">
        <v>61</v>
      </c>
      <c r="UR4" s="28" t="s">
        <v>82</v>
      </c>
      <c r="US4" s="20" t="s">
        <v>28</v>
      </c>
      <c r="UT4" s="20" t="s">
        <v>46</v>
      </c>
      <c r="UU4" s="20" t="s">
        <v>57</v>
      </c>
      <c r="UV4" s="20" t="s">
        <v>58</v>
      </c>
      <c r="UW4" s="27" t="s">
        <v>60</v>
      </c>
      <c r="UX4" s="20" t="s">
        <v>35</v>
      </c>
      <c r="UZ4" s="20" t="s">
        <v>61</v>
      </c>
      <c r="VA4" s="20" t="s">
        <v>82</v>
      </c>
      <c r="VB4" s="20" t="s">
        <v>28</v>
      </c>
      <c r="VC4" s="20" t="s">
        <v>46</v>
      </c>
      <c r="VD4" s="20" t="s">
        <v>57</v>
      </c>
      <c r="VE4" s="20" t="s">
        <v>58</v>
      </c>
      <c r="VF4" s="20" t="s">
        <v>60</v>
      </c>
      <c r="VG4" s="20" t="s">
        <v>35</v>
      </c>
      <c r="VK4" s="20" t="s">
        <v>114</v>
      </c>
      <c r="VL4" s="20" t="s">
        <v>115</v>
      </c>
      <c r="VP4" s="26" t="s">
        <v>20</v>
      </c>
      <c r="VR4" s="20" t="s">
        <v>62</v>
      </c>
      <c r="VS4" s="20" t="s">
        <v>113</v>
      </c>
      <c r="VT4" s="27" t="s">
        <v>61</v>
      </c>
      <c r="VU4" s="28" t="s">
        <v>82</v>
      </c>
      <c r="VV4" s="20" t="s">
        <v>28</v>
      </c>
      <c r="VW4" s="20" t="s">
        <v>46</v>
      </c>
      <c r="VX4" s="20" t="s">
        <v>57</v>
      </c>
      <c r="VY4" s="20" t="s">
        <v>58</v>
      </c>
      <c r="VZ4" s="27" t="s">
        <v>60</v>
      </c>
      <c r="WA4" s="20" t="s">
        <v>35</v>
      </c>
      <c r="WB4" s="20" t="s">
        <v>62</v>
      </c>
      <c r="WC4" s="20" t="s">
        <v>113</v>
      </c>
      <c r="WD4" s="27" t="s">
        <v>61</v>
      </c>
      <c r="WE4" s="28" t="s">
        <v>82</v>
      </c>
      <c r="WF4" s="20" t="s">
        <v>28</v>
      </c>
      <c r="WG4" s="20" t="s">
        <v>46</v>
      </c>
      <c r="WH4" s="20" t="s">
        <v>57</v>
      </c>
      <c r="WI4" s="20" t="s">
        <v>58</v>
      </c>
      <c r="WJ4" s="27" t="s">
        <v>60</v>
      </c>
      <c r="WK4" s="20" t="s">
        <v>35</v>
      </c>
      <c r="WM4" s="20" t="s">
        <v>61</v>
      </c>
      <c r="WN4" s="20" t="s">
        <v>82</v>
      </c>
      <c r="WO4" s="20" t="s">
        <v>28</v>
      </c>
      <c r="WP4" s="20" t="s">
        <v>46</v>
      </c>
      <c r="WQ4" s="20" t="s">
        <v>57</v>
      </c>
      <c r="WR4" s="20" t="s">
        <v>58</v>
      </c>
      <c r="WS4" s="20" t="s">
        <v>60</v>
      </c>
      <c r="WT4" s="20" t="s">
        <v>35</v>
      </c>
      <c r="WX4" s="20" t="s">
        <v>114</v>
      </c>
      <c r="WY4" s="20" t="s">
        <v>115</v>
      </c>
      <c r="XC4" s="26" t="s">
        <v>34</v>
      </c>
      <c r="XE4" s="20" t="s">
        <v>62</v>
      </c>
      <c r="XF4" s="20" t="s">
        <v>113</v>
      </c>
      <c r="XG4" s="27" t="s">
        <v>61</v>
      </c>
      <c r="XH4" s="28" t="s">
        <v>82</v>
      </c>
      <c r="XI4" s="20" t="s">
        <v>28</v>
      </c>
      <c r="XJ4" s="20" t="s">
        <v>46</v>
      </c>
      <c r="XK4" s="20" t="s">
        <v>57</v>
      </c>
      <c r="XL4" s="20" t="s">
        <v>58</v>
      </c>
      <c r="XM4" s="27" t="s">
        <v>60</v>
      </c>
      <c r="XN4" s="20" t="s">
        <v>35</v>
      </c>
      <c r="XO4" s="20" t="s">
        <v>62</v>
      </c>
      <c r="XP4" s="20" t="s">
        <v>113</v>
      </c>
      <c r="XQ4" s="27" t="s">
        <v>61</v>
      </c>
      <c r="XR4" s="28" t="s">
        <v>82</v>
      </c>
      <c r="XS4" s="20" t="s">
        <v>28</v>
      </c>
      <c r="XT4" s="20" t="s">
        <v>46</v>
      </c>
      <c r="XU4" s="20" t="s">
        <v>57</v>
      </c>
      <c r="XV4" s="20" t="s">
        <v>58</v>
      </c>
      <c r="XW4" s="27" t="s">
        <v>60</v>
      </c>
      <c r="XX4" s="20" t="s">
        <v>35</v>
      </c>
      <c r="XZ4" s="20" t="s">
        <v>61</v>
      </c>
      <c r="YA4" s="20" t="s">
        <v>82</v>
      </c>
      <c r="YB4" s="20" t="s">
        <v>28</v>
      </c>
      <c r="YC4" s="20" t="s">
        <v>46</v>
      </c>
      <c r="YD4" s="20" t="s">
        <v>57</v>
      </c>
      <c r="YE4" s="20" t="s">
        <v>58</v>
      </c>
      <c r="YF4" s="20" t="s">
        <v>60</v>
      </c>
      <c r="YG4" s="20" t="s">
        <v>35</v>
      </c>
      <c r="YK4" s="20" t="s">
        <v>114</v>
      </c>
      <c r="YL4" s="20" t="s">
        <v>115</v>
      </c>
      <c r="YP4" s="26" t="s">
        <v>21</v>
      </c>
      <c r="YR4" s="20" t="s">
        <v>62</v>
      </c>
      <c r="YS4" s="20" t="s">
        <v>113</v>
      </c>
      <c r="YT4" s="27" t="s">
        <v>61</v>
      </c>
      <c r="YU4" s="28" t="s">
        <v>82</v>
      </c>
      <c r="YV4" s="20" t="s">
        <v>28</v>
      </c>
      <c r="YW4" s="20" t="s">
        <v>46</v>
      </c>
      <c r="YX4" s="20" t="s">
        <v>57</v>
      </c>
      <c r="YY4" s="20" t="s">
        <v>58</v>
      </c>
      <c r="YZ4" s="27" t="s">
        <v>60</v>
      </c>
      <c r="ZA4" s="20" t="s">
        <v>35</v>
      </c>
      <c r="ZB4" s="20" t="s">
        <v>62</v>
      </c>
      <c r="ZC4" s="20" t="s">
        <v>113</v>
      </c>
      <c r="ZD4" s="27" t="s">
        <v>61</v>
      </c>
      <c r="ZE4" s="28" t="s">
        <v>82</v>
      </c>
      <c r="ZF4" s="20" t="s">
        <v>28</v>
      </c>
      <c r="ZG4" s="20" t="s">
        <v>46</v>
      </c>
      <c r="ZH4" s="20" t="s">
        <v>57</v>
      </c>
      <c r="ZI4" s="20" t="s">
        <v>58</v>
      </c>
      <c r="ZJ4" s="27" t="s">
        <v>60</v>
      </c>
      <c r="ZK4" s="20" t="s">
        <v>35</v>
      </c>
      <c r="ZM4" s="20" t="s">
        <v>61</v>
      </c>
      <c r="ZN4" s="20" t="s">
        <v>82</v>
      </c>
      <c r="ZO4" s="20" t="s">
        <v>28</v>
      </c>
      <c r="ZP4" s="20" t="s">
        <v>46</v>
      </c>
      <c r="ZQ4" s="20" t="s">
        <v>57</v>
      </c>
      <c r="ZR4" s="20" t="s">
        <v>58</v>
      </c>
      <c r="ZS4" s="20" t="s">
        <v>60</v>
      </c>
      <c r="ZT4" s="20" t="s">
        <v>35</v>
      </c>
      <c r="ZX4" s="20" t="s">
        <v>114</v>
      </c>
      <c r="ZY4" s="20" t="s">
        <v>115</v>
      </c>
      <c r="AAC4" s="26" t="s">
        <v>22</v>
      </c>
      <c r="AAE4" s="20" t="s">
        <v>62</v>
      </c>
      <c r="AAF4" s="20" t="s">
        <v>113</v>
      </c>
      <c r="AAG4" s="27" t="s">
        <v>61</v>
      </c>
      <c r="AAH4" s="28" t="s">
        <v>82</v>
      </c>
      <c r="AAI4" s="20" t="s">
        <v>28</v>
      </c>
      <c r="AAJ4" s="20" t="s">
        <v>46</v>
      </c>
      <c r="AAK4" s="20" t="s">
        <v>57</v>
      </c>
      <c r="AAL4" s="20" t="s">
        <v>58</v>
      </c>
      <c r="AAM4" s="27" t="s">
        <v>60</v>
      </c>
      <c r="AAN4" s="20" t="s">
        <v>35</v>
      </c>
      <c r="AAO4" s="20" t="s">
        <v>62</v>
      </c>
      <c r="AAP4" s="20" t="s">
        <v>113</v>
      </c>
      <c r="AAQ4" s="27" t="s">
        <v>61</v>
      </c>
      <c r="AAR4" s="28" t="s">
        <v>82</v>
      </c>
      <c r="AAS4" s="20" t="s">
        <v>28</v>
      </c>
      <c r="AAT4" s="20" t="s">
        <v>46</v>
      </c>
      <c r="AAU4" s="20" t="s">
        <v>57</v>
      </c>
      <c r="AAV4" s="20" t="s">
        <v>58</v>
      </c>
      <c r="AAW4" s="27" t="s">
        <v>60</v>
      </c>
      <c r="AAX4" s="20" t="s">
        <v>35</v>
      </c>
      <c r="AAZ4" s="20" t="s">
        <v>61</v>
      </c>
      <c r="ABA4" s="20" t="s">
        <v>82</v>
      </c>
      <c r="ABB4" s="20" t="s">
        <v>28</v>
      </c>
      <c r="ABC4" s="20" t="s">
        <v>46</v>
      </c>
      <c r="ABD4" s="20" t="s">
        <v>57</v>
      </c>
      <c r="ABE4" s="20" t="s">
        <v>58</v>
      </c>
      <c r="ABF4" s="20" t="s">
        <v>60</v>
      </c>
      <c r="ABG4" s="20" t="s">
        <v>35</v>
      </c>
      <c r="ABK4" s="20" t="s">
        <v>114</v>
      </c>
      <c r="ABL4" s="20" t="s">
        <v>115</v>
      </c>
      <c r="ABP4" s="26" t="s">
        <v>23</v>
      </c>
      <c r="ABR4" s="20" t="s">
        <v>62</v>
      </c>
      <c r="ABS4" s="20" t="s">
        <v>113</v>
      </c>
      <c r="ABT4" s="27" t="s">
        <v>61</v>
      </c>
      <c r="ABU4" s="28" t="s">
        <v>82</v>
      </c>
      <c r="ABV4" s="20" t="s">
        <v>28</v>
      </c>
      <c r="ABW4" s="20" t="s">
        <v>46</v>
      </c>
      <c r="ABX4" s="20" t="s">
        <v>57</v>
      </c>
      <c r="ABY4" s="20" t="s">
        <v>58</v>
      </c>
      <c r="ABZ4" s="27" t="s">
        <v>60</v>
      </c>
      <c r="ACA4" s="20" t="s">
        <v>35</v>
      </c>
      <c r="ACB4" s="20" t="s">
        <v>62</v>
      </c>
      <c r="ACC4" s="20" t="s">
        <v>113</v>
      </c>
      <c r="ACD4" s="27" t="s">
        <v>61</v>
      </c>
      <c r="ACE4" s="28" t="s">
        <v>82</v>
      </c>
      <c r="ACF4" s="20" t="s">
        <v>28</v>
      </c>
      <c r="ACG4" s="20" t="s">
        <v>46</v>
      </c>
      <c r="ACH4" s="20" t="s">
        <v>57</v>
      </c>
      <c r="ACI4" s="20" t="s">
        <v>58</v>
      </c>
      <c r="ACJ4" s="27" t="s">
        <v>60</v>
      </c>
      <c r="ACK4" s="20" t="s">
        <v>35</v>
      </c>
      <c r="ACM4" s="20" t="s">
        <v>61</v>
      </c>
      <c r="ACN4" s="20" t="s">
        <v>82</v>
      </c>
      <c r="ACO4" s="20" t="s">
        <v>28</v>
      </c>
      <c r="ACP4" s="20" t="s">
        <v>46</v>
      </c>
      <c r="ACQ4" s="20" t="s">
        <v>57</v>
      </c>
      <c r="ACR4" s="20" t="s">
        <v>58</v>
      </c>
      <c r="ACS4" s="20" t="s">
        <v>60</v>
      </c>
      <c r="ACT4" s="20" t="s">
        <v>35</v>
      </c>
      <c r="ACX4" s="20" t="s">
        <v>114</v>
      </c>
      <c r="ACY4" s="20" t="s">
        <v>115</v>
      </c>
    </row>
    <row r="5" spans="1:779" x14ac:dyDescent="0.3">
      <c r="A5" s="27">
        <f>E5/G5</f>
        <v>0.25</v>
      </c>
      <c r="B5" s="20">
        <v>1</v>
      </c>
      <c r="C5" s="20" t="s">
        <v>9</v>
      </c>
      <c r="D5" s="20" t="s">
        <v>5</v>
      </c>
      <c r="E5" s="29">
        <v>1</v>
      </c>
      <c r="F5" s="20">
        <v>10</v>
      </c>
      <c r="G5" s="30">
        <v>4</v>
      </c>
      <c r="H5" s="27">
        <v>0.4</v>
      </c>
      <c r="I5" s="28">
        <v>0.81</v>
      </c>
      <c r="J5" s="20">
        <v>19</v>
      </c>
      <c r="K5" s="20">
        <v>15</v>
      </c>
      <c r="L5" s="20">
        <v>16</v>
      </c>
      <c r="M5" s="30">
        <v>10</v>
      </c>
      <c r="N5" s="27">
        <v>0.67400000000000004</v>
      </c>
      <c r="O5" s="31">
        <v>0</v>
      </c>
      <c r="P5" s="20">
        <v>8</v>
      </c>
      <c r="Q5" s="30">
        <v>2</v>
      </c>
      <c r="R5" s="27">
        <v>0.25</v>
      </c>
      <c r="S5" s="28">
        <v>0.61</v>
      </c>
      <c r="T5" s="20">
        <v>16</v>
      </c>
      <c r="U5" s="20">
        <v>18</v>
      </c>
      <c r="V5" s="20">
        <v>4</v>
      </c>
      <c r="W5" s="30">
        <v>12</v>
      </c>
      <c r="X5" s="27">
        <v>0.32600000000000001</v>
      </c>
      <c r="Z5" s="20">
        <v>1</v>
      </c>
      <c r="AA5" s="20">
        <v>1</v>
      </c>
      <c r="AB5" s="20">
        <v>1</v>
      </c>
      <c r="AC5" s="20">
        <v>1</v>
      </c>
      <c r="AD5" s="20">
        <v>0</v>
      </c>
      <c r="AE5" s="20">
        <v>1</v>
      </c>
      <c r="AF5" s="20">
        <v>1</v>
      </c>
      <c r="AG5" s="20">
        <v>1</v>
      </c>
      <c r="AK5" s="20">
        <v>15</v>
      </c>
      <c r="AL5" s="20">
        <v>3</v>
      </c>
      <c r="AM5" s="20"/>
      <c r="AN5" s="20"/>
      <c r="AO5" s="20">
        <v>1</v>
      </c>
      <c r="AP5" s="20" t="s">
        <v>34</v>
      </c>
      <c r="AQ5" s="20" t="s">
        <v>6</v>
      </c>
      <c r="AR5" s="32">
        <v>0</v>
      </c>
      <c r="AS5" s="30">
        <v>27</v>
      </c>
      <c r="AT5" s="30">
        <v>8</v>
      </c>
      <c r="AU5" s="27">
        <v>0.29630000000000001</v>
      </c>
      <c r="AV5" s="28">
        <v>0.87</v>
      </c>
      <c r="AW5" s="20">
        <v>21</v>
      </c>
      <c r="AX5" s="20">
        <v>17</v>
      </c>
      <c r="AY5" s="30">
        <v>19</v>
      </c>
      <c r="AZ5" s="20">
        <v>19</v>
      </c>
      <c r="BA5" s="27">
        <v>0.67400000000000004</v>
      </c>
      <c r="BB5" s="32">
        <v>0</v>
      </c>
      <c r="BC5" s="20">
        <v>6</v>
      </c>
      <c r="BD5" s="20">
        <v>0</v>
      </c>
      <c r="BE5" s="20" t="s">
        <v>116</v>
      </c>
      <c r="BF5" s="20" t="s">
        <v>117</v>
      </c>
      <c r="BG5" s="20">
        <v>32</v>
      </c>
      <c r="BH5" s="20">
        <v>9</v>
      </c>
      <c r="BI5" s="20">
        <v>4</v>
      </c>
      <c r="BJ5" s="20">
        <v>11</v>
      </c>
      <c r="BK5" s="20" t="s">
        <v>118</v>
      </c>
      <c r="BM5" s="32">
        <v>1</v>
      </c>
      <c r="BN5" s="32">
        <v>1</v>
      </c>
      <c r="BO5" s="32">
        <v>1</v>
      </c>
      <c r="BP5" s="32">
        <v>0</v>
      </c>
      <c r="BQ5" s="32">
        <v>1</v>
      </c>
      <c r="BR5" s="32">
        <v>1</v>
      </c>
      <c r="BS5" s="32">
        <v>0</v>
      </c>
      <c r="BT5" s="32">
        <v>1</v>
      </c>
      <c r="BX5" s="32">
        <v>29.63</v>
      </c>
      <c r="BY5" s="32">
        <v>11</v>
      </c>
      <c r="BZ5" s="20"/>
      <c r="CA5" s="20"/>
      <c r="CB5" s="20">
        <v>1</v>
      </c>
      <c r="CC5" s="20" t="s">
        <v>7</v>
      </c>
      <c r="CD5" s="20" t="s">
        <v>15</v>
      </c>
      <c r="CE5" s="33">
        <v>1</v>
      </c>
      <c r="CF5" s="20">
        <v>14</v>
      </c>
      <c r="CG5" s="20">
        <v>3</v>
      </c>
      <c r="CH5" s="20" t="s">
        <v>119</v>
      </c>
      <c r="CI5" s="20" t="s">
        <v>120</v>
      </c>
      <c r="CJ5" s="20">
        <v>15</v>
      </c>
      <c r="CK5" s="20">
        <v>12</v>
      </c>
      <c r="CL5" s="20">
        <v>12</v>
      </c>
      <c r="CM5" s="20">
        <v>15</v>
      </c>
      <c r="CN5" s="20" t="s">
        <v>121</v>
      </c>
      <c r="CO5" s="34">
        <v>0</v>
      </c>
      <c r="CP5" s="20">
        <v>8</v>
      </c>
      <c r="CQ5" s="20">
        <v>1</v>
      </c>
      <c r="CR5" s="20" t="s">
        <v>122</v>
      </c>
      <c r="CS5" s="20" t="s">
        <v>123</v>
      </c>
      <c r="CT5" s="20">
        <v>24</v>
      </c>
      <c r="CU5" s="20">
        <v>26</v>
      </c>
      <c r="CV5" s="20">
        <v>7</v>
      </c>
      <c r="CW5" s="20">
        <v>0</v>
      </c>
      <c r="CX5" s="20" t="s">
        <v>124</v>
      </c>
      <c r="CZ5" s="20">
        <v>1</v>
      </c>
      <c r="DA5" s="20">
        <v>1</v>
      </c>
      <c r="DB5" s="20">
        <v>1</v>
      </c>
      <c r="DC5" s="20">
        <v>0</v>
      </c>
      <c r="DD5" s="20">
        <v>0</v>
      </c>
      <c r="DE5" s="20">
        <v>1</v>
      </c>
      <c r="DF5" s="20">
        <v>0</v>
      </c>
      <c r="DG5" s="20">
        <v>1</v>
      </c>
      <c r="DK5" s="20">
        <v>8.93</v>
      </c>
      <c r="DL5" s="20">
        <v>9</v>
      </c>
      <c r="DO5" s="20">
        <v>1</v>
      </c>
      <c r="DP5" s="20" t="s">
        <v>14</v>
      </c>
      <c r="DQ5" s="20" t="s">
        <v>8</v>
      </c>
      <c r="DR5" s="32">
        <v>1</v>
      </c>
      <c r="DS5" s="20">
        <v>8</v>
      </c>
      <c r="DT5" s="20">
        <v>4</v>
      </c>
      <c r="DU5" s="20" t="s">
        <v>125</v>
      </c>
      <c r="DV5" s="20" t="s">
        <v>126</v>
      </c>
      <c r="DW5" s="20">
        <v>19</v>
      </c>
      <c r="DX5" s="20">
        <v>22</v>
      </c>
      <c r="DY5" s="20">
        <v>7</v>
      </c>
      <c r="DZ5" s="20">
        <v>13</v>
      </c>
      <c r="EA5" s="20" t="s">
        <v>127</v>
      </c>
      <c r="EB5" s="32">
        <v>1</v>
      </c>
      <c r="EC5" s="20">
        <v>22</v>
      </c>
      <c r="ED5" s="20">
        <v>6</v>
      </c>
      <c r="EE5" s="20" t="s">
        <v>128</v>
      </c>
      <c r="EF5" s="20" t="s">
        <v>129</v>
      </c>
      <c r="EG5" s="20">
        <v>20</v>
      </c>
      <c r="EH5" s="20">
        <v>14</v>
      </c>
      <c r="EI5" s="20">
        <v>13</v>
      </c>
      <c r="EJ5" s="20">
        <v>11</v>
      </c>
      <c r="EK5" s="20" t="s">
        <v>130</v>
      </c>
      <c r="EM5" s="32">
        <v>1</v>
      </c>
      <c r="EN5" s="32">
        <v>0</v>
      </c>
      <c r="EO5" s="32">
        <v>1</v>
      </c>
      <c r="EP5" s="32">
        <v>1</v>
      </c>
      <c r="EQ5" s="32">
        <v>0</v>
      </c>
      <c r="ER5" s="32">
        <v>1</v>
      </c>
      <c r="ES5" s="32">
        <v>1</v>
      </c>
      <c r="ET5" s="32">
        <v>1</v>
      </c>
      <c r="EX5" s="32">
        <v>22.73</v>
      </c>
      <c r="EY5" s="32">
        <v>1</v>
      </c>
      <c r="FB5" s="20">
        <v>1</v>
      </c>
      <c r="FC5" s="20" t="s">
        <v>9</v>
      </c>
      <c r="FD5" s="20" t="s">
        <v>5</v>
      </c>
      <c r="FE5" s="34">
        <v>0</v>
      </c>
      <c r="FF5" s="20">
        <v>8</v>
      </c>
      <c r="FG5" s="20">
        <v>2</v>
      </c>
      <c r="FH5" s="20" t="s">
        <v>131</v>
      </c>
      <c r="FI5" s="20" t="s">
        <v>132</v>
      </c>
      <c r="FJ5" s="20">
        <v>16</v>
      </c>
      <c r="FK5" s="20">
        <v>18</v>
      </c>
      <c r="FL5" s="20">
        <v>4</v>
      </c>
      <c r="FM5" s="20">
        <v>12</v>
      </c>
      <c r="FN5" s="20" t="s">
        <v>118</v>
      </c>
      <c r="FO5" s="33">
        <v>1</v>
      </c>
      <c r="FP5" s="20">
        <v>10</v>
      </c>
      <c r="FQ5" s="20">
        <v>4</v>
      </c>
      <c r="FR5" s="20" t="s">
        <v>133</v>
      </c>
      <c r="FS5" s="20" t="s">
        <v>134</v>
      </c>
      <c r="FT5" s="20">
        <v>19</v>
      </c>
      <c r="FU5" s="20">
        <v>15</v>
      </c>
      <c r="FV5" s="20">
        <v>16</v>
      </c>
      <c r="FW5" s="20">
        <v>10</v>
      </c>
      <c r="FX5" s="20" t="s">
        <v>135</v>
      </c>
      <c r="FZ5" s="20">
        <v>1</v>
      </c>
      <c r="GA5" s="20">
        <v>1</v>
      </c>
      <c r="GB5" s="20">
        <v>1</v>
      </c>
      <c r="GC5" s="20">
        <v>1</v>
      </c>
      <c r="GD5" s="20">
        <v>0</v>
      </c>
      <c r="GE5" s="20">
        <v>1</v>
      </c>
      <c r="GF5" s="20">
        <v>1</v>
      </c>
      <c r="GG5" s="20">
        <v>1</v>
      </c>
      <c r="GK5" s="20">
        <v>15</v>
      </c>
      <c r="GL5" s="20">
        <v>3</v>
      </c>
      <c r="GO5" s="20">
        <v>1</v>
      </c>
      <c r="GP5" s="20" t="s">
        <v>23</v>
      </c>
      <c r="GQ5" s="20" t="s">
        <v>10</v>
      </c>
      <c r="GR5" s="33">
        <v>2</v>
      </c>
      <c r="GS5" s="20">
        <v>15</v>
      </c>
      <c r="GT5" s="20">
        <v>6</v>
      </c>
      <c r="GU5" s="20" t="s">
        <v>133</v>
      </c>
      <c r="GV5" s="20" t="s">
        <v>136</v>
      </c>
      <c r="GW5" s="20">
        <v>22</v>
      </c>
      <c r="GX5" s="20">
        <v>19</v>
      </c>
      <c r="GY5" s="20">
        <v>7</v>
      </c>
      <c r="GZ5" s="20">
        <v>6</v>
      </c>
      <c r="HA5" s="20" t="s">
        <v>137</v>
      </c>
      <c r="HB5" s="34">
        <v>1</v>
      </c>
      <c r="HC5" s="20">
        <v>11</v>
      </c>
      <c r="HD5" s="20">
        <v>2</v>
      </c>
      <c r="HE5" s="20" t="s">
        <v>138</v>
      </c>
      <c r="HF5" s="20" t="s">
        <v>139</v>
      </c>
      <c r="HG5" s="20">
        <v>13</v>
      </c>
      <c r="HH5" s="20">
        <v>12</v>
      </c>
      <c r="HI5" s="20">
        <v>9</v>
      </c>
      <c r="HJ5" s="20">
        <v>10</v>
      </c>
      <c r="HK5" s="20" t="s">
        <v>140</v>
      </c>
      <c r="HM5" s="20">
        <v>1</v>
      </c>
      <c r="HN5" s="20">
        <v>1</v>
      </c>
      <c r="HO5" s="20">
        <v>1</v>
      </c>
      <c r="HP5" s="20">
        <v>1</v>
      </c>
      <c r="HQ5" s="20">
        <v>1</v>
      </c>
      <c r="HR5" s="20">
        <v>0</v>
      </c>
      <c r="HS5" s="20">
        <v>1</v>
      </c>
      <c r="HT5" s="20">
        <v>1</v>
      </c>
      <c r="HX5" s="20">
        <v>21.82</v>
      </c>
      <c r="HY5" s="20">
        <v>9</v>
      </c>
      <c r="IB5" s="20">
        <v>1</v>
      </c>
      <c r="IC5" s="20" t="s">
        <v>12</v>
      </c>
      <c r="ID5" s="20" t="s">
        <v>11</v>
      </c>
      <c r="IE5" s="32">
        <v>0</v>
      </c>
      <c r="IF5" s="20">
        <v>10</v>
      </c>
      <c r="IG5" s="20">
        <v>2</v>
      </c>
      <c r="IH5" s="20" t="s">
        <v>141</v>
      </c>
      <c r="II5" s="20" t="s">
        <v>142</v>
      </c>
      <c r="IJ5" s="20">
        <v>15</v>
      </c>
      <c r="IK5" s="20">
        <v>16</v>
      </c>
      <c r="IL5" s="20">
        <v>3</v>
      </c>
      <c r="IM5" s="20">
        <v>7</v>
      </c>
      <c r="IN5" s="20" t="s">
        <v>143</v>
      </c>
      <c r="IO5" s="32">
        <v>0</v>
      </c>
      <c r="IP5" s="20">
        <v>25</v>
      </c>
      <c r="IQ5" s="20">
        <v>5</v>
      </c>
      <c r="IR5" s="20" t="s">
        <v>141</v>
      </c>
      <c r="IS5" s="20" t="s">
        <v>144</v>
      </c>
      <c r="IT5" s="20">
        <v>12</v>
      </c>
      <c r="IU5" s="20">
        <v>7</v>
      </c>
      <c r="IV5" s="20">
        <v>8</v>
      </c>
      <c r="IW5" s="20">
        <v>12</v>
      </c>
      <c r="IX5" s="20" t="s">
        <v>145</v>
      </c>
      <c r="IZ5" s="32">
        <v>1</v>
      </c>
      <c r="JA5" s="32">
        <v>0</v>
      </c>
      <c r="JB5" s="32">
        <v>1</v>
      </c>
      <c r="JC5" s="32">
        <v>0</v>
      </c>
      <c r="JD5" s="32">
        <v>0</v>
      </c>
      <c r="JE5" s="32">
        <v>1</v>
      </c>
      <c r="JF5" s="32">
        <v>0</v>
      </c>
      <c r="JG5" s="32">
        <v>1</v>
      </c>
      <c r="JK5" s="32">
        <v>0</v>
      </c>
      <c r="JL5" s="32">
        <v>3</v>
      </c>
      <c r="JO5" s="20">
        <v>1</v>
      </c>
      <c r="JP5" s="20" t="s">
        <v>12</v>
      </c>
      <c r="JQ5" s="20" t="s">
        <v>11</v>
      </c>
      <c r="JR5" s="32">
        <v>0</v>
      </c>
      <c r="JS5" s="20">
        <v>25</v>
      </c>
      <c r="JT5" s="20">
        <v>5</v>
      </c>
      <c r="JU5" s="20" t="s">
        <v>141</v>
      </c>
      <c r="JV5" s="20" t="s">
        <v>144</v>
      </c>
      <c r="JW5" s="20">
        <v>12</v>
      </c>
      <c r="JX5" s="20">
        <v>7</v>
      </c>
      <c r="JY5" s="20">
        <v>8</v>
      </c>
      <c r="JZ5" s="20">
        <v>12</v>
      </c>
      <c r="KA5" s="20" t="s">
        <v>145</v>
      </c>
      <c r="KB5" s="32">
        <v>0</v>
      </c>
      <c r="KC5" s="20">
        <v>10</v>
      </c>
      <c r="KD5" s="20">
        <v>2</v>
      </c>
      <c r="KE5" s="20" t="s">
        <v>141</v>
      </c>
      <c r="KF5" s="20" t="s">
        <v>142</v>
      </c>
      <c r="KG5" s="20">
        <v>15</v>
      </c>
      <c r="KH5" s="20">
        <v>16</v>
      </c>
      <c r="KI5" s="20">
        <v>3</v>
      </c>
      <c r="KJ5" s="20">
        <v>7</v>
      </c>
      <c r="KK5" s="20" t="s">
        <v>143</v>
      </c>
      <c r="KM5" s="32">
        <v>1</v>
      </c>
      <c r="KN5" s="32">
        <v>0</v>
      </c>
      <c r="KO5" s="32">
        <v>1</v>
      </c>
      <c r="KP5" s="32">
        <v>0</v>
      </c>
      <c r="KQ5" s="32">
        <v>0</v>
      </c>
      <c r="KR5" s="32">
        <v>1</v>
      </c>
      <c r="KS5" s="32">
        <v>0</v>
      </c>
      <c r="KT5" s="32">
        <v>1</v>
      </c>
      <c r="KX5" s="32">
        <v>0</v>
      </c>
      <c r="KY5" s="32">
        <v>3</v>
      </c>
      <c r="LB5" s="20">
        <v>1</v>
      </c>
      <c r="LC5" s="20" t="s">
        <v>16</v>
      </c>
      <c r="LD5" s="20" t="s">
        <v>13</v>
      </c>
      <c r="LE5" s="32">
        <v>0</v>
      </c>
      <c r="LF5" s="20">
        <v>9</v>
      </c>
      <c r="LG5" s="20">
        <v>2</v>
      </c>
      <c r="LH5" s="20" t="s">
        <v>146</v>
      </c>
      <c r="LI5" s="20" t="s">
        <v>147</v>
      </c>
      <c r="LJ5" s="20">
        <v>19</v>
      </c>
      <c r="LK5" s="20">
        <v>19</v>
      </c>
      <c r="LL5" s="20">
        <v>6</v>
      </c>
      <c r="LM5" s="20">
        <v>2</v>
      </c>
      <c r="LN5" s="20" t="s">
        <v>148</v>
      </c>
      <c r="LO5" s="32">
        <v>0</v>
      </c>
      <c r="LP5" s="20">
        <v>16</v>
      </c>
      <c r="LQ5" s="20">
        <v>5</v>
      </c>
      <c r="LR5" s="20" t="s">
        <v>149</v>
      </c>
      <c r="LS5" s="20" t="s">
        <v>144</v>
      </c>
      <c r="LT5" s="20">
        <v>18</v>
      </c>
      <c r="LU5" s="20">
        <v>14</v>
      </c>
      <c r="LV5" s="20">
        <v>2</v>
      </c>
      <c r="LW5" s="20">
        <v>12</v>
      </c>
      <c r="LX5" s="20" t="s">
        <v>150</v>
      </c>
      <c r="LZ5" s="32">
        <v>1</v>
      </c>
      <c r="MA5" s="32">
        <v>1</v>
      </c>
      <c r="MB5" s="32">
        <v>1</v>
      </c>
      <c r="MC5" s="32">
        <v>0</v>
      </c>
      <c r="MD5" s="32">
        <v>0</v>
      </c>
      <c r="ME5" s="32">
        <v>0</v>
      </c>
      <c r="MF5" s="32">
        <v>0</v>
      </c>
      <c r="MG5" s="32">
        <v>1</v>
      </c>
      <c r="MK5" s="32">
        <v>9.0299999999999994</v>
      </c>
      <c r="ML5" s="32">
        <v>1</v>
      </c>
      <c r="MO5" s="20">
        <v>1</v>
      </c>
      <c r="MP5" s="20" t="s">
        <v>14</v>
      </c>
      <c r="MQ5" s="20" t="s">
        <v>8</v>
      </c>
      <c r="MR5" s="32">
        <v>1</v>
      </c>
      <c r="MS5" s="20">
        <v>22</v>
      </c>
      <c r="MT5" s="20">
        <v>6</v>
      </c>
      <c r="MU5" s="20" t="s">
        <v>128</v>
      </c>
      <c r="MV5" s="20" t="s">
        <v>129</v>
      </c>
      <c r="MW5" s="20">
        <v>20</v>
      </c>
      <c r="MX5" s="20">
        <v>14</v>
      </c>
      <c r="MY5" s="20">
        <v>13</v>
      </c>
      <c r="MZ5" s="20">
        <v>11</v>
      </c>
      <c r="NA5" s="20" t="s">
        <v>130</v>
      </c>
      <c r="NB5" s="32">
        <v>1</v>
      </c>
      <c r="NC5" s="20">
        <v>8</v>
      </c>
      <c r="ND5" s="20">
        <v>4</v>
      </c>
      <c r="NE5" s="20" t="s">
        <v>125</v>
      </c>
      <c r="NF5" s="20" t="s">
        <v>126</v>
      </c>
      <c r="NG5" s="20">
        <v>19</v>
      </c>
      <c r="NH5" s="20">
        <v>22</v>
      </c>
      <c r="NI5" s="20">
        <v>7</v>
      </c>
      <c r="NJ5" s="20">
        <v>13</v>
      </c>
      <c r="NK5" s="20" t="s">
        <v>127</v>
      </c>
      <c r="NM5" s="32">
        <v>1</v>
      </c>
      <c r="NN5" s="32">
        <v>0</v>
      </c>
      <c r="NO5" s="32">
        <v>1</v>
      </c>
      <c r="NP5" s="32">
        <v>1</v>
      </c>
      <c r="NQ5" s="32">
        <v>0</v>
      </c>
      <c r="NR5" s="32">
        <v>1</v>
      </c>
      <c r="NS5" s="32">
        <v>1</v>
      </c>
      <c r="NT5" s="32">
        <v>1</v>
      </c>
      <c r="NX5" s="32">
        <v>22.73</v>
      </c>
      <c r="NY5" s="32">
        <v>1</v>
      </c>
      <c r="OB5" s="20">
        <v>1</v>
      </c>
      <c r="OC5" s="20" t="s">
        <v>7</v>
      </c>
      <c r="OD5" s="20" t="s">
        <v>15</v>
      </c>
      <c r="OE5" s="34">
        <v>0</v>
      </c>
      <c r="OF5" s="20">
        <v>8</v>
      </c>
      <c r="OG5" s="20">
        <v>1</v>
      </c>
      <c r="OH5" s="20" t="s">
        <v>122</v>
      </c>
      <c r="OI5" s="20" t="s">
        <v>123</v>
      </c>
      <c r="OJ5" s="20">
        <v>24</v>
      </c>
      <c r="OK5" s="20">
        <v>26</v>
      </c>
      <c r="OL5" s="20">
        <v>7</v>
      </c>
      <c r="OM5" s="20">
        <v>0</v>
      </c>
      <c r="ON5" s="20" t="s">
        <v>124</v>
      </c>
      <c r="OO5" s="33">
        <v>1</v>
      </c>
      <c r="OP5" s="20">
        <v>14</v>
      </c>
      <c r="OQ5" s="20">
        <v>3</v>
      </c>
      <c r="OR5" s="20" t="s">
        <v>119</v>
      </c>
      <c r="OS5" s="20" t="s">
        <v>120</v>
      </c>
      <c r="OT5" s="20">
        <v>15</v>
      </c>
      <c r="OU5" s="20">
        <v>12</v>
      </c>
      <c r="OV5" s="20">
        <v>12</v>
      </c>
      <c r="OW5" s="20">
        <v>15</v>
      </c>
      <c r="OX5" s="20" t="s">
        <v>121</v>
      </c>
      <c r="OZ5" s="20">
        <v>1</v>
      </c>
      <c r="PA5" s="20">
        <v>1</v>
      </c>
      <c r="PB5" s="20">
        <v>1</v>
      </c>
      <c r="PC5" s="20">
        <v>0</v>
      </c>
      <c r="PD5" s="20">
        <v>0</v>
      </c>
      <c r="PE5" s="20">
        <v>1</v>
      </c>
      <c r="PF5" s="20">
        <v>0</v>
      </c>
      <c r="PG5" s="20">
        <v>1</v>
      </c>
      <c r="PK5" s="20">
        <v>8.93</v>
      </c>
      <c r="PL5" s="20">
        <v>9</v>
      </c>
      <c r="PO5" s="20">
        <v>1</v>
      </c>
      <c r="PP5" s="20" t="s">
        <v>21</v>
      </c>
      <c r="PQ5" s="20" t="s">
        <v>17</v>
      </c>
      <c r="PR5" s="32">
        <v>0</v>
      </c>
      <c r="PS5" s="20">
        <v>10</v>
      </c>
      <c r="PT5" s="20">
        <v>4</v>
      </c>
      <c r="PU5" s="20" t="s">
        <v>133</v>
      </c>
      <c r="PV5" s="20" t="s">
        <v>151</v>
      </c>
      <c r="PW5" s="20">
        <v>19</v>
      </c>
      <c r="PX5" s="20">
        <v>22</v>
      </c>
      <c r="PY5" s="20">
        <v>10</v>
      </c>
      <c r="PZ5" s="20">
        <v>11</v>
      </c>
      <c r="QA5" s="20" t="s">
        <v>152</v>
      </c>
      <c r="QB5" s="32">
        <v>0</v>
      </c>
      <c r="QC5" s="20">
        <v>8</v>
      </c>
      <c r="QD5" s="20">
        <v>3</v>
      </c>
      <c r="QE5" s="20" t="s">
        <v>153</v>
      </c>
      <c r="QF5" s="20" t="s">
        <v>154</v>
      </c>
      <c r="QG5" s="20">
        <v>24</v>
      </c>
      <c r="QH5" s="20">
        <v>19</v>
      </c>
      <c r="QI5" s="20">
        <v>5</v>
      </c>
      <c r="QJ5" s="20">
        <v>11</v>
      </c>
      <c r="QK5" s="20" t="s">
        <v>155</v>
      </c>
      <c r="QM5" s="32">
        <v>1</v>
      </c>
      <c r="QN5" s="32">
        <v>1</v>
      </c>
      <c r="QO5" s="32">
        <v>0</v>
      </c>
      <c r="QP5" s="32">
        <v>0</v>
      </c>
      <c r="QQ5" s="32">
        <v>1</v>
      </c>
      <c r="QR5" s="32">
        <v>1</v>
      </c>
      <c r="QS5" s="32">
        <v>1</v>
      </c>
      <c r="QT5" s="32">
        <v>0</v>
      </c>
      <c r="QX5" s="32">
        <v>2.5</v>
      </c>
      <c r="QY5" s="32">
        <v>5</v>
      </c>
      <c r="RB5" s="20">
        <v>1</v>
      </c>
      <c r="RC5" s="20" t="s">
        <v>18</v>
      </c>
      <c r="RD5" s="20" t="s">
        <v>22</v>
      </c>
      <c r="RE5" s="33">
        <v>1</v>
      </c>
      <c r="RF5" s="20">
        <v>5</v>
      </c>
      <c r="RG5" s="20">
        <v>2</v>
      </c>
      <c r="RH5" s="20" t="s">
        <v>133</v>
      </c>
      <c r="RI5" s="20" t="s">
        <v>156</v>
      </c>
      <c r="RJ5" s="20">
        <v>29</v>
      </c>
      <c r="RK5" s="20">
        <v>20</v>
      </c>
      <c r="RL5" s="20">
        <v>6</v>
      </c>
      <c r="RM5" s="20">
        <v>11</v>
      </c>
      <c r="RN5" s="20" t="s">
        <v>157</v>
      </c>
      <c r="RO5" s="34">
        <v>0</v>
      </c>
      <c r="RP5" s="20">
        <v>13</v>
      </c>
      <c r="RQ5" s="20">
        <v>3</v>
      </c>
      <c r="RR5" s="20" t="s">
        <v>158</v>
      </c>
      <c r="RS5" s="20" t="s">
        <v>120</v>
      </c>
      <c r="RT5" s="20">
        <v>17</v>
      </c>
      <c r="RU5" s="20">
        <v>9</v>
      </c>
      <c r="RV5" s="20">
        <v>6</v>
      </c>
      <c r="RW5" s="20">
        <v>8</v>
      </c>
      <c r="RX5" s="20" t="s">
        <v>159</v>
      </c>
      <c r="RZ5" s="20">
        <v>0</v>
      </c>
      <c r="SA5" s="20">
        <v>1</v>
      </c>
      <c r="SB5" s="20">
        <v>0</v>
      </c>
      <c r="SC5" s="20">
        <v>1</v>
      </c>
      <c r="SD5" s="20">
        <v>1</v>
      </c>
      <c r="SE5" s="20">
        <v>0</v>
      </c>
      <c r="SF5" s="20">
        <v>0</v>
      </c>
      <c r="SG5" s="20">
        <v>0</v>
      </c>
      <c r="SK5" s="20">
        <v>16.920000000000002</v>
      </c>
      <c r="SL5" s="20">
        <v>12</v>
      </c>
      <c r="SO5" s="20">
        <v>1</v>
      </c>
      <c r="SP5" s="20" t="s">
        <v>20</v>
      </c>
      <c r="SQ5" s="20" t="s">
        <v>19</v>
      </c>
      <c r="SR5" s="33">
        <v>3</v>
      </c>
      <c r="SS5" s="20">
        <v>10</v>
      </c>
      <c r="ST5" s="20">
        <v>4</v>
      </c>
      <c r="SU5" s="20" t="s">
        <v>133</v>
      </c>
      <c r="SV5" s="20" t="s">
        <v>147</v>
      </c>
      <c r="SW5" s="20">
        <v>23</v>
      </c>
      <c r="SX5" s="20">
        <v>21</v>
      </c>
      <c r="SY5" s="20">
        <v>8</v>
      </c>
      <c r="SZ5" s="20">
        <v>8</v>
      </c>
      <c r="TA5" s="20" t="s">
        <v>160</v>
      </c>
      <c r="TB5" s="34">
        <v>1</v>
      </c>
      <c r="TC5" s="20">
        <v>12</v>
      </c>
      <c r="TD5" s="20">
        <v>6</v>
      </c>
      <c r="TE5" s="20" t="s">
        <v>125</v>
      </c>
      <c r="TF5" s="20" t="s">
        <v>161</v>
      </c>
      <c r="TG5" s="20">
        <v>17</v>
      </c>
      <c r="TH5" s="20">
        <v>15</v>
      </c>
      <c r="TI5" s="20">
        <v>9</v>
      </c>
      <c r="TJ5" s="20">
        <v>11</v>
      </c>
      <c r="TK5" s="20" t="s">
        <v>162</v>
      </c>
      <c r="TM5" s="20">
        <v>0</v>
      </c>
      <c r="TN5" s="20">
        <v>0</v>
      </c>
      <c r="TO5" s="20">
        <v>0</v>
      </c>
      <c r="TP5" s="20">
        <v>1</v>
      </c>
      <c r="TQ5" s="20">
        <v>1</v>
      </c>
      <c r="TR5" s="20">
        <v>0</v>
      </c>
      <c r="TS5" s="20">
        <v>1</v>
      </c>
      <c r="TT5" s="20">
        <v>0</v>
      </c>
      <c r="TX5" s="20">
        <v>10</v>
      </c>
      <c r="TY5" s="20">
        <v>6</v>
      </c>
      <c r="UB5" s="20">
        <v>1</v>
      </c>
      <c r="UC5" s="20" t="s">
        <v>16</v>
      </c>
      <c r="UD5" s="20" t="s">
        <v>13</v>
      </c>
      <c r="UE5" s="32">
        <v>0</v>
      </c>
      <c r="UF5" s="20">
        <v>16</v>
      </c>
      <c r="UG5" s="20">
        <v>5</v>
      </c>
      <c r="UH5" s="20" t="s">
        <v>149</v>
      </c>
      <c r="UI5" s="20" t="s">
        <v>144</v>
      </c>
      <c r="UJ5" s="20">
        <v>18</v>
      </c>
      <c r="UK5" s="20">
        <v>14</v>
      </c>
      <c r="UL5" s="20">
        <v>2</v>
      </c>
      <c r="UM5" s="20">
        <v>12</v>
      </c>
      <c r="UN5" s="20" t="s">
        <v>150</v>
      </c>
      <c r="UO5" s="32">
        <v>0</v>
      </c>
      <c r="UP5" s="20">
        <v>9</v>
      </c>
      <c r="UQ5" s="20">
        <v>2</v>
      </c>
      <c r="UR5" s="20" t="s">
        <v>146</v>
      </c>
      <c r="US5" s="20" t="s">
        <v>147</v>
      </c>
      <c r="UT5" s="20">
        <v>19</v>
      </c>
      <c r="UU5" s="20">
        <v>19</v>
      </c>
      <c r="UV5" s="20">
        <v>6</v>
      </c>
      <c r="UW5" s="20">
        <v>2</v>
      </c>
      <c r="UX5" s="20" t="s">
        <v>148</v>
      </c>
      <c r="UZ5" s="32">
        <v>1</v>
      </c>
      <c r="VA5" s="32">
        <v>1</v>
      </c>
      <c r="VB5" s="32">
        <v>1</v>
      </c>
      <c r="VC5" s="32">
        <v>0</v>
      </c>
      <c r="VD5" s="32">
        <v>0</v>
      </c>
      <c r="VE5" s="32">
        <v>0</v>
      </c>
      <c r="VF5" s="32">
        <v>0</v>
      </c>
      <c r="VG5" s="32">
        <v>1</v>
      </c>
      <c r="VK5" s="32">
        <v>9.0299999999999994</v>
      </c>
      <c r="VL5" s="32">
        <v>1</v>
      </c>
      <c r="VO5" s="20">
        <v>1</v>
      </c>
      <c r="VP5" s="20" t="s">
        <v>20</v>
      </c>
      <c r="VQ5" s="20" t="s">
        <v>19</v>
      </c>
      <c r="VR5" s="34">
        <v>1</v>
      </c>
      <c r="VS5" s="20">
        <v>12</v>
      </c>
      <c r="VT5" s="20">
        <v>6</v>
      </c>
      <c r="VU5" s="20" t="s">
        <v>125</v>
      </c>
      <c r="VV5" s="20" t="s">
        <v>161</v>
      </c>
      <c r="VW5" s="20">
        <v>17</v>
      </c>
      <c r="VX5" s="20">
        <v>15</v>
      </c>
      <c r="VY5" s="20">
        <v>9</v>
      </c>
      <c r="VZ5" s="20">
        <v>11</v>
      </c>
      <c r="WA5" s="20" t="s">
        <v>162</v>
      </c>
      <c r="WB5" s="33">
        <v>3</v>
      </c>
      <c r="WC5" s="20">
        <v>10</v>
      </c>
      <c r="WD5" s="20">
        <v>4</v>
      </c>
      <c r="WE5" s="20" t="s">
        <v>133</v>
      </c>
      <c r="WF5" s="20" t="s">
        <v>147</v>
      </c>
      <c r="WG5" s="20">
        <v>23</v>
      </c>
      <c r="WH5" s="20">
        <v>21</v>
      </c>
      <c r="WI5" s="20">
        <v>8</v>
      </c>
      <c r="WJ5" s="20">
        <v>8</v>
      </c>
      <c r="WK5" s="20" t="s">
        <v>160</v>
      </c>
      <c r="WM5" s="20">
        <v>0</v>
      </c>
      <c r="WN5" s="20">
        <v>0</v>
      </c>
      <c r="WO5" s="20">
        <v>0</v>
      </c>
      <c r="WP5" s="20">
        <v>1</v>
      </c>
      <c r="WQ5" s="20">
        <v>1</v>
      </c>
      <c r="WR5" s="20">
        <v>0</v>
      </c>
      <c r="WS5" s="20">
        <v>1</v>
      </c>
      <c r="WT5" s="20">
        <v>0</v>
      </c>
      <c r="WX5" s="20">
        <v>10</v>
      </c>
      <c r="WY5" s="20">
        <v>6</v>
      </c>
      <c r="XB5" s="20">
        <v>1</v>
      </c>
      <c r="XC5" s="20" t="s">
        <v>34</v>
      </c>
      <c r="XD5" s="20" t="s">
        <v>6</v>
      </c>
      <c r="XE5" s="32">
        <v>0</v>
      </c>
      <c r="XF5" s="20">
        <v>6</v>
      </c>
      <c r="XG5" s="20">
        <v>0</v>
      </c>
      <c r="XH5" s="20" t="s">
        <v>116</v>
      </c>
      <c r="XI5" s="20" t="s">
        <v>117</v>
      </c>
      <c r="XJ5" s="20">
        <v>32</v>
      </c>
      <c r="XK5" s="20">
        <v>9</v>
      </c>
      <c r="XL5" s="20">
        <v>4</v>
      </c>
      <c r="XM5" s="20">
        <v>11</v>
      </c>
      <c r="XN5" s="20" t="s">
        <v>118</v>
      </c>
      <c r="XO5" s="32">
        <v>0</v>
      </c>
      <c r="XP5" s="20">
        <v>27</v>
      </c>
      <c r="XQ5" s="20">
        <v>8</v>
      </c>
      <c r="XR5" s="20" t="s">
        <v>163</v>
      </c>
      <c r="XS5" s="20" t="s">
        <v>136</v>
      </c>
      <c r="XT5" s="20">
        <v>21</v>
      </c>
      <c r="XU5" s="20">
        <v>17</v>
      </c>
      <c r="XV5" s="20">
        <v>19</v>
      </c>
      <c r="XW5" s="20">
        <v>19</v>
      </c>
      <c r="XX5" s="20" t="s">
        <v>135</v>
      </c>
      <c r="XZ5" s="32">
        <v>1</v>
      </c>
      <c r="YA5" s="32">
        <v>1</v>
      </c>
      <c r="YB5" s="32">
        <v>1</v>
      </c>
      <c r="YC5" s="32">
        <v>0</v>
      </c>
      <c r="YD5" s="32">
        <v>1</v>
      </c>
      <c r="YE5" s="32">
        <v>1</v>
      </c>
      <c r="YF5" s="32">
        <v>0</v>
      </c>
      <c r="YG5" s="32">
        <v>1</v>
      </c>
      <c r="YK5" s="32">
        <v>29.63</v>
      </c>
      <c r="YL5" s="32">
        <v>11</v>
      </c>
      <c r="YO5" s="20">
        <v>1</v>
      </c>
      <c r="YP5" s="20" t="s">
        <v>21</v>
      </c>
      <c r="YQ5" s="20" t="s">
        <v>17</v>
      </c>
      <c r="YR5" s="32">
        <v>0</v>
      </c>
      <c r="YS5" s="20">
        <v>8</v>
      </c>
      <c r="YT5" s="20">
        <v>3</v>
      </c>
      <c r="YU5" s="20" t="s">
        <v>153</v>
      </c>
      <c r="YV5" s="20" t="s">
        <v>154</v>
      </c>
      <c r="YW5" s="20">
        <v>24</v>
      </c>
      <c r="YX5" s="20">
        <v>19</v>
      </c>
      <c r="YY5" s="20">
        <v>5</v>
      </c>
      <c r="YZ5" s="20">
        <v>11</v>
      </c>
      <c r="ZA5" s="20" t="s">
        <v>155</v>
      </c>
      <c r="ZB5" s="32">
        <v>0</v>
      </c>
      <c r="ZC5" s="20">
        <v>10</v>
      </c>
      <c r="ZD5" s="20">
        <v>4</v>
      </c>
      <c r="ZE5" s="20" t="s">
        <v>133</v>
      </c>
      <c r="ZF5" s="20" t="s">
        <v>151</v>
      </c>
      <c r="ZG5" s="20">
        <v>19</v>
      </c>
      <c r="ZH5" s="20">
        <v>22</v>
      </c>
      <c r="ZI5" s="20">
        <v>10</v>
      </c>
      <c r="ZJ5" s="20">
        <v>11</v>
      </c>
      <c r="ZK5" s="20" t="s">
        <v>152</v>
      </c>
      <c r="ZM5" s="32">
        <v>1</v>
      </c>
      <c r="ZN5" s="32">
        <v>1</v>
      </c>
      <c r="ZO5" s="32">
        <v>0</v>
      </c>
      <c r="ZP5" s="32">
        <v>0</v>
      </c>
      <c r="ZQ5" s="32">
        <v>1</v>
      </c>
      <c r="ZR5" s="32">
        <v>1</v>
      </c>
      <c r="ZS5" s="32">
        <v>1</v>
      </c>
      <c r="ZT5" s="32">
        <v>0</v>
      </c>
      <c r="ZX5" s="32">
        <v>2.5</v>
      </c>
      <c r="ZY5" s="32">
        <v>5</v>
      </c>
      <c r="AAB5" s="20">
        <v>1</v>
      </c>
      <c r="AAC5" s="20" t="s">
        <v>18</v>
      </c>
      <c r="AAD5" s="20" t="s">
        <v>22</v>
      </c>
      <c r="AAE5" s="34">
        <v>0</v>
      </c>
      <c r="AAF5" s="20">
        <v>13</v>
      </c>
      <c r="AAG5" s="20">
        <v>3</v>
      </c>
      <c r="AAH5" s="20" t="s">
        <v>158</v>
      </c>
      <c r="AAI5" s="20" t="s">
        <v>120</v>
      </c>
      <c r="AAJ5" s="20">
        <v>17</v>
      </c>
      <c r="AAK5" s="20">
        <v>9</v>
      </c>
      <c r="AAL5" s="20">
        <v>6</v>
      </c>
      <c r="AAM5" s="20">
        <v>8</v>
      </c>
      <c r="AAN5" s="20" t="s">
        <v>159</v>
      </c>
      <c r="AAO5" s="33">
        <v>1</v>
      </c>
      <c r="AAP5" s="20">
        <v>5</v>
      </c>
      <c r="AAQ5" s="20">
        <v>2</v>
      </c>
      <c r="AAR5" s="20" t="s">
        <v>133</v>
      </c>
      <c r="AAS5" s="20" t="s">
        <v>156</v>
      </c>
      <c r="AAT5" s="20">
        <v>29</v>
      </c>
      <c r="AAU5" s="20">
        <v>20</v>
      </c>
      <c r="AAV5" s="20">
        <v>6</v>
      </c>
      <c r="AAW5" s="20">
        <v>11</v>
      </c>
      <c r="AAX5" s="20" t="s">
        <v>157</v>
      </c>
      <c r="AAZ5" s="20">
        <v>0</v>
      </c>
      <c r="ABA5" s="20">
        <v>1</v>
      </c>
      <c r="ABB5" s="20">
        <v>0</v>
      </c>
      <c r="ABC5" s="20">
        <v>1</v>
      </c>
      <c r="ABD5" s="20">
        <v>1</v>
      </c>
      <c r="ABE5" s="20">
        <v>0</v>
      </c>
      <c r="ABF5" s="20">
        <v>0</v>
      </c>
      <c r="ABG5" s="20">
        <v>0</v>
      </c>
      <c r="ABK5" s="20">
        <v>16.920000000000002</v>
      </c>
      <c r="ABL5" s="20">
        <v>12</v>
      </c>
      <c r="ABO5" s="20">
        <v>1</v>
      </c>
      <c r="ABP5" s="20" t="s">
        <v>23</v>
      </c>
      <c r="ABQ5" s="20" t="s">
        <v>10</v>
      </c>
      <c r="ABR5" s="34">
        <v>1</v>
      </c>
      <c r="ABS5" s="20">
        <v>11</v>
      </c>
      <c r="ABT5" s="20">
        <v>2</v>
      </c>
      <c r="ABU5" s="20" t="s">
        <v>138</v>
      </c>
      <c r="ABV5" s="20" t="s">
        <v>139</v>
      </c>
      <c r="ABW5" s="20">
        <v>13</v>
      </c>
      <c r="ABX5" s="20">
        <v>12</v>
      </c>
      <c r="ABY5" s="20">
        <v>9</v>
      </c>
      <c r="ABZ5" s="20">
        <v>10</v>
      </c>
      <c r="ACA5" s="20" t="s">
        <v>140</v>
      </c>
      <c r="ACB5" s="33">
        <v>2</v>
      </c>
      <c r="ACC5" s="20">
        <v>15</v>
      </c>
      <c r="ACD5" s="20">
        <v>6</v>
      </c>
      <c r="ACE5" s="20" t="s">
        <v>133</v>
      </c>
      <c r="ACF5" s="20" t="s">
        <v>136</v>
      </c>
      <c r="ACG5" s="20">
        <v>22</v>
      </c>
      <c r="ACH5" s="20">
        <v>19</v>
      </c>
      <c r="ACI5" s="20">
        <v>7</v>
      </c>
      <c r="ACJ5" s="20">
        <v>6</v>
      </c>
      <c r="ACK5" s="20" t="s">
        <v>137</v>
      </c>
      <c r="ACM5" s="20">
        <v>1</v>
      </c>
      <c r="ACN5" s="20">
        <v>1</v>
      </c>
      <c r="ACO5" s="20">
        <v>1</v>
      </c>
      <c r="ACP5" s="20">
        <v>1</v>
      </c>
      <c r="ACQ5" s="20">
        <v>1</v>
      </c>
      <c r="ACR5" s="20">
        <v>0</v>
      </c>
      <c r="ACS5" s="20">
        <v>1</v>
      </c>
      <c r="ACT5" s="20">
        <v>1</v>
      </c>
      <c r="ACX5" s="20">
        <v>21.82</v>
      </c>
      <c r="ACY5" s="20">
        <v>9</v>
      </c>
    </row>
    <row r="6" spans="1:779" x14ac:dyDescent="0.3">
      <c r="A6" s="27">
        <f>E6/G6</f>
        <v>7.6923076923076927E-2</v>
      </c>
      <c r="B6" s="20">
        <v>2</v>
      </c>
      <c r="C6" s="20" t="s">
        <v>5</v>
      </c>
      <c r="D6" s="20" t="s">
        <v>12</v>
      </c>
      <c r="E6" s="29">
        <v>1</v>
      </c>
      <c r="F6" s="20">
        <v>22</v>
      </c>
      <c r="G6" s="30">
        <v>13</v>
      </c>
      <c r="H6" s="27">
        <v>0.59089999999999998</v>
      </c>
      <c r="I6" s="28">
        <v>0.87</v>
      </c>
      <c r="J6" s="20">
        <v>16</v>
      </c>
      <c r="K6" s="20">
        <v>14</v>
      </c>
      <c r="L6" s="20">
        <v>21</v>
      </c>
      <c r="M6" s="30">
        <v>8</v>
      </c>
      <c r="N6" s="27">
        <v>0.749</v>
      </c>
      <c r="O6" s="31">
        <v>0</v>
      </c>
      <c r="P6" s="20">
        <v>4</v>
      </c>
      <c r="Q6" s="30">
        <v>1</v>
      </c>
      <c r="R6" s="27">
        <v>0.25</v>
      </c>
      <c r="S6" s="28">
        <v>0.61</v>
      </c>
      <c r="T6" s="20">
        <v>26</v>
      </c>
      <c r="U6" s="20">
        <v>3</v>
      </c>
      <c r="V6" s="20">
        <v>4</v>
      </c>
      <c r="W6" s="30">
        <v>10</v>
      </c>
      <c r="X6" s="27">
        <v>0.251</v>
      </c>
      <c r="Z6" s="20">
        <v>1</v>
      </c>
      <c r="AA6" s="20">
        <v>1</v>
      </c>
      <c r="AB6" s="20">
        <v>1</v>
      </c>
      <c r="AC6" s="20">
        <v>0</v>
      </c>
      <c r="AD6" s="20">
        <v>1</v>
      </c>
      <c r="AE6" s="20">
        <v>1</v>
      </c>
      <c r="AF6" s="20">
        <v>1</v>
      </c>
      <c r="AG6" s="20">
        <v>1</v>
      </c>
      <c r="AK6" s="20">
        <v>34.090000000000003</v>
      </c>
      <c r="AL6" s="20">
        <v>10</v>
      </c>
      <c r="AM6" s="20"/>
      <c r="AN6" s="20"/>
      <c r="AO6" s="20">
        <v>2</v>
      </c>
      <c r="AP6" s="20" t="s">
        <v>6</v>
      </c>
      <c r="AQ6" s="20" t="s">
        <v>14</v>
      </c>
      <c r="AR6" s="33">
        <v>5</v>
      </c>
      <c r="AS6" s="30">
        <v>21</v>
      </c>
      <c r="AT6" s="30">
        <v>11</v>
      </c>
      <c r="AU6" s="27">
        <v>0.52380000000000004</v>
      </c>
      <c r="AV6" s="28">
        <v>0.91</v>
      </c>
      <c r="AW6" s="20">
        <v>13</v>
      </c>
      <c r="AX6" s="20">
        <v>9</v>
      </c>
      <c r="AY6" s="30">
        <v>9</v>
      </c>
      <c r="AZ6" s="20">
        <v>2</v>
      </c>
      <c r="BA6" s="27">
        <v>0.69099999999999995</v>
      </c>
      <c r="BB6" s="34">
        <v>0</v>
      </c>
      <c r="BC6" s="20">
        <v>7</v>
      </c>
      <c r="BD6" s="20">
        <v>1</v>
      </c>
      <c r="BE6" s="20" t="s">
        <v>164</v>
      </c>
      <c r="BF6" s="20" t="s">
        <v>161</v>
      </c>
      <c r="BG6" s="20">
        <v>10</v>
      </c>
      <c r="BH6" s="20">
        <v>2</v>
      </c>
      <c r="BI6" s="20">
        <v>10</v>
      </c>
      <c r="BJ6" s="20">
        <v>8</v>
      </c>
      <c r="BK6" s="20" t="s">
        <v>165</v>
      </c>
      <c r="BM6" s="20">
        <v>1</v>
      </c>
      <c r="BN6" s="20">
        <v>1</v>
      </c>
      <c r="BO6" s="20">
        <v>1</v>
      </c>
      <c r="BP6" s="20">
        <v>1</v>
      </c>
      <c r="BQ6" s="20">
        <v>1</v>
      </c>
      <c r="BR6" s="20">
        <v>0</v>
      </c>
      <c r="BS6" s="20">
        <v>1</v>
      </c>
      <c r="BT6" s="20">
        <v>1</v>
      </c>
      <c r="BX6" s="20">
        <v>38.1</v>
      </c>
      <c r="BY6" s="20">
        <v>3</v>
      </c>
      <c r="BZ6" s="20"/>
      <c r="CA6" s="20"/>
      <c r="CB6" s="20">
        <v>2</v>
      </c>
      <c r="CC6" s="20" t="s">
        <v>11</v>
      </c>
      <c r="CD6" s="20" t="s">
        <v>7</v>
      </c>
      <c r="CE6" s="33">
        <v>3</v>
      </c>
      <c r="CF6" s="20">
        <v>17</v>
      </c>
      <c r="CG6" s="20">
        <v>7</v>
      </c>
      <c r="CH6" s="20" t="s">
        <v>166</v>
      </c>
      <c r="CI6" s="20" t="s">
        <v>154</v>
      </c>
      <c r="CJ6" s="20">
        <v>27</v>
      </c>
      <c r="CK6" s="20">
        <v>23</v>
      </c>
      <c r="CL6" s="20">
        <v>11</v>
      </c>
      <c r="CM6" s="20">
        <v>7</v>
      </c>
      <c r="CN6" s="20" t="s">
        <v>153</v>
      </c>
      <c r="CO6" s="34">
        <v>0</v>
      </c>
      <c r="CP6" s="20">
        <v>25</v>
      </c>
      <c r="CQ6" s="20">
        <v>7</v>
      </c>
      <c r="CR6" s="20" t="s">
        <v>167</v>
      </c>
      <c r="CS6" s="20" t="s">
        <v>168</v>
      </c>
      <c r="CT6" s="20">
        <v>14</v>
      </c>
      <c r="CU6" s="20">
        <v>19</v>
      </c>
      <c r="CV6" s="20">
        <v>10</v>
      </c>
      <c r="CW6" s="20">
        <v>15</v>
      </c>
      <c r="CX6" s="20" t="s">
        <v>169</v>
      </c>
      <c r="CZ6" s="20">
        <v>1</v>
      </c>
      <c r="DA6" s="20">
        <v>1</v>
      </c>
      <c r="DB6" s="20">
        <v>0</v>
      </c>
      <c r="DC6" s="20">
        <v>1</v>
      </c>
      <c r="DD6" s="20">
        <v>1</v>
      </c>
      <c r="DE6" s="20">
        <v>1</v>
      </c>
      <c r="DF6" s="20">
        <v>1</v>
      </c>
      <c r="DG6" s="20">
        <v>0</v>
      </c>
      <c r="DK6" s="20">
        <v>13.18</v>
      </c>
      <c r="DL6" s="20">
        <v>13</v>
      </c>
      <c r="DO6" s="20">
        <v>2</v>
      </c>
      <c r="DP6" s="20" t="s">
        <v>8</v>
      </c>
      <c r="DQ6" s="20" t="s">
        <v>18</v>
      </c>
      <c r="DR6" s="33">
        <v>3</v>
      </c>
      <c r="DS6" s="20">
        <v>14</v>
      </c>
      <c r="DT6" s="20">
        <v>4</v>
      </c>
      <c r="DU6" s="20" t="s">
        <v>170</v>
      </c>
      <c r="DV6" s="20" t="s">
        <v>171</v>
      </c>
      <c r="DW6" s="20">
        <v>31</v>
      </c>
      <c r="DX6" s="20">
        <v>15</v>
      </c>
      <c r="DY6" s="20">
        <v>9</v>
      </c>
      <c r="DZ6" s="20">
        <v>8</v>
      </c>
      <c r="EA6" s="20" t="s">
        <v>172</v>
      </c>
      <c r="EB6" s="34">
        <v>1</v>
      </c>
      <c r="EC6" s="20">
        <v>5</v>
      </c>
      <c r="ED6" s="20">
        <v>3</v>
      </c>
      <c r="EE6" s="20" t="s">
        <v>173</v>
      </c>
      <c r="EF6" s="20" t="s">
        <v>142</v>
      </c>
      <c r="EG6" s="20">
        <v>19</v>
      </c>
      <c r="EH6" s="20">
        <v>21</v>
      </c>
      <c r="EI6" s="20">
        <v>1</v>
      </c>
      <c r="EJ6" s="20">
        <v>22</v>
      </c>
      <c r="EK6" s="20" t="s">
        <v>174</v>
      </c>
      <c r="EM6" s="20">
        <v>1</v>
      </c>
      <c r="EN6" s="20">
        <v>0</v>
      </c>
      <c r="EO6" s="20">
        <v>1</v>
      </c>
      <c r="EP6" s="20">
        <v>1</v>
      </c>
      <c r="EQ6" s="20">
        <v>0</v>
      </c>
      <c r="ER6" s="20">
        <v>1</v>
      </c>
      <c r="ES6" s="20">
        <v>1</v>
      </c>
      <c r="ET6" s="20">
        <v>1</v>
      </c>
      <c r="EX6" s="20">
        <v>31.43</v>
      </c>
      <c r="EY6" s="20">
        <v>12</v>
      </c>
      <c r="FB6" s="20">
        <v>2</v>
      </c>
      <c r="FC6" s="20" t="s">
        <v>19</v>
      </c>
      <c r="FD6" s="20" t="s">
        <v>9</v>
      </c>
      <c r="FE6" s="34">
        <v>0</v>
      </c>
      <c r="FF6" s="20">
        <v>9</v>
      </c>
      <c r="FG6" s="20">
        <v>1</v>
      </c>
      <c r="FH6" s="20" t="s">
        <v>175</v>
      </c>
      <c r="FI6" s="20" t="s">
        <v>176</v>
      </c>
      <c r="FJ6" s="20">
        <v>23</v>
      </c>
      <c r="FK6" s="20">
        <v>20</v>
      </c>
      <c r="FL6" s="20">
        <v>5</v>
      </c>
      <c r="FM6" s="20">
        <v>21</v>
      </c>
      <c r="FN6" s="20" t="s">
        <v>155</v>
      </c>
      <c r="FO6" s="33">
        <v>2</v>
      </c>
      <c r="FP6" s="20">
        <v>9</v>
      </c>
      <c r="FQ6" s="20">
        <v>8</v>
      </c>
      <c r="FR6" s="20" t="s">
        <v>177</v>
      </c>
      <c r="FS6" s="20" t="s">
        <v>117</v>
      </c>
      <c r="FT6" s="20">
        <v>25</v>
      </c>
      <c r="FU6" s="20">
        <v>31</v>
      </c>
      <c r="FV6" s="20">
        <v>7</v>
      </c>
      <c r="FW6" s="20">
        <v>12</v>
      </c>
      <c r="FX6" s="20" t="s">
        <v>152</v>
      </c>
      <c r="FZ6" s="20">
        <v>1</v>
      </c>
      <c r="GA6" s="20">
        <v>1</v>
      </c>
      <c r="GB6" s="20">
        <v>0</v>
      </c>
      <c r="GC6" s="20">
        <v>1</v>
      </c>
      <c r="GD6" s="20">
        <v>1</v>
      </c>
      <c r="GE6" s="20">
        <v>1</v>
      </c>
      <c r="GF6" s="20">
        <v>1</v>
      </c>
      <c r="GG6" s="20">
        <v>0</v>
      </c>
      <c r="GK6" s="20">
        <v>77.78</v>
      </c>
      <c r="GL6" s="20">
        <v>2</v>
      </c>
      <c r="GO6" s="20">
        <v>2</v>
      </c>
      <c r="GP6" s="20" t="s">
        <v>10</v>
      </c>
      <c r="GQ6" s="20" t="s">
        <v>21</v>
      </c>
      <c r="GR6" s="33">
        <v>3</v>
      </c>
      <c r="GS6" s="20">
        <v>11</v>
      </c>
      <c r="GT6" s="20">
        <v>7</v>
      </c>
      <c r="GU6" s="20" t="s">
        <v>178</v>
      </c>
      <c r="GV6" s="20" t="s">
        <v>179</v>
      </c>
      <c r="GW6" s="20">
        <v>22</v>
      </c>
      <c r="GX6" s="20">
        <v>12</v>
      </c>
      <c r="GY6" s="20">
        <v>5</v>
      </c>
      <c r="GZ6" s="20">
        <v>8</v>
      </c>
      <c r="HA6" s="20" t="s">
        <v>180</v>
      </c>
      <c r="HB6" s="34">
        <v>0</v>
      </c>
      <c r="HC6" s="20">
        <v>3</v>
      </c>
      <c r="HD6" s="20">
        <v>0</v>
      </c>
      <c r="HE6" s="20" t="s">
        <v>116</v>
      </c>
      <c r="HF6" s="20" t="s">
        <v>151</v>
      </c>
      <c r="HG6" s="20">
        <v>15</v>
      </c>
      <c r="HH6" s="20">
        <v>16</v>
      </c>
      <c r="HI6" s="20">
        <v>9</v>
      </c>
      <c r="HJ6" s="20">
        <v>12</v>
      </c>
      <c r="HK6" s="20" t="s">
        <v>181</v>
      </c>
      <c r="HM6" s="20">
        <v>1</v>
      </c>
      <c r="HN6" s="20">
        <v>1</v>
      </c>
      <c r="HO6" s="20">
        <v>1</v>
      </c>
      <c r="HP6" s="20">
        <v>1</v>
      </c>
      <c r="HQ6" s="20">
        <v>0</v>
      </c>
      <c r="HR6" s="20">
        <v>0</v>
      </c>
      <c r="HS6" s="20">
        <v>1</v>
      </c>
      <c r="HT6" s="20">
        <v>1</v>
      </c>
      <c r="HX6" s="20">
        <v>63.64</v>
      </c>
      <c r="HY6" s="20">
        <v>7</v>
      </c>
      <c r="IB6" s="20">
        <v>2</v>
      </c>
      <c r="IC6" s="20" t="s">
        <v>11</v>
      </c>
      <c r="ID6" s="20" t="s">
        <v>7</v>
      </c>
      <c r="IE6" s="34">
        <v>0</v>
      </c>
      <c r="IF6" s="20">
        <v>25</v>
      </c>
      <c r="IG6" s="20">
        <v>7</v>
      </c>
      <c r="IH6" s="20" t="s">
        <v>167</v>
      </c>
      <c r="II6" s="20" t="s">
        <v>168</v>
      </c>
      <c r="IJ6" s="20">
        <v>14</v>
      </c>
      <c r="IK6" s="20">
        <v>19</v>
      </c>
      <c r="IL6" s="20">
        <v>10</v>
      </c>
      <c r="IM6" s="20">
        <v>15</v>
      </c>
      <c r="IN6" s="20" t="s">
        <v>169</v>
      </c>
      <c r="IO6" s="33">
        <v>3</v>
      </c>
      <c r="IP6" s="20">
        <v>17</v>
      </c>
      <c r="IQ6" s="20">
        <v>7</v>
      </c>
      <c r="IR6" s="20" t="s">
        <v>166</v>
      </c>
      <c r="IS6" s="20" t="s">
        <v>154</v>
      </c>
      <c r="IT6" s="20">
        <v>27</v>
      </c>
      <c r="IU6" s="20">
        <v>23</v>
      </c>
      <c r="IV6" s="20">
        <v>11</v>
      </c>
      <c r="IW6" s="20">
        <v>7</v>
      </c>
      <c r="IX6" s="20" t="s">
        <v>153</v>
      </c>
      <c r="IZ6" s="20">
        <v>1</v>
      </c>
      <c r="JA6" s="20">
        <v>1</v>
      </c>
      <c r="JB6" s="20">
        <v>0</v>
      </c>
      <c r="JC6" s="20">
        <v>1</v>
      </c>
      <c r="JD6" s="20">
        <v>1</v>
      </c>
      <c r="JE6" s="20">
        <v>1</v>
      </c>
      <c r="JF6" s="20">
        <v>1</v>
      </c>
      <c r="JG6" s="20">
        <v>0</v>
      </c>
      <c r="JK6" s="20">
        <v>13.18</v>
      </c>
      <c r="JL6" s="20">
        <v>13</v>
      </c>
      <c r="JO6" s="20">
        <v>2</v>
      </c>
      <c r="JP6" s="20" t="s">
        <v>5</v>
      </c>
      <c r="JQ6" s="20" t="s">
        <v>12</v>
      </c>
      <c r="JR6" s="34">
        <v>0</v>
      </c>
      <c r="JS6" s="20">
        <v>4</v>
      </c>
      <c r="JT6" s="20">
        <v>1</v>
      </c>
      <c r="JU6" s="20" t="s">
        <v>131</v>
      </c>
      <c r="JV6" s="20" t="s">
        <v>132</v>
      </c>
      <c r="JW6" s="20">
        <v>26</v>
      </c>
      <c r="JX6" s="20">
        <v>3</v>
      </c>
      <c r="JY6" s="20">
        <v>4</v>
      </c>
      <c r="JZ6" s="20">
        <v>10</v>
      </c>
      <c r="KA6" s="20" t="s">
        <v>182</v>
      </c>
      <c r="KB6" s="33">
        <v>1</v>
      </c>
      <c r="KC6" s="20">
        <v>22</v>
      </c>
      <c r="KD6" s="20">
        <v>13</v>
      </c>
      <c r="KE6" s="20" t="s">
        <v>183</v>
      </c>
      <c r="KF6" s="20" t="s">
        <v>136</v>
      </c>
      <c r="KG6" s="20">
        <v>16</v>
      </c>
      <c r="KH6" s="20">
        <v>14</v>
      </c>
      <c r="KI6" s="20">
        <v>21</v>
      </c>
      <c r="KJ6" s="20">
        <v>8</v>
      </c>
      <c r="KK6" s="20" t="s">
        <v>184</v>
      </c>
      <c r="KM6" s="20">
        <v>1</v>
      </c>
      <c r="KN6" s="20">
        <v>1</v>
      </c>
      <c r="KO6" s="20">
        <v>1</v>
      </c>
      <c r="KP6" s="20">
        <v>0</v>
      </c>
      <c r="KQ6" s="20">
        <v>1</v>
      </c>
      <c r="KR6" s="20">
        <v>1</v>
      </c>
      <c r="KS6" s="20">
        <v>1</v>
      </c>
      <c r="KT6" s="20">
        <v>1</v>
      </c>
      <c r="KX6" s="20">
        <v>34.090000000000003</v>
      </c>
      <c r="KY6" s="20">
        <v>10</v>
      </c>
      <c r="LB6" s="20">
        <v>2</v>
      </c>
      <c r="LC6" s="20" t="s">
        <v>13</v>
      </c>
      <c r="LD6" s="20" t="s">
        <v>34</v>
      </c>
      <c r="LE6" s="32">
        <v>0</v>
      </c>
      <c r="LF6" s="20">
        <v>12</v>
      </c>
      <c r="LG6" s="20">
        <v>1</v>
      </c>
      <c r="LH6" s="20" t="s">
        <v>185</v>
      </c>
      <c r="LI6" s="20" t="s">
        <v>168</v>
      </c>
      <c r="LJ6" s="20">
        <v>14</v>
      </c>
      <c r="LK6" s="20">
        <v>12</v>
      </c>
      <c r="LL6" s="20">
        <v>9</v>
      </c>
      <c r="LM6" s="20">
        <v>11</v>
      </c>
      <c r="LN6" s="20" t="s">
        <v>186</v>
      </c>
      <c r="LO6" s="32">
        <v>0</v>
      </c>
      <c r="LP6" s="20">
        <v>7</v>
      </c>
      <c r="LQ6" s="20">
        <v>2</v>
      </c>
      <c r="LR6" s="20" t="s">
        <v>170</v>
      </c>
      <c r="LS6" s="20" t="s">
        <v>147</v>
      </c>
      <c r="LT6" s="20">
        <v>18</v>
      </c>
      <c r="LU6" s="20">
        <v>20</v>
      </c>
      <c r="LV6" s="20">
        <v>4</v>
      </c>
      <c r="LW6" s="20">
        <v>5</v>
      </c>
      <c r="LX6" s="20" t="s">
        <v>187</v>
      </c>
      <c r="LZ6" s="32">
        <v>0</v>
      </c>
      <c r="MA6" s="32">
        <v>0</v>
      </c>
      <c r="MB6" s="32">
        <v>1</v>
      </c>
      <c r="MC6" s="32">
        <v>0</v>
      </c>
      <c r="MD6" s="32">
        <v>0</v>
      </c>
      <c r="ME6" s="32">
        <v>1</v>
      </c>
      <c r="MF6" s="32">
        <v>0</v>
      </c>
      <c r="MG6" s="32">
        <v>1</v>
      </c>
      <c r="MK6" s="32">
        <v>20.239999999999998</v>
      </c>
      <c r="ML6" s="32">
        <v>4</v>
      </c>
      <c r="MO6" s="20">
        <v>2</v>
      </c>
      <c r="MP6" s="20" t="s">
        <v>6</v>
      </c>
      <c r="MQ6" s="20" t="s">
        <v>14</v>
      </c>
      <c r="MR6" s="34">
        <v>0</v>
      </c>
      <c r="MS6" s="20">
        <v>7</v>
      </c>
      <c r="MT6" s="20">
        <v>1</v>
      </c>
      <c r="MU6" s="20" t="s">
        <v>164</v>
      </c>
      <c r="MV6" s="20" t="s">
        <v>161</v>
      </c>
      <c r="MW6" s="20">
        <v>10</v>
      </c>
      <c r="MX6" s="20">
        <v>2</v>
      </c>
      <c r="MY6" s="20">
        <v>10</v>
      </c>
      <c r="MZ6" s="20">
        <v>8</v>
      </c>
      <c r="NA6" s="20" t="s">
        <v>165</v>
      </c>
      <c r="NB6" s="33">
        <v>5</v>
      </c>
      <c r="NC6" s="20">
        <v>21</v>
      </c>
      <c r="ND6" s="20">
        <v>11</v>
      </c>
      <c r="NE6" s="20" t="s">
        <v>188</v>
      </c>
      <c r="NF6" s="20" t="s">
        <v>189</v>
      </c>
      <c r="NG6" s="20">
        <v>13</v>
      </c>
      <c r="NH6" s="20">
        <v>9</v>
      </c>
      <c r="NI6" s="20">
        <v>9</v>
      </c>
      <c r="NJ6" s="20">
        <v>2</v>
      </c>
      <c r="NK6" s="20" t="s">
        <v>190</v>
      </c>
      <c r="NM6" s="20">
        <v>1</v>
      </c>
      <c r="NN6" s="20">
        <v>1</v>
      </c>
      <c r="NO6" s="20">
        <v>1</v>
      </c>
      <c r="NP6" s="20">
        <v>1</v>
      </c>
      <c r="NQ6" s="20">
        <v>1</v>
      </c>
      <c r="NR6" s="20">
        <v>0</v>
      </c>
      <c r="NS6" s="20">
        <v>1</v>
      </c>
      <c r="NT6" s="20">
        <v>1</v>
      </c>
      <c r="NX6" s="20">
        <v>38.1</v>
      </c>
      <c r="NY6" s="20">
        <v>3</v>
      </c>
      <c r="OB6" s="20">
        <v>2</v>
      </c>
      <c r="OC6" s="20" t="s">
        <v>15</v>
      </c>
      <c r="OD6" s="20" t="s">
        <v>23</v>
      </c>
      <c r="OE6" s="32">
        <v>0</v>
      </c>
      <c r="OF6" s="20">
        <v>16</v>
      </c>
      <c r="OG6" s="20">
        <v>2</v>
      </c>
      <c r="OH6" s="20" t="s">
        <v>122</v>
      </c>
      <c r="OI6" s="20" t="s">
        <v>171</v>
      </c>
      <c r="OJ6" s="20">
        <v>19</v>
      </c>
      <c r="OK6" s="20">
        <v>31</v>
      </c>
      <c r="OL6" s="20">
        <v>11</v>
      </c>
      <c r="OM6" s="20">
        <v>15</v>
      </c>
      <c r="ON6" s="20" t="s">
        <v>191</v>
      </c>
      <c r="OO6" s="32">
        <v>0</v>
      </c>
      <c r="OP6" s="20">
        <v>3</v>
      </c>
      <c r="OQ6" s="20">
        <v>2</v>
      </c>
      <c r="OR6" s="20" t="s">
        <v>192</v>
      </c>
      <c r="OS6" s="20" t="s">
        <v>193</v>
      </c>
      <c r="OT6" s="20">
        <v>24</v>
      </c>
      <c r="OU6" s="20">
        <v>19</v>
      </c>
      <c r="OV6" s="20">
        <v>11</v>
      </c>
      <c r="OW6" s="20">
        <v>10</v>
      </c>
      <c r="OX6" s="20" t="s">
        <v>194</v>
      </c>
      <c r="OZ6" s="32">
        <v>0</v>
      </c>
      <c r="PA6" s="32">
        <v>0</v>
      </c>
      <c r="PB6" s="32">
        <v>1</v>
      </c>
      <c r="PC6" s="32">
        <v>0</v>
      </c>
      <c r="PD6" s="32">
        <v>1</v>
      </c>
      <c r="PE6" s="32">
        <v>0</v>
      </c>
      <c r="PF6" s="32">
        <v>0</v>
      </c>
      <c r="PG6" s="32">
        <v>1</v>
      </c>
      <c r="PK6" s="32">
        <v>54.17</v>
      </c>
      <c r="PL6" s="32">
        <v>5</v>
      </c>
      <c r="PO6" s="20">
        <v>2</v>
      </c>
      <c r="PP6" s="20" t="s">
        <v>17</v>
      </c>
      <c r="PQ6" s="20" t="s">
        <v>16</v>
      </c>
      <c r="PR6" s="32">
        <v>1</v>
      </c>
      <c r="PS6" s="20">
        <v>12</v>
      </c>
      <c r="PT6" s="20">
        <v>6</v>
      </c>
      <c r="PU6" s="20" t="s">
        <v>125</v>
      </c>
      <c r="PV6" s="20" t="s">
        <v>154</v>
      </c>
      <c r="PW6" s="20">
        <v>16</v>
      </c>
      <c r="PX6" s="20">
        <v>25</v>
      </c>
      <c r="PY6" s="20">
        <v>6</v>
      </c>
      <c r="PZ6" s="20">
        <v>5</v>
      </c>
      <c r="QA6" s="20" t="s">
        <v>195</v>
      </c>
      <c r="QB6" s="32">
        <v>1</v>
      </c>
      <c r="QC6" s="20">
        <v>12</v>
      </c>
      <c r="QD6" s="20">
        <v>3</v>
      </c>
      <c r="QE6" s="20" t="s">
        <v>131</v>
      </c>
      <c r="QF6" s="20" t="s">
        <v>123</v>
      </c>
      <c r="QG6" s="20">
        <v>15</v>
      </c>
      <c r="QH6" s="20">
        <v>12</v>
      </c>
      <c r="QI6" s="20">
        <v>6</v>
      </c>
      <c r="QJ6" s="20">
        <v>6</v>
      </c>
      <c r="QK6" s="20" t="s">
        <v>196</v>
      </c>
      <c r="QM6" s="32">
        <v>0</v>
      </c>
      <c r="QN6" s="32">
        <v>0</v>
      </c>
      <c r="QO6" s="32">
        <v>0</v>
      </c>
      <c r="QP6" s="32">
        <v>0</v>
      </c>
      <c r="QQ6" s="32">
        <v>0</v>
      </c>
      <c r="QR6" s="32">
        <v>1</v>
      </c>
      <c r="QS6" s="32">
        <v>0</v>
      </c>
      <c r="QT6" s="32">
        <v>0</v>
      </c>
      <c r="QX6" s="32">
        <v>25</v>
      </c>
      <c r="QY6" s="32">
        <v>1</v>
      </c>
      <c r="RB6" s="20">
        <v>2</v>
      </c>
      <c r="RC6" s="20" t="s">
        <v>8</v>
      </c>
      <c r="RD6" s="20" t="s">
        <v>18</v>
      </c>
      <c r="RE6" s="34">
        <v>1</v>
      </c>
      <c r="RF6" s="20">
        <v>5</v>
      </c>
      <c r="RG6" s="20">
        <v>3</v>
      </c>
      <c r="RH6" s="20" t="s">
        <v>173</v>
      </c>
      <c r="RI6" s="20" t="s">
        <v>142</v>
      </c>
      <c r="RJ6" s="20">
        <v>19</v>
      </c>
      <c r="RK6" s="20">
        <v>21</v>
      </c>
      <c r="RL6" s="20">
        <v>1</v>
      </c>
      <c r="RM6" s="20">
        <v>22</v>
      </c>
      <c r="RN6" s="20" t="s">
        <v>174</v>
      </c>
      <c r="RO6" s="33">
        <v>3</v>
      </c>
      <c r="RP6" s="20">
        <v>14</v>
      </c>
      <c r="RQ6" s="20">
        <v>4</v>
      </c>
      <c r="RR6" s="20" t="s">
        <v>170</v>
      </c>
      <c r="RS6" s="20" t="s">
        <v>171</v>
      </c>
      <c r="RT6" s="20">
        <v>31</v>
      </c>
      <c r="RU6" s="20">
        <v>15</v>
      </c>
      <c r="RV6" s="20">
        <v>9</v>
      </c>
      <c r="RW6" s="20">
        <v>8</v>
      </c>
      <c r="RX6" s="20" t="s">
        <v>172</v>
      </c>
      <c r="RZ6" s="20">
        <v>1</v>
      </c>
      <c r="SA6" s="20">
        <v>0</v>
      </c>
      <c r="SB6" s="20">
        <v>1</v>
      </c>
      <c r="SC6" s="20">
        <v>1</v>
      </c>
      <c r="SD6" s="20">
        <v>0</v>
      </c>
      <c r="SE6" s="20">
        <v>1</v>
      </c>
      <c r="SF6" s="20">
        <v>1</v>
      </c>
      <c r="SG6" s="20">
        <v>1</v>
      </c>
      <c r="SK6" s="20">
        <v>31.43</v>
      </c>
      <c r="SL6" s="20">
        <v>12</v>
      </c>
      <c r="SO6" s="20">
        <v>2</v>
      </c>
      <c r="SP6" s="20" t="s">
        <v>19</v>
      </c>
      <c r="SQ6" s="20" t="s">
        <v>9</v>
      </c>
      <c r="SR6" s="33">
        <v>2</v>
      </c>
      <c r="SS6" s="20">
        <v>9</v>
      </c>
      <c r="ST6" s="20">
        <v>8</v>
      </c>
      <c r="SU6" s="20" t="s">
        <v>177</v>
      </c>
      <c r="SV6" s="20" t="s">
        <v>117</v>
      </c>
      <c r="SW6" s="20">
        <v>25</v>
      </c>
      <c r="SX6" s="20">
        <v>31</v>
      </c>
      <c r="SY6" s="20">
        <v>7</v>
      </c>
      <c r="SZ6" s="20">
        <v>12</v>
      </c>
      <c r="TA6" s="20" t="s">
        <v>152</v>
      </c>
      <c r="TB6" s="34">
        <v>0</v>
      </c>
      <c r="TC6" s="20">
        <v>9</v>
      </c>
      <c r="TD6" s="20">
        <v>1</v>
      </c>
      <c r="TE6" s="20" t="s">
        <v>175</v>
      </c>
      <c r="TF6" s="20" t="s">
        <v>176</v>
      </c>
      <c r="TG6" s="20">
        <v>23</v>
      </c>
      <c r="TH6" s="20">
        <v>20</v>
      </c>
      <c r="TI6" s="20">
        <v>5</v>
      </c>
      <c r="TJ6" s="20">
        <v>21</v>
      </c>
      <c r="TK6" s="20" t="s">
        <v>155</v>
      </c>
      <c r="TM6" s="20">
        <v>1</v>
      </c>
      <c r="TN6" s="20">
        <v>1</v>
      </c>
      <c r="TO6" s="20">
        <v>0</v>
      </c>
      <c r="TP6" s="20">
        <v>1</v>
      </c>
      <c r="TQ6" s="20">
        <v>1</v>
      </c>
      <c r="TR6" s="20">
        <v>1</v>
      </c>
      <c r="TS6" s="20">
        <v>1</v>
      </c>
      <c r="TT6" s="20">
        <v>0</v>
      </c>
      <c r="TX6" s="20">
        <v>77.78</v>
      </c>
      <c r="TY6" s="20">
        <v>2</v>
      </c>
      <c r="UB6" s="20">
        <v>2</v>
      </c>
      <c r="UC6" s="20" t="s">
        <v>17</v>
      </c>
      <c r="UD6" s="20" t="s">
        <v>16</v>
      </c>
      <c r="UE6" s="32">
        <v>1</v>
      </c>
      <c r="UF6" s="20">
        <v>12</v>
      </c>
      <c r="UG6" s="20">
        <v>3</v>
      </c>
      <c r="UH6" s="20" t="s">
        <v>131</v>
      </c>
      <c r="UI6" s="20" t="s">
        <v>123</v>
      </c>
      <c r="UJ6" s="20">
        <v>15</v>
      </c>
      <c r="UK6" s="20">
        <v>12</v>
      </c>
      <c r="UL6" s="20">
        <v>6</v>
      </c>
      <c r="UM6" s="20">
        <v>6</v>
      </c>
      <c r="UN6" s="20" t="s">
        <v>196</v>
      </c>
      <c r="UO6" s="32">
        <v>1</v>
      </c>
      <c r="UP6" s="20">
        <v>12</v>
      </c>
      <c r="UQ6" s="20">
        <v>6</v>
      </c>
      <c r="UR6" s="20" t="s">
        <v>125</v>
      </c>
      <c r="US6" s="20" t="s">
        <v>154</v>
      </c>
      <c r="UT6" s="20">
        <v>16</v>
      </c>
      <c r="UU6" s="20">
        <v>25</v>
      </c>
      <c r="UV6" s="20">
        <v>6</v>
      </c>
      <c r="UW6" s="20">
        <v>5</v>
      </c>
      <c r="UX6" s="20" t="s">
        <v>195</v>
      </c>
      <c r="UZ6" s="32">
        <v>0</v>
      </c>
      <c r="VA6" s="32">
        <v>0</v>
      </c>
      <c r="VB6" s="32">
        <v>0</v>
      </c>
      <c r="VC6" s="32">
        <v>0</v>
      </c>
      <c r="VD6" s="32">
        <v>0</v>
      </c>
      <c r="VE6" s="32">
        <v>1</v>
      </c>
      <c r="VF6" s="32">
        <v>0</v>
      </c>
      <c r="VG6" s="32">
        <v>0</v>
      </c>
      <c r="VK6" s="32">
        <v>25</v>
      </c>
      <c r="VL6" s="32">
        <v>1</v>
      </c>
      <c r="VO6" s="20">
        <v>2</v>
      </c>
      <c r="VP6" s="20" t="s">
        <v>22</v>
      </c>
      <c r="VQ6" s="20" t="s">
        <v>20</v>
      </c>
      <c r="VR6" s="33">
        <v>2</v>
      </c>
      <c r="VS6" s="20">
        <v>9</v>
      </c>
      <c r="VT6" s="20">
        <v>4</v>
      </c>
      <c r="VU6" s="20" t="s">
        <v>197</v>
      </c>
      <c r="VV6" s="20" t="s">
        <v>117</v>
      </c>
      <c r="VW6" s="20">
        <v>30</v>
      </c>
      <c r="VX6" s="20">
        <v>12</v>
      </c>
      <c r="VY6" s="20">
        <v>5</v>
      </c>
      <c r="VZ6" s="20">
        <v>5</v>
      </c>
      <c r="WA6" s="20" t="s">
        <v>198</v>
      </c>
      <c r="WB6" s="34">
        <v>1</v>
      </c>
      <c r="WC6" s="20">
        <v>16</v>
      </c>
      <c r="WD6" s="20">
        <v>4</v>
      </c>
      <c r="WE6" s="20" t="s">
        <v>131</v>
      </c>
      <c r="WF6" s="20" t="s">
        <v>171</v>
      </c>
      <c r="WG6" s="20">
        <v>17</v>
      </c>
      <c r="WH6" s="20">
        <v>12</v>
      </c>
      <c r="WI6" s="20">
        <v>12</v>
      </c>
      <c r="WJ6" s="20">
        <v>12</v>
      </c>
      <c r="WK6" s="20" t="s">
        <v>132</v>
      </c>
      <c r="WM6" s="20">
        <v>1</v>
      </c>
      <c r="WN6" s="20">
        <v>1</v>
      </c>
      <c r="WO6" s="20">
        <v>0</v>
      </c>
      <c r="WP6" s="20">
        <v>1</v>
      </c>
      <c r="WQ6" s="20">
        <v>1</v>
      </c>
      <c r="WR6" s="20">
        <v>0</v>
      </c>
      <c r="WS6" s="20">
        <v>1</v>
      </c>
      <c r="WT6" s="20">
        <v>0</v>
      </c>
      <c r="WX6" s="20">
        <v>19.440000000000001</v>
      </c>
      <c r="WY6" s="20">
        <v>13</v>
      </c>
      <c r="XB6" s="20">
        <v>2</v>
      </c>
      <c r="XC6" s="20" t="s">
        <v>13</v>
      </c>
      <c r="XD6" s="20" t="s">
        <v>34</v>
      </c>
      <c r="XE6" s="32">
        <v>0</v>
      </c>
      <c r="XF6" s="20">
        <v>7</v>
      </c>
      <c r="XG6" s="20">
        <v>2</v>
      </c>
      <c r="XH6" s="20" t="s">
        <v>170</v>
      </c>
      <c r="XI6" s="20" t="s">
        <v>147</v>
      </c>
      <c r="XJ6" s="20">
        <v>18</v>
      </c>
      <c r="XK6" s="20">
        <v>20</v>
      </c>
      <c r="XL6" s="20">
        <v>4</v>
      </c>
      <c r="XM6" s="20">
        <v>5</v>
      </c>
      <c r="XN6" s="20" t="s">
        <v>187</v>
      </c>
      <c r="XO6" s="32">
        <v>0</v>
      </c>
      <c r="XP6" s="20">
        <v>12</v>
      </c>
      <c r="XQ6" s="20">
        <v>1</v>
      </c>
      <c r="XR6" s="20" t="s">
        <v>185</v>
      </c>
      <c r="XS6" s="20" t="s">
        <v>168</v>
      </c>
      <c r="XT6" s="20">
        <v>14</v>
      </c>
      <c r="XU6" s="20">
        <v>12</v>
      </c>
      <c r="XV6" s="20">
        <v>9</v>
      </c>
      <c r="XW6" s="20">
        <v>11</v>
      </c>
      <c r="XX6" s="20" t="s">
        <v>186</v>
      </c>
      <c r="XZ6" s="32">
        <v>0</v>
      </c>
      <c r="YA6" s="32">
        <v>0</v>
      </c>
      <c r="YB6" s="32">
        <v>1</v>
      </c>
      <c r="YC6" s="32">
        <v>0</v>
      </c>
      <c r="YD6" s="32">
        <v>0</v>
      </c>
      <c r="YE6" s="32">
        <v>1</v>
      </c>
      <c r="YF6" s="32">
        <v>0</v>
      </c>
      <c r="YG6" s="32">
        <v>1</v>
      </c>
      <c r="YK6" s="32">
        <v>20.239999999999998</v>
      </c>
      <c r="YL6" s="32">
        <v>4</v>
      </c>
      <c r="YO6" s="20">
        <v>2</v>
      </c>
      <c r="YP6" s="20" t="s">
        <v>10</v>
      </c>
      <c r="YQ6" s="20" t="s">
        <v>21</v>
      </c>
      <c r="YR6" s="34">
        <v>0</v>
      </c>
      <c r="YS6" s="20">
        <v>3</v>
      </c>
      <c r="YT6" s="20">
        <v>0</v>
      </c>
      <c r="YU6" s="20" t="s">
        <v>116</v>
      </c>
      <c r="YV6" s="20" t="s">
        <v>151</v>
      </c>
      <c r="YW6" s="20">
        <v>15</v>
      </c>
      <c r="YX6" s="20">
        <v>16</v>
      </c>
      <c r="YY6" s="20">
        <v>9</v>
      </c>
      <c r="YZ6" s="20">
        <v>12</v>
      </c>
      <c r="ZA6" s="20" t="s">
        <v>181</v>
      </c>
      <c r="ZB6" s="33">
        <v>3</v>
      </c>
      <c r="ZC6" s="20">
        <v>11</v>
      </c>
      <c r="ZD6" s="20">
        <v>7</v>
      </c>
      <c r="ZE6" s="20" t="s">
        <v>178</v>
      </c>
      <c r="ZF6" s="20" t="s">
        <v>179</v>
      </c>
      <c r="ZG6" s="20">
        <v>22</v>
      </c>
      <c r="ZH6" s="20">
        <v>12</v>
      </c>
      <c r="ZI6" s="20">
        <v>5</v>
      </c>
      <c r="ZJ6" s="20">
        <v>8</v>
      </c>
      <c r="ZK6" s="20" t="s">
        <v>180</v>
      </c>
      <c r="ZM6" s="20">
        <v>1</v>
      </c>
      <c r="ZN6" s="20">
        <v>1</v>
      </c>
      <c r="ZO6" s="20">
        <v>1</v>
      </c>
      <c r="ZP6" s="20">
        <v>1</v>
      </c>
      <c r="ZQ6" s="20">
        <v>0</v>
      </c>
      <c r="ZR6" s="20">
        <v>0</v>
      </c>
      <c r="ZS6" s="20">
        <v>1</v>
      </c>
      <c r="ZT6" s="20">
        <v>1</v>
      </c>
      <c r="ZX6" s="20">
        <v>63.64</v>
      </c>
      <c r="ZY6" s="20">
        <v>7</v>
      </c>
      <c r="AAB6" s="20">
        <v>2</v>
      </c>
      <c r="AAC6" s="20" t="s">
        <v>22</v>
      </c>
      <c r="AAD6" s="20" t="s">
        <v>20</v>
      </c>
      <c r="AAE6" s="34">
        <v>1</v>
      </c>
      <c r="AAF6" s="20">
        <v>16</v>
      </c>
      <c r="AAG6" s="20">
        <v>4</v>
      </c>
      <c r="AAH6" s="20" t="s">
        <v>131</v>
      </c>
      <c r="AAI6" s="20" t="s">
        <v>171</v>
      </c>
      <c r="AAJ6" s="20">
        <v>17</v>
      </c>
      <c r="AAK6" s="20">
        <v>12</v>
      </c>
      <c r="AAL6" s="20">
        <v>12</v>
      </c>
      <c r="AAM6" s="20">
        <v>12</v>
      </c>
      <c r="AAN6" s="20" t="s">
        <v>132</v>
      </c>
      <c r="AAO6" s="33">
        <v>2</v>
      </c>
      <c r="AAP6" s="20">
        <v>9</v>
      </c>
      <c r="AAQ6" s="20">
        <v>4</v>
      </c>
      <c r="AAR6" s="20" t="s">
        <v>197</v>
      </c>
      <c r="AAS6" s="20" t="s">
        <v>117</v>
      </c>
      <c r="AAT6" s="20">
        <v>30</v>
      </c>
      <c r="AAU6" s="20">
        <v>12</v>
      </c>
      <c r="AAV6" s="20">
        <v>5</v>
      </c>
      <c r="AAW6" s="20">
        <v>5</v>
      </c>
      <c r="AAX6" s="20" t="s">
        <v>198</v>
      </c>
      <c r="AAZ6" s="20">
        <v>1</v>
      </c>
      <c r="ABA6" s="20">
        <v>1</v>
      </c>
      <c r="ABB6" s="20">
        <v>0</v>
      </c>
      <c r="ABC6" s="20">
        <v>1</v>
      </c>
      <c r="ABD6" s="20">
        <v>1</v>
      </c>
      <c r="ABE6" s="20">
        <v>0</v>
      </c>
      <c r="ABF6" s="20">
        <v>1</v>
      </c>
      <c r="ABG6" s="20">
        <v>0</v>
      </c>
      <c r="ABK6" s="20">
        <v>19.440000000000001</v>
      </c>
      <c r="ABL6" s="20">
        <v>13</v>
      </c>
      <c r="ABO6" s="20">
        <v>2</v>
      </c>
      <c r="ABP6" s="20" t="s">
        <v>15</v>
      </c>
      <c r="ABQ6" s="20" t="s">
        <v>23</v>
      </c>
      <c r="ABR6" s="32">
        <v>0</v>
      </c>
      <c r="ABS6" s="20">
        <v>3</v>
      </c>
      <c r="ABT6" s="20">
        <v>2</v>
      </c>
      <c r="ABU6" s="20" t="s">
        <v>192</v>
      </c>
      <c r="ABV6" s="20" t="s">
        <v>193</v>
      </c>
      <c r="ABW6" s="20">
        <v>24</v>
      </c>
      <c r="ABX6" s="20">
        <v>19</v>
      </c>
      <c r="ABY6" s="20">
        <v>11</v>
      </c>
      <c r="ABZ6" s="20">
        <v>10</v>
      </c>
      <c r="ACA6" s="20" t="s">
        <v>194</v>
      </c>
      <c r="ACB6" s="32">
        <v>0</v>
      </c>
      <c r="ACC6" s="20">
        <v>16</v>
      </c>
      <c r="ACD6" s="20">
        <v>2</v>
      </c>
      <c r="ACE6" s="20" t="s">
        <v>122</v>
      </c>
      <c r="ACF6" s="20" t="s">
        <v>171</v>
      </c>
      <c r="ACG6" s="20">
        <v>19</v>
      </c>
      <c r="ACH6" s="20">
        <v>31</v>
      </c>
      <c r="ACI6" s="20">
        <v>11</v>
      </c>
      <c r="ACJ6" s="20">
        <v>15</v>
      </c>
      <c r="ACK6" s="20" t="s">
        <v>191</v>
      </c>
      <c r="ACM6" s="32">
        <v>0</v>
      </c>
      <c r="ACN6" s="32">
        <v>0</v>
      </c>
      <c r="ACO6" s="32">
        <v>1</v>
      </c>
      <c r="ACP6" s="32">
        <v>0</v>
      </c>
      <c r="ACQ6" s="32">
        <v>1</v>
      </c>
      <c r="ACR6" s="32">
        <v>0</v>
      </c>
      <c r="ACS6" s="32">
        <v>0</v>
      </c>
      <c r="ACT6" s="32">
        <v>1</v>
      </c>
      <c r="ACX6" s="32">
        <v>54.17</v>
      </c>
      <c r="ACY6" s="32">
        <v>5</v>
      </c>
    </row>
    <row r="7" spans="1:779" x14ac:dyDescent="0.3">
      <c r="A7" s="27"/>
      <c r="B7" s="20">
        <v>3</v>
      </c>
      <c r="C7" s="20" t="s">
        <v>7</v>
      </c>
      <c r="D7" s="20" t="s">
        <v>5</v>
      </c>
      <c r="E7" s="29">
        <v>2</v>
      </c>
      <c r="F7" s="20">
        <v>13</v>
      </c>
      <c r="G7" s="30">
        <v>5</v>
      </c>
      <c r="H7" s="27">
        <v>0.3846</v>
      </c>
      <c r="I7" s="28">
        <v>0.88</v>
      </c>
      <c r="J7" s="20">
        <v>20</v>
      </c>
      <c r="K7" s="20">
        <v>8</v>
      </c>
      <c r="L7" s="20">
        <v>17</v>
      </c>
      <c r="M7" s="30">
        <v>12</v>
      </c>
      <c r="N7" s="28">
        <v>0.69</v>
      </c>
      <c r="O7" s="31">
        <v>1</v>
      </c>
      <c r="P7" s="20">
        <v>11</v>
      </c>
      <c r="Q7" s="30">
        <v>3</v>
      </c>
      <c r="R7" s="27">
        <v>0.2727</v>
      </c>
      <c r="S7" s="28">
        <v>0.77</v>
      </c>
      <c r="T7" s="20">
        <v>23</v>
      </c>
      <c r="U7" s="20">
        <v>9</v>
      </c>
      <c r="V7" s="20">
        <v>4</v>
      </c>
      <c r="W7" s="30">
        <v>13</v>
      </c>
      <c r="X7" s="28">
        <v>0.31</v>
      </c>
      <c r="Z7" s="20">
        <v>1</v>
      </c>
      <c r="AA7" s="20">
        <v>1</v>
      </c>
      <c r="AB7" s="20">
        <v>1</v>
      </c>
      <c r="AC7" s="20">
        <v>0</v>
      </c>
      <c r="AD7" s="20">
        <v>0</v>
      </c>
      <c r="AE7" s="20">
        <v>1</v>
      </c>
      <c r="AF7" s="20">
        <v>1</v>
      </c>
      <c r="AG7" s="20">
        <v>1</v>
      </c>
      <c r="AK7" s="20">
        <v>11.19</v>
      </c>
      <c r="AL7" s="20">
        <v>3</v>
      </c>
      <c r="AM7" s="20"/>
      <c r="AN7" s="20"/>
      <c r="AO7" s="20">
        <v>3</v>
      </c>
      <c r="AP7" s="20" t="s">
        <v>18</v>
      </c>
      <c r="AQ7" s="20" t="s">
        <v>6</v>
      </c>
      <c r="AR7" s="33">
        <v>6</v>
      </c>
      <c r="AS7" s="30">
        <v>15</v>
      </c>
      <c r="AT7" s="30">
        <v>8</v>
      </c>
      <c r="AU7" s="27">
        <v>0.5333</v>
      </c>
      <c r="AV7" s="28">
        <v>0.86</v>
      </c>
      <c r="AW7" s="20">
        <v>17</v>
      </c>
      <c r="AX7" s="20">
        <v>10</v>
      </c>
      <c r="AY7" s="30">
        <v>7</v>
      </c>
      <c r="AZ7" s="20">
        <v>8</v>
      </c>
      <c r="BA7" s="27">
        <v>0.47299999999999998</v>
      </c>
      <c r="BB7" s="34">
        <v>0</v>
      </c>
      <c r="BC7" s="20">
        <v>14</v>
      </c>
      <c r="BD7" s="20">
        <v>3</v>
      </c>
      <c r="BE7" s="20" t="s">
        <v>119</v>
      </c>
      <c r="BF7" s="20" t="s">
        <v>199</v>
      </c>
      <c r="BG7" s="20">
        <v>14</v>
      </c>
      <c r="BH7" s="20">
        <v>5</v>
      </c>
      <c r="BI7" s="20">
        <v>6</v>
      </c>
      <c r="BJ7" s="20">
        <v>6</v>
      </c>
      <c r="BK7" s="20" t="s">
        <v>200</v>
      </c>
      <c r="BM7" s="20">
        <v>1</v>
      </c>
      <c r="BN7" s="20">
        <v>1</v>
      </c>
      <c r="BO7" s="20">
        <v>0</v>
      </c>
      <c r="BP7" s="20">
        <v>1</v>
      </c>
      <c r="BQ7" s="20">
        <v>1</v>
      </c>
      <c r="BR7" s="20">
        <v>1</v>
      </c>
      <c r="BS7" s="20">
        <v>0</v>
      </c>
      <c r="BT7" s="20">
        <v>0</v>
      </c>
      <c r="BX7" s="20">
        <v>31.9</v>
      </c>
      <c r="BY7" s="20">
        <v>3</v>
      </c>
      <c r="BZ7" s="20"/>
      <c r="CA7" s="20"/>
      <c r="CB7" s="20">
        <v>3</v>
      </c>
      <c r="CC7" s="20" t="s">
        <v>7</v>
      </c>
      <c r="CD7" s="20" t="s">
        <v>5</v>
      </c>
      <c r="CE7" s="34">
        <v>1</v>
      </c>
      <c r="CF7" s="20">
        <v>11</v>
      </c>
      <c r="CG7" s="20">
        <v>3</v>
      </c>
      <c r="CH7" s="20" t="s">
        <v>128</v>
      </c>
      <c r="CI7" s="20" t="s">
        <v>161</v>
      </c>
      <c r="CJ7" s="20">
        <v>23</v>
      </c>
      <c r="CK7" s="20">
        <v>9</v>
      </c>
      <c r="CL7" s="20">
        <v>4</v>
      </c>
      <c r="CM7" s="20">
        <v>13</v>
      </c>
      <c r="CN7" s="20" t="s">
        <v>201</v>
      </c>
      <c r="CO7" s="33">
        <v>2</v>
      </c>
      <c r="CP7" s="20">
        <v>13</v>
      </c>
      <c r="CQ7" s="20">
        <v>5</v>
      </c>
      <c r="CR7" s="20" t="s">
        <v>202</v>
      </c>
      <c r="CS7" s="20" t="s">
        <v>199</v>
      </c>
      <c r="CT7" s="20">
        <v>20</v>
      </c>
      <c r="CU7" s="20">
        <v>8</v>
      </c>
      <c r="CV7" s="20">
        <v>17</v>
      </c>
      <c r="CW7" s="20">
        <v>12</v>
      </c>
      <c r="CX7" s="20" t="s">
        <v>151</v>
      </c>
      <c r="CZ7" s="20">
        <v>1</v>
      </c>
      <c r="DA7" s="20">
        <v>1</v>
      </c>
      <c r="DB7" s="20">
        <v>1</v>
      </c>
      <c r="DC7" s="20">
        <v>0</v>
      </c>
      <c r="DD7" s="20">
        <v>0</v>
      </c>
      <c r="DE7" s="20">
        <v>1</v>
      </c>
      <c r="DF7" s="20">
        <v>1</v>
      </c>
      <c r="DG7" s="20">
        <v>1</v>
      </c>
      <c r="DK7" s="20">
        <v>11.19</v>
      </c>
      <c r="DL7" s="20">
        <v>3</v>
      </c>
      <c r="DO7" s="20">
        <v>3</v>
      </c>
      <c r="DP7" s="20" t="s">
        <v>20</v>
      </c>
      <c r="DQ7" s="20" t="s">
        <v>8</v>
      </c>
      <c r="DR7" s="33">
        <v>3</v>
      </c>
      <c r="DS7" s="20">
        <v>8</v>
      </c>
      <c r="DT7" s="20">
        <v>5</v>
      </c>
      <c r="DU7" s="20" t="s">
        <v>169</v>
      </c>
      <c r="DV7" s="20" t="s">
        <v>203</v>
      </c>
      <c r="DW7" s="20">
        <v>21</v>
      </c>
      <c r="DX7" s="20">
        <v>6</v>
      </c>
      <c r="DY7" s="20">
        <v>8</v>
      </c>
      <c r="DZ7" s="20">
        <v>11</v>
      </c>
      <c r="EA7" s="20" t="s">
        <v>204</v>
      </c>
      <c r="EB7" s="34">
        <v>1</v>
      </c>
      <c r="EC7" s="20">
        <v>13</v>
      </c>
      <c r="ED7" s="20">
        <v>2</v>
      </c>
      <c r="EE7" s="20" t="s">
        <v>205</v>
      </c>
      <c r="EF7" s="20" t="s">
        <v>171</v>
      </c>
      <c r="EG7" s="20">
        <v>14</v>
      </c>
      <c r="EH7" s="20">
        <v>14</v>
      </c>
      <c r="EI7" s="20">
        <v>12</v>
      </c>
      <c r="EJ7" s="20">
        <v>15</v>
      </c>
      <c r="EK7" s="20" t="s">
        <v>206</v>
      </c>
      <c r="EM7" s="20">
        <v>1</v>
      </c>
      <c r="EN7" s="20">
        <v>1</v>
      </c>
      <c r="EO7" s="20">
        <v>0</v>
      </c>
      <c r="EP7" s="20">
        <v>1</v>
      </c>
      <c r="EQ7" s="20">
        <v>0</v>
      </c>
      <c r="ER7" s="20">
        <v>0</v>
      </c>
      <c r="ES7" s="20">
        <v>1</v>
      </c>
      <c r="ET7" s="20">
        <v>0</v>
      </c>
      <c r="EX7" s="20">
        <v>47.12</v>
      </c>
      <c r="EY7" s="20">
        <v>7</v>
      </c>
      <c r="FB7" s="20">
        <v>3</v>
      </c>
      <c r="FC7" s="20" t="s">
        <v>9</v>
      </c>
      <c r="FD7" s="20" t="s">
        <v>22</v>
      </c>
      <c r="FE7" s="33">
        <v>3</v>
      </c>
      <c r="FF7" s="20">
        <v>14</v>
      </c>
      <c r="FG7" s="20">
        <v>6</v>
      </c>
      <c r="FH7" s="20" t="s">
        <v>207</v>
      </c>
      <c r="FI7" s="20" t="s">
        <v>154</v>
      </c>
      <c r="FJ7" s="20">
        <v>21</v>
      </c>
      <c r="FK7" s="20">
        <v>28</v>
      </c>
      <c r="FL7" s="20">
        <v>8</v>
      </c>
      <c r="FM7" s="20">
        <v>15</v>
      </c>
      <c r="FN7" s="20" t="s">
        <v>208</v>
      </c>
      <c r="FO7" s="34">
        <v>1</v>
      </c>
      <c r="FP7" s="20">
        <v>12</v>
      </c>
      <c r="FQ7" s="20">
        <v>4</v>
      </c>
      <c r="FR7" s="20" t="s">
        <v>209</v>
      </c>
      <c r="FS7" s="20" t="s">
        <v>151</v>
      </c>
      <c r="FT7" s="20">
        <v>24</v>
      </c>
      <c r="FU7" s="20">
        <v>18</v>
      </c>
      <c r="FV7" s="20">
        <v>8</v>
      </c>
      <c r="FW7" s="20">
        <v>10</v>
      </c>
      <c r="FX7" s="20" t="s">
        <v>210</v>
      </c>
      <c r="FZ7" s="20">
        <v>1</v>
      </c>
      <c r="GA7" s="20">
        <v>1</v>
      </c>
      <c r="GB7" s="20">
        <v>1</v>
      </c>
      <c r="GC7" s="20">
        <v>0</v>
      </c>
      <c r="GD7" s="20">
        <v>1</v>
      </c>
      <c r="GE7" s="20">
        <v>0</v>
      </c>
      <c r="GF7" s="20">
        <v>0</v>
      </c>
      <c r="GG7" s="20">
        <v>1</v>
      </c>
      <c r="GK7" s="20">
        <v>9.52</v>
      </c>
      <c r="GL7" s="20">
        <v>3</v>
      </c>
      <c r="GO7" s="20">
        <v>3</v>
      </c>
      <c r="GP7" s="20" t="s">
        <v>10</v>
      </c>
      <c r="GQ7" s="20" t="s">
        <v>15</v>
      </c>
      <c r="GR7" s="32">
        <v>3</v>
      </c>
      <c r="GS7" s="20">
        <v>25</v>
      </c>
      <c r="GT7" s="20">
        <v>12</v>
      </c>
      <c r="GU7" s="20" t="s">
        <v>211</v>
      </c>
      <c r="GV7" s="20" t="s">
        <v>199</v>
      </c>
      <c r="GW7" s="20">
        <v>27</v>
      </c>
      <c r="GX7" s="20">
        <v>6</v>
      </c>
      <c r="GY7" s="20">
        <v>7</v>
      </c>
      <c r="GZ7" s="20">
        <v>12</v>
      </c>
      <c r="HA7" s="20" t="s">
        <v>212</v>
      </c>
      <c r="HB7" s="32">
        <v>3</v>
      </c>
      <c r="HC7" s="20">
        <v>9</v>
      </c>
      <c r="HD7" s="20">
        <v>4</v>
      </c>
      <c r="HE7" s="20" t="s">
        <v>197</v>
      </c>
      <c r="HF7" s="20" t="s">
        <v>142</v>
      </c>
      <c r="HG7" s="20">
        <v>19</v>
      </c>
      <c r="HH7" s="20">
        <v>10</v>
      </c>
      <c r="HI7" s="20">
        <v>15</v>
      </c>
      <c r="HJ7" s="20">
        <v>14</v>
      </c>
      <c r="HK7" s="20" t="s">
        <v>213</v>
      </c>
      <c r="HM7" s="32">
        <v>1</v>
      </c>
      <c r="HN7" s="32">
        <v>1</v>
      </c>
      <c r="HO7" s="32">
        <v>1</v>
      </c>
      <c r="HP7" s="32">
        <v>1</v>
      </c>
      <c r="HQ7" s="32">
        <v>0</v>
      </c>
      <c r="HR7" s="32">
        <v>0</v>
      </c>
      <c r="HS7" s="32">
        <v>1</v>
      </c>
      <c r="HT7" s="32">
        <v>1</v>
      </c>
      <c r="HX7" s="32">
        <v>3.56</v>
      </c>
      <c r="HY7" s="32">
        <v>8</v>
      </c>
      <c r="IB7" s="20">
        <v>3</v>
      </c>
      <c r="IC7" s="20" t="s">
        <v>23</v>
      </c>
      <c r="ID7" s="20" t="s">
        <v>11</v>
      </c>
      <c r="IE7" s="32">
        <v>1</v>
      </c>
      <c r="IF7" s="20">
        <v>8</v>
      </c>
      <c r="IG7" s="20">
        <v>3</v>
      </c>
      <c r="IH7" s="20" t="s">
        <v>153</v>
      </c>
      <c r="II7" s="20" t="s">
        <v>123</v>
      </c>
      <c r="IJ7" s="20">
        <v>13</v>
      </c>
      <c r="IK7" s="20">
        <v>29</v>
      </c>
      <c r="IL7" s="20">
        <v>10</v>
      </c>
      <c r="IM7" s="20">
        <v>8</v>
      </c>
      <c r="IN7" s="20" t="s">
        <v>214</v>
      </c>
      <c r="IO7" s="32">
        <v>1</v>
      </c>
      <c r="IP7" s="20">
        <v>14</v>
      </c>
      <c r="IQ7" s="20">
        <v>4</v>
      </c>
      <c r="IR7" s="20" t="s">
        <v>170</v>
      </c>
      <c r="IS7" s="20" t="s">
        <v>161</v>
      </c>
      <c r="IT7" s="20">
        <v>11</v>
      </c>
      <c r="IU7" s="20">
        <v>18</v>
      </c>
      <c r="IV7" s="20">
        <v>8</v>
      </c>
      <c r="IW7" s="20">
        <v>7</v>
      </c>
      <c r="IX7" s="20" t="s">
        <v>215</v>
      </c>
      <c r="IZ7" s="32">
        <v>1</v>
      </c>
      <c r="JA7" s="32">
        <v>0</v>
      </c>
      <c r="JB7" s="32">
        <v>1</v>
      </c>
      <c r="JC7" s="32">
        <v>0</v>
      </c>
      <c r="JD7" s="32">
        <v>0</v>
      </c>
      <c r="JE7" s="32">
        <v>0</v>
      </c>
      <c r="JF7" s="32">
        <v>1</v>
      </c>
      <c r="JG7" s="32">
        <v>1</v>
      </c>
      <c r="JK7" s="32">
        <v>8.93</v>
      </c>
      <c r="JL7" s="32">
        <v>2</v>
      </c>
      <c r="JO7" s="20">
        <v>3</v>
      </c>
      <c r="JP7" s="20" t="s">
        <v>12</v>
      </c>
      <c r="JQ7" s="20" t="s">
        <v>19</v>
      </c>
      <c r="JR7" s="32">
        <v>0</v>
      </c>
      <c r="JS7" s="20">
        <v>10</v>
      </c>
      <c r="JT7" s="20">
        <v>4</v>
      </c>
      <c r="JU7" s="20" t="s">
        <v>133</v>
      </c>
      <c r="JV7" s="20" t="s">
        <v>176</v>
      </c>
      <c r="JW7" s="20">
        <v>19</v>
      </c>
      <c r="JX7" s="20">
        <v>22</v>
      </c>
      <c r="JY7" s="20">
        <v>4</v>
      </c>
      <c r="JZ7" s="20">
        <v>18</v>
      </c>
      <c r="KA7" s="20" t="s">
        <v>216</v>
      </c>
      <c r="KB7" s="32">
        <v>0</v>
      </c>
      <c r="KC7" s="20">
        <v>7</v>
      </c>
      <c r="KD7" s="20">
        <v>0</v>
      </c>
      <c r="KE7" s="20" t="s">
        <v>116</v>
      </c>
      <c r="KF7" s="20" t="s">
        <v>139</v>
      </c>
      <c r="KG7" s="20">
        <v>25</v>
      </c>
      <c r="KH7" s="20">
        <v>10</v>
      </c>
      <c r="KI7" s="20">
        <v>9</v>
      </c>
      <c r="KJ7" s="20">
        <v>14</v>
      </c>
      <c r="KK7" s="20" t="s">
        <v>217</v>
      </c>
      <c r="KM7" s="32">
        <v>1</v>
      </c>
      <c r="KN7" s="32">
        <v>1</v>
      </c>
      <c r="KO7" s="32">
        <v>1</v>
      </c>
      <c r="KP7" s="32">
        <v>0</v>
      </c>
      <c r="KQ7" s="32">
        <v>1</v>
      </c>
      <c r="KR7" s="32">
        <v>0</v>
      </c>
      <c r="KS7" s="32">
        <v>0</v>
      </c>
      <c r="KT7" s="32">
        <v>1</v>
      </c>
      <c r="KX7" s="32">
        <v>40</v>
      </c>
      <c r="KY7" s="32">
        <v>6</v>
      </c>
      <c r="LB7" s="20">
        <v>3</v>
      </c>
      <c r="LC7" s="20" t="s">
        <v>14</v>
      </c>
      <c r="LD7" s="20" t="s">
        <v>13</v>
      </c>
      <c r="LE7" s="34">
        <v>0</v>
      </c>
      <c r="LF7" s="20">
        <v>14</v>
      </c>
      <c r="LG7" s="20">
        <v>3</v>
      </c>
      <c r="LH7" s="20" t="s">
        <v>119</v>
      </c>
      <c r="LI7" s="20" t="s">
        <v>144</v>
      </c>
      <c r="LJ7" s="20">
        <v>16</v>
      </c>
      <c r="LK7" s="20">
        <v>18</v>
      </c>
      <c r="LL7" s="20">
        <v>9</v>
      </c>
      <c r="LM7" s="20">
        <v>7</v>
      </c>
      <c r="LN7" s="20" t="s">
        <v>218</v>
      </c>
      <c r="LO7" s="33">
        <v>1</v>
      </c>
      <c r="LP7" s="20">
        <v>9</v>
      </c>
      <c r="LQ7" s="20">
        <v>2</v>
      </c>
      <c r="LR7" s="20" t="s">
        <v>146</v>
      </c>
      <c r="LS7" s="20" t="s">
        <v>219</v>
      </c>
      <c r="LT7" s="20">
        <v>12</v>
      </c>
      <c r="LU7" s="20">
        <v>12</v>
      </c>
      <c r="LV7" s="20">
        <v>3</v>
      </c>
      <c r="LW7" s="20">
        <v>12</v>
      </c>
      <c r="LX7" s="20" t="s">
        <v>220</v>
      </c>
      <c r="LZ7" s="20">
        <v>0</v>
      </c>
      <c r="MA7" s="20">
        <v>1</v>
      </c>
      <c r="MB7" s="20">
        <v>0</v>
      </c>
      <c r="MC7" s="20">
        <v>0</v>
      </c>
      <c r="MD7" s="20">
        <v>0</v>
      </c>
      <c r="ME7" s="20">
        <v>0</v>
      </c>
      <c r="MF7" s="20">
        <v>0</v>
      </c>
      <c r="MG7" s="20">
        <v>0</v>
      </c>
      <c r="MK7" s="20">
        <v>0.79</v>
      </c>
      <c r="ML7" s="20">
        <v>4</v>
      </c>
      <c r="MO7" s="20">
        <v>3</v>
      </c>
      <c r="MP7" s="20" t="s">
        <v>14</v>
      </c>
      <c r="MQ7" s="20" t="s">
        <v>13</v>
      </c>
      <c r="MR7" s="33">
        <v>1</v>
      </c>
      <c r="MS7" s="20">
        <v>9</v>
      </c>
      <c r="MT7" s="20">
        <v>2</v>
      </c>
      <c r="MU7" s="20" t="s">
        <v>146</v>
      </c>
      <c r="MV7" s="20" t="s">
        <v>219</v>
      </c>
      <c r="MW7" s="20">
        <v>12</v>
      </c>
      <c r="MX7" s="20">
        <v>12</v>
      </c>
      <c r="MY7" s="20">
        <v>3</v>
      </c>
      <c r="MZ7" s="20">
        <v>12</v>
      </c>
      <c r="NA7" s="20" t="s">
        <v>220</v>
      </c>
      <c r="NB7" s="34">
        <v>0</v>
      </c>
      <c r="NC7" s="20">
        <v>14</v>
      </c>
      <c r="ND7" s="20">
        <v>3</v>
      </c>
      <c r="NE7" s="20" t="s">
        <v>119</v>
      </c>
      <c r="NF7" s="20" t="s">
        <v>144</v>
      </c>
      <c r="NG7" s="20">
        <v>16</v>
      </c>
      <c r="NH7" s="20">
        <v>18</v>
      </c>
      <c r="NI7" s="20">
        <v>9</v>
      </c>
      <c r="NJ7" s="20">
        <v>7</v>
      </c>
      <c r="NK7" s="20" t="s">
        <v>218</v>
      </c>
      <c r="NM7" s="20">
        <v>0</v>
      </c>
      <c r="NN7" s="20">
        <v>1</v>
      </c>
      <c r="NO7" s="20">
        <v>0</v>
      </c>
      <c r="NP7" s="20">
        <v>0</v>
      </c>
      <c r="NQ7" s="20">
        <v>0</v>
      </c>
      <c r="NR7" s="20">
        <v>0</v>
      </c>
      <c r="NS7" s="20">
        <v>0</v>
      </c>
      <c r="NT7" s="20">
        <v>0</v>
      </c>
      <c r="NX7" s="20">
        <v>0.79</v>
      </c>
      <c r="NY7" s="20">
        <v>4</v>
      </c>
      <c r="OB7" s="20">
        <v>3</v>
      </c>
      <c r="OC7" s="20" t="s">
        <v>10</v>
      </c>
      <c r="OD7" s="20" t="s">
        <v>15</v>
      </c>
      <c r="OE7" s="32">
        <v>3</v>
      </c>
      <c r="OF7" s="20">
        <v>9</v>
      </c>
      <c r="OG7" s="20">
        <v>4</v>
      </c>
      <c r="OH7" s="20" t="s">
        <v>197</v>
      </c>
      <c r="OI7" s="20" t="s">
        <v>142</v>
      </c>
      <c r="OJ7" s="20">
        <v>19</v>
      </c>
      <c r="OK7" s="20">
        <v>10</v>
      </c>
      <c r="OL7" s="20">
        <v>15</v>
      </c>
      <c r="OM7" s="20">
        <v>14</v>
      </c>
      <c r="ON7" s="20" t="s">
        <v>213</v>
      </c>
      <c r="OO7" s="32">
        <v>3</v>
      </c>
      <c r="OP7" s="20">
        <v>25</v>
      </c>
      <c r="OQ7" s="20">
        <v>12</v>
      </c>
      <c r="OR7" s="20" t="s">
        <v>211</v>
      </c>
      <c r="OS7" s="20" t="s">
        <v>199</v>
      </c>
      <c r="OT7" s="20">
        <v>27</v>
      </c>
      <c r="OU7" s="20">
        <v>6</v>
      </c>
      <c r="OV7" s="20">
        <v>7</v>
      </c>
      <c r="OW7" s="20">
        <v>12</v>
      </c>
      <c r="OX7" s="20" t="s">
        <v>212</v>
      </c>
      <c r="OZ7" s="32">
        <v>1</v>
      </c>
      <c r="PA7" s="32">
        <v>1</v>
      </c>
      <c r="PB7" s="32">
        <v>1</v>
      </c>
      <c r="PC7" s="32">
        <v>1</v>
      </c>
      <c r="PD7" s="32">
        <v>0</v>
      </c>
      <c r="PE7" s="32">
        <v>0</v>
      </c>
      <c r="PF7" s="32">
        <v>1</v>
      </c>
      <c r="PG7" s="32">
        <v>1</v>
      </c>
      <c r="PK7" s="32">
        <v>3.56</v>
      </c>
      <c r="PL7" s="32">
        <v>8</v>
      </c>
      <c r="PO7" s="20">
        <v>3</v>
      </c>
      <c r="PP7" s="20" t="s">
        <v>34</v>
      </c>
      <c r="PQ7" s="20" t="s">
        <v>17</v>
      </c>
      <c r="PR7" s="33">
        <v>1</v>
      </c>
      <c r="PS7" s="20">
        <v>17</v>
      </c>
      <c r="PT7" s="20">
        <v>3</v>
      </c>
      <c r="PU7" s="20" t="s">
        <v>221</v>
      </c>
      <c r="PV7" s="20" t="s">
        <v>120</v>
      </c>
      <c r="PW7" s="20">
        <v>22</v>
      </c>
      <c r="PX7" s="20">
        <v>26</v>
      </c>
      <c r="PY7" s="20">
        <v>14</v>
      </c>
      <c r="PZ7" s="20">
        <v>6</v>
      </c>
      <c r="QA7" s="20" t="s">
        <v>222</v>
      </c>
      <c r="QB7" s="34">
        <v>0</v>
      </c>
      <c r="QC7" s="20">
        <v>15</v>
      </c>
      <c r="QD7" s="20">
        <v>8</v>
      </c>
      <c r="QE7" s="20" t="s">
        <v>223</v>
      </c>
      <c r="QF7" s="20" t="s">
        <v>219</v>
      </c>
      <c r="QG7" s="20">
        <v>22</v>
      </c>
      <c r="QH7" s="20">
        <v>17</v>
      </c>
      <c r="QI7" s="20">
        <v>5</v>
      </c>
      <c r="QJ7" s="20">
        <v>9</v>
      </c>
      <c r="QK7" s="20" t="s">
        <v>224</v>
      </c>
      <c r="QM7" s="20">
        <v>0</v>
      </c>
      <c r="QN7" s="20">
        <v>0</v>
      </c>
      <c r="QO7" s="20">
        <v>1</v>
      </c>
      <c r="QP7" s="20">
        <v>1</v>
      </c>
      <c r="QQ7" s="20">
        <v>1</v>
      </c>
      <c r="QR7" s="20">
        <v>1</v>
      </c>
      <c r="QS7" s="20">
        <v>1</v>
      </c>
      <c r="QT7" s="20">
        <v>1</v>
      </c>
      <c r="QX7" s="20">
        <v>35.69</v>
      </c>
      <c r="QY7" s="20">
        <v>0</v>
      </c>
      <c r="RB7" s="20">
        <v>3</v>
      </c>
      <c r="RC7" s="20" t="s">
        <v>18</v>
      </c>
      <c r="RD7" s="20" t="s">
        <v>6</v>
      </c>
      <c r="RE7" s="34">
        <v>0</v>
      </c>
      <c r="RF7" s="20">
        <v>14</v>
      </c>
      <c r="RG7" s="20">
        <v>3</v>
      </c>
      <c r="RH7" s="20" t="s">
        <v>119</v>
      </c>
      <c r="RI7" s="20" t="s">
        <v>199</v>
      </c>
      <c r="RJ7" s="20">
        <v>14</v>
      </c>
      <c r="RK7" s="20">
        <v>5</v>
      </c>
      <c r="RL7" s="20">
        <v>6</v>
      </c>
      <c r="RM7" s="20">
        <v>6</v>
      </c>
      <c r="RN7" s="20" t="s">
        <v>200</v>
      </c>
      <c r="RO7" s="33">
        <v>6</v>
      </c>
      <c r="RP7" s="20">
        <v>15</v>
      </c>
      <c r="RQ7" s="20">
        <v>8</v>
      </c>
      <c r="RR7" s="20" t="s">
        <v>223</v>
      </c>
      <c r="RS7" s="20" t="s">
        <v>179</v>
      </c>
      <c r="RT7" s="20">
        <v>17</v>
      </c>
      <c r="RU7" s="20">
        <v>10</v>
      </c>
      <c r="RV7" s="20">
        <v>7</v>
      </c>
      <c r="RW7" s="20">
        <v>8</v>
      </c>
      <c r="RX7" s="20" t="s">
        <v>225</v>
      </c>
      <c r="RZ7" s="20">
        <v>1</v>
      </c>
      <c r="SA7" s="20">
        <v>1</v>
      </c>
      <c r="SB7" s="20">
        <v>0</v>
      </c>
      <c r="SC7" s="20">
        <v>1</v>
      </c>
      <c r="SD7" s="20">
        <v>1</v>
      </c>
      <c r="SE7" s="20">
        <v>1</v>
      </c>
      <c r="SF7" s="20">
        <v>0</v>
      </c>
      <c r="SG7" s="20">
        <v>0</v>
      </c>
      <c r="SK7" s="20">
        <v>31.9</v>
      </c>
      <c r="SL7" s="20">
        <v>3</v>
      </c>
      <c r="SO7" s="20">
        <v>3</v>
      </c>
      <c r="SP7" s="20" t="s">
        <v>12</v>
      </c>
      <c r="SQ7" s="20" t="s">
        <v>19</v>
      </c>
      <c r="SR7" s="32">
        <v>0</v>
      </c>
      <c r="SS7" s="20">
        <v>7</v>
      </c>
      <c r="ST7" s="20">
        <v>0</v>
      </c>
      <c r="SU7" s="20" t="s">
        <v>116</v>
      </c>
      <c r="SV7" s="20" t="s">
        <v>139</v>
      </c>
      <c r="SW7" s="20">
        <v>25</v>
      </c>
      <c r="SX7" s="20">
        <v>10</v>
      </c>
      <c r="SY7" s="20">
        <v>9</v>
      </c>
      <c r="SZ7" s="20">
        <v>14</v>
      </c>
      <c r="TA7" s="20" t="s">
        <v>217</v>
      </c>
      <c r="TB7" s="32">
        <v>0</v>
      </c>
      <c r="TC7" s="20">
        <v>10</v>
      </c>
      <c r="TD7" s="20">
        <v>4</v>
      </c>
      <c r="TE7" s="20" t="s">
        <v>133</v>
      </c>
      <c r="TF7" s="20" t="s">
        <v>176</v>
      </c>
      <c r="TG7" s="20">
        <v>19</v>
      </c>
      <c r="TH7" s="20">
        <v>22</v>
      </c>
      <c r="TI7" s="20">
        <v>4</v>
      </c>
      <c r="TJ7" s="20">
        <v>18</v>
      </c>
      <c r="TK7" s="20" t="s">
        <v>216</v>
      </c>
      <c r="TM7" s="32">
        <v>1</v>
      </c>
      <c r="TN7" s="32">
        <v>1</v>
      </c>
      <c r="TO7" s="32">
        <v>1</v>
      </c>
      <c r="TP7" s="32">
        <v>0</v>
      </c>
      <c r="TQ7" s="32">
        <v>1</v>
      </c>
      <c r="TR7" s="32">
        <v>0</v>
      </c>
      <c r="TS7" s="32">
        <v>0</v>
      </c>
      <c r="TT7" s="32">
        <v>1</v>
      </c>
      <c r="TX7" s="32">
        <v>40</v>
      </c>
      <c r="TY7" s="32">
        <v>6</v>
      </c>
      <c r="UB7" s="20">
        <v>3</v>
      </c>
      <c r="UC7" s="20" t="s">
        <v>21</v>
      </c>
      <c r="UD7" s="20" t="s">
        <v>16</v>
      </c>
      <c r="UE7" s="33">
        <v>3</v>
      </c>
      <c r="UF7" s="20">
        <v>14</v>
      </c>
      <c r="UG7" s="20">
        <v>8</v>
      </c>
      <c r="UH7" s="20" t="s">
        <v>226</v>
      </c>
      <c r="UI7" s="20" t="s">
        <v>156</v>
      </c>
      <c r="UJ7" s="20">
        <v>29</v>
      </c>
      <c r="UK7" s="20">
        <v>27</v>
      </c>
      <c r="UL7" s="20">
        <v>6</v>
      </c>
      <c r="UM7" s="20">
        <v>6</v>
      </c>
      <c r="UN7" s="20" t="s">
        <v>227</v>
      </c>
      <c r="UO7" s="34">
        <v>1</v>
      </c>
      <c r="UP7" s="20">
        <v>8</v>
      </c>
      <c r="UQ7" s="20">
        <v>2</v>
      </c>
      <c r="UR7" s="20" t="s">
        <v>131</v>
      </c>
      <c r="US7" s="20" t="s">
        <v>134</v>
      </c>
      <c r="UT7" s="20">
        <v>10</v>
      </c>
      <c r="UU7" s="20">
        <v>15</v>
      </c>
      <c r="UV7" s="20">
        <v>6</v>
      </c>
      <c r="UW7" s="20">
        <v>9</v>
      </c>
      <c r="UX7" s="20" t="s">
        <v>228</v>
      </c>
      <c r="UZ7" s="20">
        <v>1</v>
      </c>
      <c r="VA7" s="20">
        <v>1</v>
      </c>
      <c r="VB7" s="20">
        <v>0</v>
      </c>
      <c r="VC7" s="20">
        <v>1</v>
      </c>
      <c r="VD7" s="20">
        <v>1</v>
      </c>
      <c r="VE7" s="20">
        <v>1</v>
      </c>
      <c r="VF7" s="20">
        <v>1</v>
      </c>
      <c r="VG7" s="20">
        <v>0</v>
      </c>
      <c r="VK7" s="20">
        <v>32.14</v>
      </c>
      <c r="VL7" s="20">
        <v>19</v>
      </c>
      <c r="VO7" s="20">
        <v>3</v>
      </c>
      <c r="VP7" s="20" t="s">
        <v>20</v>
      </c>
      <c r="VQ7" s="20" t="s">
        <v>8</v>
      </c>
      <c r="VR7" s="34">
        <v>1</v>
      </c>
      <c r="VS7" s="20">
        <v>13</v>
      </c>
      <c r="VT7" s="20">
        <v>2</v>
      </c>
      <c r="VU7" s="20" t="s">
        <v>205</v>
      </c>
      <c r="VV7" s="20" t="s">
        <v>171</v>
      </c>
      <c r="VW7" s="20">
        <v>14</v>
      </c>
      <c r="VX7" s="20">
        <v>14</v>
      </c>
      <c r="VY7" s="20">
        <v>12</v>
      </c>
      <c r="VZ7" s="20">
        <v>15</v>
      </c>
      <c r="WA7" s="20" t="s">
        <v>206</v>
      </c>
      <c r="WB7" s="33">
        <v>3</v>
      </c>
      <c r="WC7" s="20">
        <v>8</v>
      </c>
      <c r="WD7" s="20">
        <v>5</v>
      </c>
      <c r="WE7" s="20" t="s">
        <v>169</v>
      </c>
      <c r="WF7" s="20" t="s">
        <v>203</v>
      </c>
      <c r="WG7" s="20">
        <v>21</v>
      </c>
      <c r="WH7" s="20">
        <v>6</v>
      </c>
      <c r="WI7" s="20">
        <v>8</v>
      </c>
      <c r="WJ7" s="20">
        <v>11</v>
      </c>
      <c r="WK7" s="20" t="s">
        <v>204</v>
      </c>
      <c r="WM7" s="20">
        <v>1</v>
      </c>
      <c r="WN7" s="20">
        <v>1</v>
      </c>
      <c r="WO7" s="20">
        <v>0</v>
      </c>
      <c r="WP7" s="20">
        <v>1</v>
      </c>
      <c r="WQ7" s="20">
        <v>0</v>
      </c>
      <c r="WR7" s="20">
        <v>0</v>
      </c>
      <c r="WS7" s="20">
        <v>1</v>
      </c>
      <c r="WT7" s="20">
        <v>0</v>
      </c>
      <c r="WX7" s="20">
        <v>47.12</v>
      </c>
      <c r="WY7" s="20">
        <v>7</v>
      </c>
      <c r="XB7" s="20">
        <v>3</v>
      </c>
      <c r="XC7" s="20" t="s">
        <v>34</v>
      </c>
      <c r="XD7" s="20" t="s">
        <v>17</v>
      </c>
      <c r="XE7" s="34">
        <v>0</v>
      </c>
      <c r="XF7" s="20">
        <v>15</v>
      </c>
      <c r="XG7" s="20">
        <v>8</v>
      </c>
      <c r="XH7" s="20" t="s">
        <v>223</v>
      </c>
      <c r="XI7" s="20" t="s">
        <v>219</v>
      </c>
      <c r="XJ7" s="20">
        <v>22</v>
      </c>
      <c r="XK7" s="20">
        <v>17</v>
      </c>
      <c r="XL7" s="20">
        <v>5</v>
      </c>
      <c r="XM7" s="20">
        <v>9</v>
      </c>
      <c r="XN7" s="20" t="s">
        <v>224</v>
      </c>
      <c r="XO7" s="33">
        <v>1</v>
      </c>
      <c r="XP7" s="20">
        <v>17</v>
      </c>
      <c r="XQ7" s="20">
        <v>3</v>
      </c>
      <c r="XR7" s="20" t="s">
        <v>221</v>
      </c>
      <c r="XS7" s="20" t="s">
        <v>120</v>
      </c>
      <c r="XT7" s="20">
        <v>22</v>
      </c>
      <c r="XU7" s="20">
        <v>26</v>
      </c>
      <c r="XV7" s="20">
        <v>14</v>
      </c>
      <c r="XW7" s="20">
        <v>6</v>
      </c>
      <c r="XX7" s="20" t="s">
        <v>222</v>
      </c>
      <c r="XZ7" s="20">
        <v>0</v>
      </c>
      <c r="YA7" s="20">
        <v>0</v>
      </c>
      <c r="YB7" s="20">
        <v>1</v>
      </c>
      <c r="YC7" s="20">
        <v>1</v>
      </c>
      <c r="YD7" s="20">
        <v>1</v>
      </c>
      <c r="YE7" s="20">
        <v>1</v>
      </c>
      <c r="YF7" s="20">
        <v>1</v>
      </c>
      <c r="YG7" s="20">
        <v>1</v>
      </c>
      <c r="YK7" s="20">
        <v>35.69</v>
      </c>
      <c r="YL7" s="20">
        <v>0</v>
      </c>
      <c r="YO7" s="20">
        <v>3</v>
      </c>
      <c r="YP7" s="20" t="s">
        <v>21</v>
      </c>
      <c r="YQ7" s="20" t="s">
        <v>16</v>
      </c>
      <c r="YR7" s="34">
        <v>1</v>
      </c>
      <c r="YS7" s="20">
        <v>8</v>
      </c>
      <c r="YT7" s="20">
        <v>2</v>
      </c>
      <c r="YU7" s="20" t="s">
        <v>131</v>
      </c>
      <c r="YV7" s="20" t="s">
        <v>134</v>
      </c>
      <c r="YW7" s="20">
        <v>10</v>
      </c>
      <c r="YX7" s="20">
        <v>15</v>
      </c>
      <c r="YY7" s="20">
        <v>6</v>
      </c>
      <c r="YZ7" s="20">
        <v>9</v>
      </c>
      <c r="ZA7" s="20" t="s">
        <v>228</v>
      </c>
      <c r="ZB7" s="33">
        <v>3</v>
      </c>
      <c r="ZC7" s="20">
        <v>14</v>
      </c>
      <c r="ZD7" s="20">
        <v>8</v>
      </c>
      <c r="ZE7" s="20" t="s">
        <v>226</v>
      </c>
      <c r="ZF7" s="20" t="s">
        <v>156</v>
      </c>
      <c r="ZG7" s="20">
        <v>29</v>
      </c>
      <c r="ZH7" s="20">
        <v>27</v>
      </c>
      <c r="ZI7" s="20">
        <v>6</v>
      </c>
      <c r="ZJ7" s="20">
        <v>6</v>
      </c>
      <c r="ZK7" s="20" t="s">
        <v>227</v>
      </c>
      <c r="ZM7" s="20">
        <v>1</v>
      </c>
      <c r="ZN7" s="20">
        <v>1</v>
      </c>
      <c r="ZO7" s="20">
        <v>0</v>
      </c>
      <c r="ZP7" s="20">
        <v>1</v>
      </c>
      <c r="ZQ7" s="20">
        <v>1</v>
      </c>
      <c r="ZR7" s="20">
        <v>1</v>
      </c>
      <c r="ZS7" s="20">
        <v>1</v>
      </c>
      <c r="ZT7" s="20">
        <v>0</v>
      </c>
      <c r="ZX7" s="20">
        <v>32.14</v>
      </c>
      <c r="ZY7" s="20">
        <v>19</v>
      </c>
      <c r="AAB7" s="20">
        <v>3</v>
      </c>
      <c r="AAC7" s="20" t="s">
        <v>9</v>
      </c>
      <c r="AAD7" s="20" t="s">
        <v>22</v>
      </c>
      <c r="AAE7" s="34">
        <v>1</v>
      </c>
      <c r="AAF7" s="20">
        <v>12</v>
      </c>
      <c r="AAG7" s="20">
        <v>4</v>
      </c>
      <c r="AAH7" s="20" t="s">
        <v>209</v>
      </c>
      <c r="AAI7" s="20" t="s">
        <v>151</v>
      </c>
      <c r="AAJ7" s="20">
        <v>24</v>
      </c>
      <c r="AAK7" s="20">
        <v>18</v>
      </c>
      <c r="AAL7" s="20">
        <v>8</v>
      </c>
      <c r="AAM7" s="20">
        <v>10</v>
      </c>
      <c r="AAN7" s="20" t="s">
        <v>210</v>
      </c>
      <c r="AAO7" s="33">
        <v>3</v>
      </c>
      <c r="AAP7" s="20">
        <v>14</v>
      </c>
      <c r="AAQ7" s="20">
        <v>6</v>
      </c>
      <c r="AAR7" s="20" t="s">
        <v>207</v>
      </c>
      <c r="AAS7" s="20" t="s">
        <v>154</v>
      </c>
      <c r="AAT7" s="20">
        <v>21</v>
      </c>
      <c r="AAU7" s="20">
        <v>28</v>
      </c>
      <c r="AAV7" s="20">
        <v>8</v>
      </c>
      <c r="AAW7" s="20">
        <v>15</v>
      </c>
      <c r="AAX7" s="20" t="s">
        <v>208</v>
      </c>
      <c r="AAZ7" s="20">
        <v>1</v>
      </c>
      <c r="ABA7" s="20">
        <v>1</v>
      </c>
      <c r="ABB7" s="20">
        <v>1</v>
      </c>
      <c r="ABC7" s="20">
        <v>0</v>
      </c>
      <c r="ABD7" s="20">
        <v>1</v>
      </c>
      <c r="ABE7" s="20">
        <v>0</v>
      </c>
      <c r="ABF7" s="20">
        <v>0</v>
      </c>
      <c r="ABG7" s="20">
        <v>1</v>
      </c>
      <c r="ABK7" s="20">
        <v>9.52</v>
      </c>
      <c r="ABL7" s="20">
        <v>3</v>
      </c>
      <c r="ABO7" s="20">
        <v>3</v>
      </c>
      <c r="ABP7" s="20" t="s">
        <v>23</v>
      </c>
      <c r="ABQ7" s="20" t="s">
        <v>11</v>
      </c>
      <c r="ABR7" s="32">
        <v>1</v>
      </c>
      <c r="ABS7" s="20">
        <v>14</v>
      </c>
      <c r="ABT7" s="20">
        <v>4</v>
      </c>
      <c r="ABU7" s="20" t="s">
        <v>170</v>
      </c>
      <c r="ABV7" s="20" t="s">
        <v>161</v>
      </c>
      <c r="ABW7" s="20">
        <v>11</v>
      </c>
      <c r="ABX7" s="20">
        <v>18</v>
      </c>
      <c r="ABY7" s="20">
        <v>8</v>
      </c>
      <c r="ABZ7" s="20">
        <v>7</v>
      </c>
      <c r="ACA7" s="20" t="s">
        <v>215</v>
      </c>
      <c r="ACB7" s="32">
        <v>1</v>
      </c>
      <c r="ACC7" s="20">
        <v>8</v>
      </c>
      <c r="ACD7" s="20">
        <v>3</v>
      </c>
      <c r="ACE7" s="20" t="s">
        <v>153</v>
      </c>
      <c r="ACF7" s="20" t="s">
        <v>123</v>
      </c>
      <c r="ACG7" s="20">
        <v>13</v>
      </c>
      <c r="ACH7" s="20">
        <v>29</v>
      </c>
      <c r="ACI7" s="20">
        <v>10</v>
      </c>
      <c r="ACJ7" s="20">
        <v>8</v>
      </c>
      <c r="ACK7" s="20" t="s">
        <v>214</v>
      </c>
      <c r="ACM7" s="32">
        <v>1</v>
      </c>
      <c r="ACN7" s="32">
        <v>0</v>
      </c>
      <c r="ACO7" s="32">
        <v>1</v>
      </c>
      <c r="ACP7" s="32">
        <v>0</v>
      </c>
      <c r="ACQ7" s="32">
        <v>0</v>
      </c>
      <c r="ACR7" s="32">
        <v>0</v>
      </c>
      <c r="ACS7" s="32">
        <v>1</v>
      </c>
      <c r="ACT7" s="32">
        <v>1</v>
      </c>
      <c r="ACX7" s="32">
        <v>8.93</v>
      </c>
      <c r="ACY7" s="32">
        <v>2</v>
      </c>
    </row>
    <row r="8" spans="1:779" x14ac:dyDescent="0.3">
      <c r="A8" s="27"/>
      <c r="B8" s="20">
        <v>4</v>
      </c>
      <c r="C8" s="20" t="s">
        <v>5</v>
      </c>
      <c r="D8" s="20" t="s">
        <v>23</v>
      </c>
      <c r="E8" s="29">
        <v>4</v>
      </c>
      <c r="F8" s="20">
        <v>21</v>
      </c>
      <c r="G8" s="30">
        <v>8</v>
      </c>
      <c r="H8" s="27">
        <v>0.38100000000000001</v>
      </c>
      <c r="I8" s="28">
        <v>0.9</v>
      </c>
      <c r="J8" s="20">
        <v>13</v>
      </c>
      <c r="K8" s="20">
        <v>10</v>
      </c>
      <c r="L8" s="20">
        <v>12</v>
      </c>
      <c r="M8" s="30">
        <v>7</v>
      </c>
      <c r="N8" s="27">
        <v>0.69899999999999995</v>
      </c>
      <c r="O8" s="31">
        <v>1</v>
      </c>
      <c r="P8" s="20">
        <v>11</v>
      </c>
      <c r="Q8" s="30">
        <v>4</v>
      </c>
      <c r="R8" s="27">
        <v>0.36359999999999998</v>
      </c>
      <c r="S8" s="28">
        <v>0.74</v>
      </c>
      <c r="T8" s="20">
        <v>19</v>
      </c>
      <c r="U8" s="20">
        <v>9</v>
      </c>
      <c r="V8" s="20">
        <v>7</v>
      </c>
      <c r="W8" s="30">
        <v>11</v>
      </c>
      <c r="X8" s="27">
        <v>0.30099999999999999</v>
      </c>
      <c r="Z8" s="20">
        <v>1</v>
      </c>
      <c r="AA8" s="20">
        <v>1</v>
      </c>
      <c r="AB8" s="20">
        <v>1</v>
      </c>
      <c r="AC8" s="20">
        <v>0</v>
      </c>
      <c r="AD8" s="20">
        <v>1</v>
      </c>
      <c r="AE8" s="20">
        <v>1</v>
      </c>
      <c r="AF8" s="20">
        <v>1</v>
      </c>
      <c r="AG8" s="20">
        <v>1</v>
      </c>
      <c r="AK8" s="20">
        <v>1.73</v>
      </c>
      <c r="AL8" s="20">
        <v>6</v>
      </c>
      <c r="AM8" s="20"/>
      <c r="AN8" s="20"/>
      <c r="AO8" s="20">
        <v>4</v>
      </c>
      <c r="AP8" s="20" t="s">
        <v>6</v>
      </c>
      <c r="AQ8" s="20" t="s">
        <v>20</v>
      </c>
      <c r="AR8" s="33">
        <v>1</v>
      </c>
      <c r="AS8" s="30">
        <v>20</v>
      </c>
      <c r="AT8" s="30">
        <v>10</v>
      </c>
      <c r="AU8" s="27">
        <v>0.5</v>
      </c>
      <c r="AV8" s="28">
        <v>0.88</v>
      </c>
      <c r="AW8" s="20">
        <v>25</v>
      </c>
      <c r="AX8" s="20">
        <v>6</v>
      </c>
      <c r="AY8" s="30">
        <v>14</v>
      </c>
      <c r="AZ8" s="20">
        <v>12</v>
      </c>
      <c r="BA8" s="27">
        <v>0.67100000000000004</v>
      </c>
      <c r="BB8" s="34">
        <v>0</v>
      </c>
      <c r="BC8" s="20">
        <v>12</v>
      </c>
      <c r="BD8" s="20">
        <v>3</v>
      </c>
      <c r="BE8" s="20" t="s">
        <v>131</v>
      </c>
      <c r="BF8" s="20" t="s">
        <v>142</v>
      </c>
      <c r="BG8" s="20">
        <v>24</v>
      </c>
      <c r="BH8" s="20">
        <v>6</v>
      </c>
      <c r="BI8" s="20">
        <v>16</v>
      </c>
      <c r="BJ8" s="20">
        <v>15</v>
      </c>
      <c r="BK8" s="20" t="s">
        <v>229</v>
      </c>
      <c r="BM8" s="20">
        <v>1</v>
      </c>
      <c r="BN8" s="20">
        <v>1</v>
      </c>
      <c r="BO8" s="20">
        <v>1</v>
      </c>
      <c r="BP8" s="20">
        <v>1</v>
      </c>
      <c r="BQ8" s="20">
        <v>0</v>
      </c>
      <c r="BR8" s="20">
        <v>0</v>
      </c>
      <c r="BS8" s="20">
        <v>1</v>
      </c>
      <c r="BT8" s="20">
        <v>1</v>
      </c>
      <c r="BX8" s="20">
        <v>25</v>
      </c>
      <c r="BY8" s="20">
        <v>1</v>
      </c>
      <c r="BZ8" s="20"/>
      <c r="CA8" s="20"/>
      <c r="CB8" s="20">
        <v>4</v>
      </c>
      <c r="CC8" s="20" t="s">
        <v>19</v>
      </c>
      <c r="CD8" s="20" t="s">
        <v>7</v>
      </c>
      <c r="CE8" s="33">
        <v>2</v>
      </c>
      <c r="CF8" s="20">
        <v>14</v>
      </c>
      <c r="CG8" s="20">
        <v>6</v>
      </c>
      <c r="CH8" s="20" t="s">
        <v>207</v>
      </c>
      <c r="CI8" s="20" t="s">
        <v>230</v>
      </c>
      <c r="CJ8" s="20">
        <v>25</v>
      </c>
      <c r="CK8" s="20">
        <v>15</v>
      </c>
      <c r="CL8" s="20">
        <v>10</v>
      </c>
      <c r="CM8" s="20">
        <v>16</v>
      </c>
      <c r="CN8" s="20" t="s">
        <v>231</v>
      </c>
      <c r="CO8" s="34">
        <v>0</v>
      </c>
      <c r="CP8" s="20">
        <v>9</v>
      </c>
      <c r="CQ8" s="20">
        <v>3</v>
      </c>
      <c r="CR8" s="20" t="s">
        <v>209</v>
      </c>
      <c r="CS8" s="20" t="s">
        <v>203</v>
      </c>
      <c r="CT8" s="20">
        <v>27</v>
      </c>
      <c r="CU8" s="20">
        <v>16</v>
      </c>
      <c r="CV8" s="20">
        <v>8</v>
      </c>
      <c r="CW8" s="20">
        <v>17</v>
      </c>
      <c r="CX8" s="20" t="s">
        <v>232</v>
      </c>
      <c r="CZ8" s="20">
        <v>1</v>
      </c>
      <c r="DA8" s="20">
        <v>1</v>
      </c>
      <c r="DB8" s="20">
        <v>1</v>
      </c>
      <c r="DC8" s="20">
        <v>0</v>
      </c>
      <c r="DD8" s="20">
        <v>0</v>
      </c>
      <c r="DE8" s="20">
        <v>1</v>
      </c>
      <c r="DF8" s="20">
        <v>1</v>
      </c>
      <c r="DG8" s="20">
        <v>1</v>
      </c>
      <c r="DK8" s="20">
        <v>9.52</v>
      </c>
      <c r="DL8" s="20">
        <v>2</v>
      </c>
      <c r="DO8" s="20">
        <v>4</v>
      </c>
      <c r="DP8" s="20" t="s">
        <v>8</v>
      </c>
      <c r="DQ8" s="20" t="s">
        <v>9</v>
      </c>
      <c r="DR8" s="33">
        <v>3</v>
      </c>
      <c r="DS8" s="20">
        <v>14</v>
      </c>
      <c r="DT8" s="20">
        <v>7</v>
      </c>
      <c r="DU8" s="20" t="s">
        <v>125</v>
      </c>
      <c r="DV8" s="20" t="s">
        <v>219</v>
      </c>
      <c r="DW8" s="20">
        <v>21</v>
      </c>
      <c r="DX8" s="20">
        <v>26</v>
      </c>
      <c r="DY8" s="20">
        <v>5</v>
      </c>
      <c r="DZ8" s="20">
        <v>11</v>
      </c>
      <c r="EA8" s="20" t="s">
        <v>214</v>
      </c>
      <c r="EB8" s="34">
        <v>1</v>
      </c>
      <c r="EC8" s="20">
        <v>10</v>
      </c>
      <c r="ED8" s="20">
        <v>2</v>
      </c>
      <c r="EE8" s="20" t="s">
        <v>141</v>
      </c>
      <c r="EF8" s="20" t="s">
        <v>147</v>
      </c>
      <c r="EG8" s="20">
        <v>21</v>
      </c>
      <c r="EH8" s="20">
        <v>28</v>
      </c>
      <c r="EI8" s="20">
        <v>6</v>
      </c>
      <c r="EJ8" s="20">
        <v>16</v>
      </c>
      <c r="EK8" s="20" t="s">
        <v>215</v>
      </c>
      <c r="EM8" s="20">
        <v>1</v>
      </c>
      <c r="EN8" s="20">
        <v>1</v>
      </c>
      <c r="EO8" s="20">
        <v>0</v>
      </c>
      <c r="EP8" s="20">
        <v>0</v>
      </c>
      <c r="EQ8" s="20">
        <v>0</v>
      </c>
      <c r="ER8" s="20">
        <v>0</v>
      </c>
      <c r="ES8" s="20">
        <v>1</v>
      </c>
      <c r="ET8" s="20">
        <v>0</v>
      </c>
      <c r="EX8" s="20">
        <v>30</v>
      </c>
      <c r="EY8" s="20">
        <v>0</v>
      </c>
      <c r="FB8" s="20">
        <v>4</v>
      </c>
      <c r="FC8" s="20" t="s">
        <v>8</v>
      </c>
      <c r="FD8" s="20" t="s">
        <v>9</v>
      </c>
      <c r="FE8" s="34">
        <v>1</v>
      </c>
      <c r="FF8" s="20">
        <v>10</v>
      </c>
      <c r="FG8" s="20">
        <v>2</v>
      </c>
      <c r="FH8" s="20" t="s">
        <v>141</v>
      </c>
      <c r="FI8" s="20" t="s">
        <v>147</v>
      </c>
      <c r="FJ8" s="20">
        <v>21</v>
      </c>
      <c r="FK8" s="20">
        <v>28</v>
      </c>
      <c r="FL8" s="20">
        <v>6</v>
      </c>
      <c r="FM8" s="20">
        <v>16</v>
      </c>
      <c r="FN8" s="20" t="s">
        <v>215</v>
      </c>
      <c r="FO8" s="33">
        <v>3</v>
      </c>
      <c r="FP8" s="20">
        <v>14</v>
      </c>
      <c r="FQ8" s="20">
        <v>7</v>
      </c>
      <c r="FR8" s="20" t="s">
        <v>125</v>
      </c>
      <c r="FS8" s="20" t="s">
        <v>219</v>
      </c>
      <c r="FT8" s="20">
        <v>21</v>
      </c>
      <c r="FU8" s="20">
        <v>26</v>
      </c>
      <c r="FV8" s="20">
        <v>5</v>
      </c>
      <c r="FW8" s="20">
        <v>11</v>
      </c>
      <c r="FX8" s="20" t="s">
        <v>214</v>
      </c>
      <c r="FZ8" s="20">
        <v>1</v>
      </c>
      <c r="GA8" s="20">
        <v>1</v>
      </c>
      <c r="GB8" s="20">
        <v>0</v>
      </c>
      <c r="GC8" s="20">
        <v>0</v>
      </c>
      <c r="GD8" s="20">
        <v>0</v>
      </c>
      <c r="GE8" s="20">
        <v>0</v>
      </c>
      <c r="GF8" s="20">
        <v>1</v>
      </c>
      <c r="GG8" s="20">
        <v>0</v>
      </c>
      <c r="GK8" s="20">
        <v>30</v>
      </c>
      <c r="GL8" s="20">
        <v>0</v>
      </c>
      <c r="GO8" s="20">
        <v>4</v>
      </c>
      <c r="GP8" s="20" t="s">
        <v>11</v>
      </c>
      <c r="GQ8" s="20" t="s">
        <v>10</v>
      </c>
      <c r="GR8" s="33">
        <v>2</v>
      </c>
      <c r="GS8" s="20">
        <v>15</v>
      </c>
      <c r="GT8" s="20">
        <v>5</v>
      </c>
      <c r="GU8" s="20" t="s">
        <v>209</v>
      </c>
      <c r="GV8" s="20" t="s">
        <v>230</v>
      </c>
      <c r="GW8" s="20">
        <v>27</v>
      </c>
      <c r="GX8" s="20">
        <v>13</v>
      </c>
      <c r="GY8" s="20">
        <v>13</v>
      </c>
      <c r="GZ8" s="20">
        <v>14</v>
      </c>
      <c r="HA8" s="20" t="s">
        <v>233</v>
      </c>
      <c r="HB8" s="34">
        <v>1</v>
      </c>
      <c r="HC8" s="20">
        <v>13</v>
      </c>
      <c r="HD8" s="20">
        <v>5</v>
      </c>
      <c r="HE8" s="20" t="s">
        <v>202</v>
      </c>
      <c r="HF8" s="20" t="s">
        <v>176</v>
      </c>
      <c r="HG8" s="20">
        <v>21</v>
      </c>
      <c r="HH8" s="20">
        <v>17</v>
      </c>
      <c r="HI8" s="20">
        <v>10</v>
      </c>
      <c r="HJ8" s="20">
        <v>14</v>
      </c>
      <c r="HK8" s="20" t="s">
        <v>234</v>
      </c>
      <c r="HM8" s="20">
        <v>1</v>
      </c>
      <c r="HN8" s="20">
        <v>0</v>
      </c>
      <c r="HO8" s="20">
        <v>1</v>
      </c>
      <c r="HP8" s="20">
        <v>1</v>
      </c>
      <c r="HQ8" s="20">
        <v>0</v>
      </c>
      <c r="HR8" s="20">
        <v>1</v>
      </c>
      <c r="HS8" s="20">
        <v>1</v>
      </c>
      <c r="HT8" s="20">
        <v>1</v>
      </c>
      <c r="HX8" s="20">
        <v>5.13</v>
      </c>
      <c r="HY8" s="20">
        <v>6</v>
      </c>
      <c r="IB8" s="20">
        <v>4</v>
      </c>
      <c r="IC8" s="20" t="s">
        <v>11</v>
      </c>
      <c r="ID8" s="20" t="s">
        <v>10</v>
      </c>
      <c r="IE8" s="34">
        <v>1</v>
      </c>
      <c r="IF8" s="20">
        <v>13</v>
      </c>
      <c r="IG8" s="20">
        <v>5</v>
      </c>
      <c r="IH8" s="20" t="s">
        <v>202</v>
      </c>
      <c r="II8" s="20" t="s">
        <v>176</v>
      </c>
      <c r="IJ8" s="20">
        <v>21</v>
      </c>
      <c r="IK8" s="20">
        <v>17</v>
      </c>
      <c r="IL8" s="20">
        <v>10</v>
      </c>
      <c r="IM8" s="20">
        <v>14</v>
      </c>
      <c r="IN8" s="20" t="s">
        <v>234</v>
      </c>
      <c r="IO8" s="33">
        <v>2</v>
      </c>
      <c r="IP8" s="20">
        <v>15</v>
      </c>
      <c r="IQ8" s="20">
        <v>5</v>
      </c>
      <c r="IR8" s="20" t="s">
        <v>209</v>
      </c>
      <c r="IS8" s="20" t="s">
        <v>230</v>
      </c>
      <c r="IT8" s="20">
        <v>27</v>
      </c>
      <c r="IU8" s="20">
        <v>13</v>
      </c>
      <c r="IV8" s="20">
        <v>13</v>
      </c>
      <c r="IW8" s="20">
        <v>14</v>
      </c>
      <c r="IX8" s="20" t="s">
        <v>233</v>
      </c>
      <c r="IZ8" s="20">
        <v>1</v>
      </c>
      <c r="JA8" s="20">
        <v>0</v>
      </c>
      <c r="JB8" s="20">
        <v>1</v>
      </c>
      <c r="JC8" s="20">
        <v>1</v>
      </c>
      <c r="JD8" s="20">
        <v>0</v>
      </c>
      <c r="JE8" s="20">
        <v>1</v>
      </c>
      <c r="JF8" s="20">
        <v>1</v>
      </c>
      <c r="JG8" s="20">
        <v>1</v>
      </c>
      <c r="JK8" s="20">
        <v>5.13</v>
      </c>
      <c r="JL8" s="20">
        <v>6</v>
      </c>
      <c r="JO8" s="20">
        <v>4</v>
      </c>
      <c r="JP8" s="20" t="s">
        <v>22</v>
      </c>
      <c r="JQ8" s="20" t="s">
        <v>12</v>
      </c>
      <c r="JR8" s="34">
        <v>0</v>
      </c>
      <c r="JS8" s="20">
        <v>13</v>
      </c>
      <c r="JT8" s="20">
        <v>3</v>
      </c>
      <c r="JU8" s="20" t="s">
        <v>158</v>
      </c>
      <c r="JV8" s="20" t="s">
        <v>129</v>
      </c>
      <c r="JW8" s="20">
        <v>12</v>
      </c>
      <c r="JX8" s="20">
        <v>13</v>
      </c>
      <c r="JY8" s="20">
        <v>7</v>
      </c>
      <c r="JZ8" s="20">
        <v>10</v>
      </c>
      <c r="KA8" s="20" t="s">
        <v>235</v>
      </c>
      <c r="KB8" s="33">
        <v>1</v>
      </c>
      <c r="KC8" s="20">
        <v>10</v>
      </c>
      <c r="KD8" s="20">
        <v>4</v>
      </c>
      <c r="KE8" s="20" t="s">
        <v>133</v>
      </c>
      <c r="KF8" s="20" t="s">
        <v>219</v>
      </c>
      <c r="KG8" s="20">
        <v>13</v>
      </c>
      <c r="KH8" s="20">
        <v>17</v>
      </c>
      <c r="KI8" s="20">
        <v>5</v>
      </c>
      <c r="KJ8" s="20">
        <v>9</v>
      </c>
      <c r="KK8" s="20" t="s">
        <v>236</v>
      </c>
      <c r="KM8" s="20">
        <v>1</v>
      </c>
      <c r="KN8" s="20">
        <v>1</v>
      </c>
      <c r="KO8" s="20">
        <v>0</v>
      </c>
      <c r="KP8" s="20">
        <v>1</v>
      </c>
      <c r="KQ8" s="20">
        <v>1</v>
      </c>
      <c r="KR8" s="20">
        <v>0</v>
      </c>
      <c r="KS8" s="20">
        <v>1</v>
      </c>
      <c r="KT8" s="20">
        <v>0</v>
      </c>
      <c r="KX8" s="20">
        <v>16.920000000000002</v>
      </c>
      <c r="KY8" s="20">
        <v>1</v>
      </c>
      <c r="LB8" s="20">
        <v>4</v>
      </c>
      <c r="LC8" s="20" t="s">
        <v>13</v>
      </c>
      <c r="LD8" s="20" t="s">
        <v>18</v>
      </c>
      <c r="LE8" s="34">
        <v>2</v>
      </c>
      <c r="LF8" s="20">
        <v>10</v>
      </c>
      <c r="LG8" s="20">
        <v>3</v>
      </c>
      <c r="LH8" s="20" t="s">
        <v>237</v>
      </c>
      <c r="LI8" s="20" t="s">
        <v>144</v>
      </c>
      <c r="LJ8" s="20">
        <v>20</v>
      </c>
      <c r="LK8" s="20">
        <v>13</v>
      </c>
      <c r="LL8" s="20">
        <v>11</v>
      </c>
      <c r="LM8" s="20">
        <v>10</v>
      </c>
      <c r="LN8" s="20" t="s">
        <v>238</v>
      </c>
      <c r="LO8" s="33">
        <v>3</v>
      </c>
      <c r="LP8" s="20">
        <v>18</v>
      </c>
      <c r="LQ8" s="20">
        <v>6</v>
      </c>
      <c r="LR8" s="20" t="s">
        <v>209</v>
      </c>
      <c r="LS8" s="20" t="s">
        <v>129</v>
      </c>
      <c r="LT8" s="20">
        <v>21</v>
      </c>
      <c r="LU8" s="20">
        <v>18</v>
      </c>
      <c r="LV8" s="20">
        <v>4</v>
      </c>
      <c r="LW8" s="20">
        <v>9</v>
      </c>
      <c r="LX8" s="20" t="s">
        <v>239</v>
      </c>
      <c r="LZ8" s="20">
        <v>1</v>
      </c>
      <c r="MA8" s="20">
        <v>1</v>
      </c>
      <c r="MB8" s="20">
        <v>0</v>
      </c>
      <c r="MC8" s="20">
        <v>1</v>
      </c>
      <c r="MD8" s="20">
        <v>1</v>
      </c>
      <c r="ME8" s="20">
        <v>0</v>
      </c>
      <c r="MF8" s="20">
        <v>1</v>
      </c>
      <c r="MG8" s="20">
        <v>0</v>
      </c>
      <c r="MK8" s="20">
        <v>3.33</v>
      </c>
      <c r="ML8" s="20">
        <v>1</v>
      </c>
      <c r="MO8" s="20">
        <v>4</v>
      </c>
      <c r="MP8" s="20" t="s">
        <v>17</v>
      </c>
      <c r="MQ8" s="20" t="s">
        <v>14</v>
      </c>
      <c r="MR8" s="32">
        <v>0</v>
      </c>
      <c r="MS8" s="20">
        <v>3</v>
      </c>
      <c r="MT8" s="20">
        <v>1</v>
      </c>
      <c r="MU8" s="20" t="s">
        <v>209</v>
      </c>
      <c r="MV8" s="20" t="s">
        <v>117</v>
      </c>
      <c r="MW8" s="20">
        <v>11</v>
      </c>
      <c r="MX8" s="20">
        <v>13</v>
      </c>
      <c r="MY8" s="20">
        <v>5</v>
      </c>
      <c r="MZ8" s="20">
        <v>8</v>
      </c>
      <c r="NA8" s="20" t="s">
        <v>229</v>
      </c>
      <c r="NB8" s="32">
        <v>0</v>
      </c>
      <c r="NC8" s="20">
        <v>22</v>
      </c>
      <c r="ND8" s="20">
        <v>5</v>
      </c>
      <c r="NE8" s="20" t="s">
        <v>240</v>
      </c>
      <c r="NF8" s="20" t="s">
        <v>179</v>
      </c>
      <c r="NG8" s="20">
        <v>16</v>
      </c>
      <c r="NH8" s="20">
        <v>12</v>
      </c>
      <c r="NI8" s="20">
        <v>8</v>
      </c>
      <c r="NJ8" s="20">
        <v>5</v>
      </c>
      <c r="NK8" s="20" t="s">
        <v>241</v>
      </c>
      <c r="NM8" s="32">
        <v>1</v>
      </c>
      <c r="NN8" s="32">
        <v>0</v>
      </c>
      <c r="NO8" s="32">
        <v>1</v>
      </c>
      <c r="NP8" s="32">
        <v>1</v>
      </c>
      <c r="NQ8" s="32">
        <v>0</v>
      </c>
      <c r="NR8" s="32">
        <v>1</v>
      </c>
      <c r="NS8" s="32">
        <v>1</v>
      </c>
      <c r="NT8" s="32">
        <v>1</v>
      </c>
      <c r="NX8" s="32">
        <v>10.61</v>
      </c>
      <c r="NY8" s="32">
        <v>5</v>
      </c>
      <c r="OB8" s="20">
        <v>4</v>
      </c>
      <c r="OC8" s="20" t="s">
        <v>15</v>
      </c>
      <c r="OD8" s="20" t="s">
        <v>21</v>
      </c>
      <c r="OE8" s="34">
        <v>0</v>
      </c>
      <c r="OF8" s="20">
        <v>8</v>
      </c>
      <c r="OG8" s="20">
        <v>2</v>
      </c>
      <c r="OH8" s="20" t="s">
        <v>131</v>
      </c>
      <c r="OI8" s="20" t="s">
        <v>156</v>
      </c>
      <c r="OJ8" s="20">
        <v>20</v>
      </c>
      <c r="OK8" s="20">
        <v>26</v>
      </c>
      <c r="OL8" s="20">
        <v>7</v>
      </c>
      <c r="OM8" s="20">
        <v>12</v>
      </c>
      <c r="ON8" s="20" t="s">
        <v>242</v>
      </c>
      <c r="OO8" s="33">
        <v>1</v>
      </c>
      <c r="OP8" s="20">
        <v>17</v>
      </c>
      <c r="OQ8" s="20">
        <v>6</v>
      </c>
      <c r="OR8" s="20" t="s">
        <v>243</v>
      </c>
      <c r="OS8" s="20" t="s">
        <v>151</v>
      </c>
      <c r="OT8" s="20">
        <v>24</v>
      </c>
      <c r="OU8" s="20">
        <v>29</v>
      </c>
      <c r="OV8" s="20">
        <v>7</v>
      </c>
      <c r="OW8" s="20">
        <v>9</v>
      </c>
      <c r="OX8" s="20" t="s">
        <v>244</v>
      </c>
      <c r="OZ8" s="20">
        <v>1</v>
      </c>
      <c r="PA8" s="20">
        <v>1</v>
      </c>
      <c r="PB8" s="20">
        <v>1</v>
      </c>
      <c r="PC8" s="20">
        <v>1</v>
      </c>
      <c r="PD8" s="20">
        <v>1</v>
      </c>
      <c r="PE8" s="20">
        <v>1</v>
      </c>
      <c r="PF8" s="20">
        <v>1</v>
      </c>
      <c r="PG8" s="20">
        <v>0</v>
      </c>
      <c r="PK8" s="20">
        <v>10.29</v>
      </c>
      <c r="PL8" s="20">
        <v>4</v>
      </c>
      <c r="PO8" s="20">
        <v>4</v>
      </c>
      <c r="PP8" s="20" t="s">
        <v>17</v>
      </c>
      <c r="PQ8" s="20" t="s">
        <v>14</v>
      </c>
      <c r="PR8" s="32">
        <v>0</v>
      </c>
      <c r="PS8" s="20">
        <v>22</v>
      </c>
      <c r="PT8" s="20">
        <v>5</v>
      </c>
      <c r="PU8" s="20" t="s">
        <v>240</v>
      </c>
      <c r="PV8" s="20" t="s">
        <v>179</v>
      </c>
      <c r="PW8" s="20">
        <v>16</v>
      </c>
      <c r="PX8" s="20">
        <v>12</v>
      </c>
      <c r="PY8" s="20">
        <v>8</v>
      </c>
      <c r="PZ8" s="20">
        <v>5</v>
      </c>
      <c r="QA8" s="20" t="s">
        <v>241</v>
      </c>
      <c r="QB8" s="32">
        <v>0</v>
      </c>
      <c r="QC8" s="20">
        <v>3</v>
      </c>
      <c r="QD8" s="20">
        <v>1</v>
      </c>
      <c r="QE8" s="20" t="s">
        <v>209</v>
      </c>
      <c r="QF8" s="20" t="s">
        <v>117</v>
      </c>
      <c r="QG8" s="20">
        <v>11</v>
      </c>
      <c r="QH8" s="20">
        <v>13</v>
      </c>
      <c r="QI8" s="20">
        <v>5</v>
      </c>
      <c r="QJ8" s="20">
        <v>8</v>
      </c>
      <c r="QK8" s="20" t="s">
        <v>229</v>
      </c>
      <c r="QM8" s="32">
        <v>1</v>
      </c>
      <c r="QN8" s="32">
        <v>0</v>
      </c>
      <c r="QO8" s="32">
        <v>1</v>
      </c>
      <c r="QP8" s="32">
        <v>1</v>
      </c>
      <c r="QQ8" s="32">
        <v>0</v>
      </c>
      <c r="QR8" s="32">
        <v>1</v>
      </c>
      <c r="QS8" s="32">
        <v>1</v>
      </c>
      <c r="QT8" s="32">
        <v>1</v>
      </c>
      <c r="QX8" s="32">
        <v>10.61</v>
      </c>
      <c r="QY8" s="32">
        <v>5</v>
      </c>
      <c r="RB8" s="20">
        <v>4</v>
      </c>
      <c r="RC8" s="20" t="s">
        <v>13</v>
      </c>
      <c r="RD8" s="20" t="s">
        <v>18</v>
      </c>
      <c r="RE8" s="33">
        <v>3</v>
      </c>
      <c r="RF8" s="20">
        <v>18</v>
      </c>
      <c r="RG8" s="20">
        <v>6</v>
      </c>
      <c r="RH8" s="20" t="s">
        <v>209</v>
      </c>
      <c r="RI8" s="20" t="s">
        <v>129</v>
      </c>
      <c r="RJ8" s="20">
        <v>21</v>
      </c>
      <c r="RK8" s="20">
        <v>18</v>
      </c>
      <c r="RL8" s="20">
        <v>4</v>
      </c>
      <c r="RM8" s="20">
        <v>9</v>
      </c>
      <c r="RN8" s="20" t="s">
        <v>239</v>
      </c>
      <c r="RO8" s="34">
        <v>2</v>
      </c>
      <c r="RP8" s="20">
        <v>10</v>
      </c>
      <c r="RQ8" s="20">
        <v>3</v>
      </c>
      <c r="RR8" s="20" t="s">
        <v>237</v>
      </c>
      <c r="RS8" s="20" t="s">
        <v>144</v>
      </c>
      <c r="RT8" s="20">
        <v>20</v>
      </c>
      <c r="RU8" s="20">
        <v>13</v>
      </c>
      <c r="RV8" s="20">
        <v>11</v>
      </c>
      <c r="RW8" s="20">
        <v>10</v>
      </c>
      <c r="RX8" s="20" t="s">
        <v>238</v>
      </c>
      <c r="RZ8" s="20">
        <v>1</v>
      </c>
      <c r="SA8" s="20">
        <v>1</v>
      </c>
      <c r="SB8" s="20">
        <v>0</v>
      </c>
      <c r="SC8" s="20">
        <v>1</v>
      </c>
      <c r="SD8" s="20">
        <v>1</v>
      </c>
      <c r="SE8" s="20">
        <v>0</v>
      </c>
      <c r="SF8" s="20">
        <v>1</v>
      </c>
      <c r="SG8" s="20">
        <v>0</v>
      </c>
      <c r="SK8" s="20">
        <v>3.33</v>
      </c>
      <c r="SL8" s="20">
        <v>1</v>
      </c>
      <c r="SO8" s="20">
        <v>4</v>
      </c>
      <c r="SP8" s="20" t="s">
        <v>19</v>
      </c>
      <c r="SQ8" s="20" t="s">
        <v>7</v>
      </c>
      <c r="SR8" s="34">
        <v>0</v>
      </c>
      <c r="SS8" s="20">
        <v>9</v>
      </c>
      <c r="ST8" s="20">
        <v>3</v>
      </c>
      <c r="SU8" s="20" t="s">
        <v>209</v>
      </c>
      <c r="SV8" s="20" t="s">
        <v>203</v>
      </c>
      <c r="SW8" s="20">
        <v>27</v>
      </c>
      <c r="SX8" s="20">
        <v>16</v>
      </c>
      <c r="SY8" s="20">
        <v>8</v>
      </c>
      <c r="SZ8" s="20">
        <v>17</v>
      </c>
      <c r="TA8" s="20" t="s">
        <v>232</v>
      </c>
      <c r="TB8" s="33">
        <v>2</v>
      </c>
      <c r="TC8" s="20">
        <v>14</v>
      </c>
      <c r="TD8" s="20">
        <v>6</v>
      </c>
      <c r="TE8" s="20" t="s">
        <v>207</v>
      </c>
      <c r="TF8" s="20" t="s">
        <v>230</v>
      </c>
      <c r="TG8" s="20">
        <v>25</v>
      </c>
      <c r="TH8" s="20">
        <v>15</v>
      </c>
      <c r="TI8" s="20">
        <v>10</v>
      </c>
      <c r="TJ8" s="20">
        <v>16</v>
      </c>
      <c r="TK8" s="20" t="s">
        <v>231</v>
      </c>
      <c r="TM8" s="20">
        <v>1</v>
      </c>
      <c r="TN8" s="20">
        <v>1</v>
      </c>
      <c r="TO8" s="20">
        <v>1</v>
      </c>
      <c r="TP8" s="20">
        <v>0</v>
      </c>
      <c r="TQ8" s="20">
        <v>0</v>
      </c>
      <c r="TR8" s="20">
        <v>1</v>
      </c>
      <c r="TS8" s="20">
        <v>1</v>
      </c>
      <c r="TT8" s="20">
        <v>1</v>
      </c>
      <c r="TX8" s="20">
        <v>9.52</v>
      </c>
      <c r="TY8" s="20">
        <v>2</v>
      </c>
      <c r="UB8" s="20">
        <v>4</v>
      </c>
      <c r="UC8" s="20" t="s">
        <v>16</v>
      </c>
      <c r="UD8" s="20" t="s">
        <v>34</v>
      </c>
      <c r="UE8" s="34">
        <v>2</v>
      </c>
      <c r="UF8" s="20">
        <v>19</v>
      </c>
      <c r="UG8" s="20">
        <v>9</v>
      </c>
      <c r="UH8" s="20" t="s">
        <v>245</v>
      </c>
      <c r="UI8" s="20" t="s">
        <v>171</v>
      </c>
      <c r="UJ8" s="20">
        <v>23</v>
      </c>
      <c r="UK8" s="20">
        <v>11</v>
      </c>
      <c r="UL8" s="20">
        <v>6</v>
      </c>
      <c r="UM8" s="20">
        <v>8</v>
      </c>
      <c r="UN8" s="20" t="s">
        <v>246</v>
      </c>
      <c r="UO8" s="33">
        <v>3</v>
      </c>
      <c r="UP8" s="20">
        <v>4</v>
      </c>
      <c r="UQ8" s="20">
        <v>4</v>
      </c>
      <c r="UR8" s="20" t="s">
        <v>247</v>
      </c>
      <c r="US8" s="20" t="s">
        <v>151</v>
      </c>
      <c r="UT8" s="20">
        <v>15</v>
      </c>
      <c r="UU8" s="20">
        <v>17</v>
      </c>
      <c r="UV8" s="20">
        <v>11</v>
      </c>
      <c r="UW8" s="20">
        <v>18</v>
      </c>
      <c r="UX8" s="20" t="s">
        <v>248</v>
      </c>
      <c r="UZ8" s="20">
        <v>0</v>
      </c>
      <c r="VA8" s="20">
        <v>1</v>
      </c>
      <c r="VB8" s="20">
        <v>0</v>
      </c>
      <c r="VC8" s="20">
        <v>0</v>
      </c>
      <c r="VD8" s="20">
        <v>1</v>
      </c>
      <c r="VE8" s="20">
        <v>1</v>
      </c>
      <c r="VF8" s="20">
        <v>0</v>
      </c>
      <c r="VG8" s="20">
        <v>0</v>
      </c>
      <c r="VK8" s="20">
        <v>52.63</v>
      </c>
      <c r="VL8" s="20">
        <v>8</v>
      </c>
      <c r="VO8" s="20">
        <v>4</v>
      </c>
      <c r="VP8" s="20" t="s">
        <v>6</v>
      </c>
      <c r="VQ8" s="20" t="s">
        <v>20</v>
      </c>
      <c r="VR8" s="34">
        <v>0</v>
      </c>
      <c r="VS8" s="20">
        <v>12</v>
      </c>
      <c r="VT8" s="20">
        <v>3</v>
      </c>
      <c r="VU8" s="20" t="s">
        <v>131</v>
      </c>
      <c r="VV8" s="20" t="s">
        <v>142</v>
      </c>
      <c r="VW8" s="20">
        <v>24</v>
      </c>
      <c r="VX8" s="20">
        <v>6</v>
      </c>
      <c r="VY8" s="20">
        <v>16</v>
      </c>
      <c r="VZ8" s="20">
        <v>15</v>
      </c>
      <c r="WA8" s="20" t="s">
        <v>229</v>
      </c>
      <c r="WB8" s="33">
        <v>1</v>
      </c>
      <c r="WC8" s="20">
        <v>20</v>
      </c>
      <c r="WD8" s="20">
        <v>10</v>
      </c>
      <c r="WE8" s="20" t="s">
        <v>125</v>
      </c>
      <c r="WF8" s="20" t="s">
        <v>199</v>
      </c>
      <c r="WG8" s="20">
        <v>25</v>
      </c>
      <c r="WH8" s="20">
        <v>6</v>
      </c>
      <c r="WI8" s="20">
        <v>14</v>
      </c>
      <c r="WJ8" s="20">
        <v>12</v>
      </c>
      <c r="WK8" s="20" t="s">
        <v>241</v>
      </c>
      <c r="WM8" s="20">
        <v>1</v>
      </c>
      <c r="WN8" s="20">
        <v>1</v>
      </c>
      <c r="WO8" s="20">
        <v>1</v>
      </c>
      <c r="WP8" s="20">
        <v>1</v>
      </c>
      <c r="WQ8" s="20">
        <v>0</v>
      </c>
      <c r="WR8" s="20">
        <v>0</v>
      </c>
      <c r="WS8" s="20">
        <v>1</v>
      </c>
      <c r="WT8" s="20">
        <v>1</v>
      </c>
      <c r="WX8" s="20">
        <v>25</v>
      </c>
      <c r="WY8" s="20">
        <v>1</v>
      </c>
      <c r="XB8" s="20">
        <v>4</v>
      </c>
      <c r="XC8" s="20" t="s">
        <v>16</v>
      </c>
      <c r="XD8" s="20" t="s">
        <v>34</v>
      </c>
      <c r="XE8" s="33">
        <v>3</v>
      </c>
      <c r="XF8" s="20">
        <v>4</v>
      </c>
      <c r="XG8" s="20">
        <v>4</v>
      </c>
      <c r="XH8" s="20" t="s">
        <v>247</v>
      </c>
      <c r="XI8" s="20" t="s">
        <v>151</v>
      </c>
      <c r="XJ8" s="20">
        <v>15</v>
      </c>
      <c r="XK8" s="20">
        <v>17</v>
      </c>
      <c r="XL8" s="20">
        <v>11</v>
      </c>
      <c r="XM8" s="20">
        <v>18</v>
      </c>
      <c r="XN8" s="20" t="s">
        <v>248</v>
      </c>
      <c r="XO8" s="34">
        <v>2</v>
      </c>
      <c r="XP8" s="20">
        <v>19</v>
      </c>
      <c r="XQ8" s="20">
        <v>9</v>
      </c>
      <c r="XR8" s="20" t="s">
        <v>245</v>
      </c>
      <c r="XS8" s="20" t="s">
        <v>171</v>
      </c>
      <c r="XT8" s="20">
        <v>23</v>
      </c>
      <c r="XU8" s="20">
        <v>11</v>
      </c>
      <c r="XV8" s="20">
        <v>6</v>
      </c>
      <c r="XW8" s="20">
        <v>8</v>
      </c>
      <c r="XX8" s="20" t="s">
        <v>246</v>
      </c>
      <c r="XZ8" s="20">
        <v>0</v>
      </c>
      <c r="YA8" s="20">
        <v>1</v>
      </c>
      <c r="YB8" s="20">
        <v>0</v>
      </c>
      <c r="YC8" s="20">
        <v>0</v>
      </c>
      <c r="YD8" s="20">
        <v>1</v>
      </c>
      <c r="YE8" s="20">
        <v>1</v>
      </c>
      <c r="YF8" s="20">
        <v>0</v>
      </c>
      <c r="YG8" s="20">
        <v>0</v>
      </c>
      <c r="YK8" s="20">
        <v>52.63</v>
      </c>
      <c r="YL8" s="20">
        <v>8</v>
      </c>
      <c r="YO8" s="20">
        <v>4</v>
      </c>
      <c r="YP8" s="20" t="s">
        <v>15</v>
      </c>
      <c r="YQ8" s="20" t="s">
        <v>21</v>
      </c>
      <c r="YR8" s="33">
        <v>1</v>
      </c>
      <c r="YS8" s="20">
        <v>17</v>
      </c>
      <c r="YT8" s="20">
        <v>6</v>
      </c>
      <c r="YU8" s="20" t="s">
        <v>243</v>
      </c>
      <c r="YV8" s="20" t="s">
        <v>151</v>
      </c>
      <c r="YW8" s="20">
        <v>24</v>
      </c>
      <c r="YX8" s="20">
        <v>29</v>
      </c>
      <c r="YY8" s="20">
        <v>7</v>
      </c>
      <c r="YZ8" s="20">
        <v>9</v>
      </c>
      <c r="ZA8" s="20" t="s">
        <v>244</v>
      </c>
      <c r="ZB8" s="34">
        <v>0</v>
      </c>
      <c r="ZC8" s="20">
        <v>8</v>
      </c>
      <c r="ZD8" s="20">
        <v>2</v>
      </c>
      <c r="ZE8" s="20" t="s">
        <v>131</v>
      </c>
      <c r="ZF8" s="20" t="s">
        <v>156</v>
      </c>
      <c r="ZG8" s="20">
        <v>20</v>
      </c>
      <c r="ZH8" s="20">
        <v>26</v>
      </c>
      <c r="ZI8" s="20">
        <v>7</v>
      </c>
      <c r="ZJ8" s="20">
        <v>12</v>
      </c>
      <c r="ZK8" s="20" t="s">
        <v>242</v>
      </c>
      <c r="ZM8" s="20">
        <v>1</v>
      </c>
      <c r="ZN8" s="20">
        <v>1</v>
      </c>
      <c r="ZO8" s="20">
        <v>1</v>
      </c>
      <c r="ZP8" s="20">
        <v>1</v>
      </c>
      <c r="ZQ8" s="20">
        <v>1</v>
      </c>
      <c r="ZR8" s="20">
        <v>1</v>
      </c>
      <c r="ZS8" s="20">
        <v>1</v>
      </c>
      <c r="ZT8" s="20">
        <v>0</v>
      </c>
      <c r="ZX8" s="20">
        <v>10.29</v>
      </c>
      <c r="ZY8" s="20">
        <v>4</v>
      </c>
      <c r="AAB8" s="20">
        <v>4</v>
      </c>
      <c r="AAC8" s="20" t="s">
        <v>22</v>
      </c>
      <c r="AAD8" s="20" t="s">
        <v>12</v>
      </c>
      <c r="AAE8" s="33">
        <v>1</v>
      </c>
      <c r="AAF8" s="20">
        <v>10</v>
      </c>
      <c r="AAG8" s="20">
        <v>4</v>
      </c>
      <c r="AAH8" s="20" t="s">
        <v>133</v>
      </c>
      <c r="AAI8" s="20" t="s">
        <v>219</v>
      </c>
      <c r="AAJ8" s="20">
        <v>13</v>
      </c>
      <c r="AAK8" s="20">
        <v>17</v>
      </c>
      <c r="AAL8" s="20">
        <v>5</v>
      </c>
      <c r="AAM8" s="20">
        <v>9</v>
      </c>
      <c r="AAN8" s="20" t="s">
        <v>236</v>
      </c>
      <c r="AAO8" s="34">
        <v>0</v>
      </c>
      <c r="AAP8" s="20">
        <v>13</v>
      </c>
      <c r="AAQ8" s="20">
        <v>3</v>
      </c>
      <c r="AAR8" s="20" t="s">
        <v>158</v>
      </c>
      <c r="AAS8" s="20" t="s">
        <v>129</v>
      </c>
      <c r="AAT8" s="20">
        <v>12</v>
      </c>
      <c r="AAU8" s="20">
        <v>13</v>
      </c>
      <c r="AAV8" s="20">
        <v>7</v>
      </c>
      <c r="AAW8" s="20">
        <v>10</v>
      </c>
      <c r="AAX8" s="20" t="s">
        <v>235</v>
      </c>
      <c r="AAZ8" s="20">
        <v>1</v>
      </c>
      <c r="ABA8" s="20">
        <v>1</v>
      </c>
      <c r="ABB8" s="20">
        <v>0</v>
      </c>
      <c r="ABC8" s="20">
        <v>1</v>
      </c>
      <c r="ABD8" s="20">
        <v>1</v>
      </c>
      <c r="ABE8" s="20">
        <v>0</v>
      </c>
      <c r="ABF8" s="20">
        <v>1</v>
      </c>
      <c r="ABG8" s="20">
        <v>0</v>
      </c>
      <c r="ABK8" s="20">
        <v>16.920000000000002</v>
      </c>
      <c r="ABL8" s="20">
        <v>1</v>
      </c>
      <c r="ABO8" s="20">
        <v>4</v>
      </c>
      <c r="ABP8" s="20" t="s">
        <v>5</v>
      </c>
      <c r="ABQ8" s="20" t="s">
        <v>23</v>
      </c>
      <c r="ABR8" s="34">
        <v>1</v>
      </c>
      <c r="ABS8" s="20">
        <v>11</v>
      </c>
      <c r="ABT8" s="20">
        <v>4</v>
      </c>
      <c r="ABU8" s="20" t="s">
        <v>249</v>
      </c>
      <c r="ABV8" s="20" t="s">
        <v>123</v>
      </c>
      <c r="ABW8" s="20">
        <v>19</v>
      </c>
      <c r="ABX8" s="20">
        <v>9</v>
      </c>
      <c r="ABY8" s="20">
        <v>7</v>
      </c>
      <c r="ABZ8" s="20">
        <v>11</v>
      </c>
      <c r="ACA8" s="20" t="s">
        <v>250</v>
      </c>
      <c r="ACB8" s="33">
        <v>4</v>
      </c>
      <c r="ACC8" s="20">
        <v>21</v>
      </c>
      <c r="ACD8" s="20">
        <v>8</v>
      </c>
      <c r="ACE8" s="20" t="s">
        <v>251</v>
      </c>
      <c r="ACF8" s="20" t="s">
        <v>252</v>
      </c>
      <c r="ACG8" s="20">
        <v>13</v>
      </c>
      <c r="ACH8" s="20">
        <v>10</v>
      </c>
      <c r="ACI8" s="20">
        <v>12</v>
      </c>
      <c r="ACJ8" s="20">
        <v>7</v>
      </c>
      <c r="ACK8" s="20" t="s">
        <v>253</v>
      </c>
      <c r="ACM8" s="20">
        <v>1</v>
      </c>
      <c r="ACN8" s="20">
        <v>1</v>
      </c>
      <c r="ACO8" s="20">
        <v>1</v>
      </c>
      <c r="ACP8" s="20">
        <v>0</v>
      </c>
      <c r="ACQ8" s="20">
        <v>1</v>
      </c>
      <c r="ACR8" s="20">
        <v>1</v>
      </c>
      <c r="ACS8" s="20">
        <v>1</v>
      </c>
      <c r="ACT8" s="20">
        <v>1</v>
      </c>
      <c r="ACX8" s="20">
        <v>1.73</v>
      </c>
      <c r="ACY8" s="20">
        <v>6</v>
      </c>
    </row>
    <row r="9" spans="1:779" x14ac:dyDescent="0.3">
      <c r="A9" s="27"/>
      <c r="B9" s="20">
        <v>5</v>
      </c>
      <c r="C9" s="20" t="s">
        <v>10</v>
      </c>
      <c r="D9" s="20" t="s">
        <v>5</v>
      </c>
      <c r="E9" s="31">
        <v>1</v>
      </c>
      <c r="F9" s="20">
        <v>18</v>
      </c>
      <c r="G9" s="30">
        <v>7</v>
      </c>
      <c r="H9" s="27">
        <v>0.38890000000000002</v>
      </c>
      <c r="I9" s="28">
        <v>0.8</v>
      </c>
      <c r="J9" s="20">
        <v>16</v>
      </c>
      <c r="K9" s="20">
        <v>15</v>
      </c>
      <c r="L9" s="20">
        <v>13</v>
      </c>
      <c r="M9" s="30">
        <v>16</v>
      </c>
      <c r="N9" s="27">
        <v>0.56100000000000005</v>
      </c>
      <c r="O9" s="29">
        <v>4</v>
      </c>
      <c r="P9" s="20">
        <v>18</v>
      </c>
      <c r="Q9" s="30">
        <v>5</v>
      </c>
      <c r="R9" s="27">
        <v>0.27779999999999999</v>
      </c>
      <c r="S9" s="28">
        <v>0.76</v>
      </c>
      <c r="T9" s="20">
        <v>29</v>
      </c>
      <c r="U9" s="20">
        <v>10</v>
      </c>
      <c r="V9" s="20">
        <v>14</v>
      </c>
      <c r="W9" s="30">
        <v>9</v>
      </c>
      <c r="X9" s="27">
        <v>0.439</v>
      </c>
      <c r="Z9" s="20">
        <v>0</v>
      </c>
      <c r="AA9" s="20">
        <v>0</v>
      </c>
      <c r="AB9" s="20">
        <v>0</v>
      </c>
      <c r="AC9" s="20">
        <v>1</v>
      </c>
      <c r="AD9" s="20">
        <v>0</v>
      </c>
      <c r="AE9" s="20">
        <v>1</v>
      </c>
      <c r="AF9" s="20">
        <v>1</v>
      </c>
      <c r="AG9" s="20">
        <v>0</v>
      </c>
      <c r="AK9" s="20">
        <v>11.11</v>
      </c>
      <c r="AL9" s="20">
        <v>13</v>
      </c>
      <c r="AM9" s="20"/>
      <c r="AN9" s="20"/>
      <c r="AO9" s="20">
        <v>5</v>
      </c>
      <c r="AP9" s="20" t="s">
        <v>9</v>
      </c>
      <c r="AQ9" s="20" t="s">
        <v>6</v>
      </c>
      <c r="AR9" s="33">
        <v>2</v>
      </c>
      <c r="AS9" s="30">
        <v>22</v>
      </c>
      <c r="AT9" s="30">
        <v>6</v>
      </c>
      <c r="AU9" s="27">
        <v>0.2727</v>
      </c>
      <c r="AV9" s="28">
        <v>0.85</v>
      </c>
      <c r="AW9" s="20">
        <v>23</v>
      </c>
      <c r="AX9" s="20">
        <v>16</v>
      </c>
      <c r="AY9" s="30">
        <v>12</v>
      </c>
      <c r="AZ9" s="20">
        <v>6</v>
      </c>
      <c r="BA9" s="27">
        <v>0.55600000000000005</v>
      </c>
      <c r="BB9" s="34">
        <v>1</v>
      </c>
      <c r="BC9" s="20">
        <v>12</v>
      </c>
      <c r="BD9" s="20">
        <v>5</v>
      </c>
      <c r="BE9" s="20" t="s">
        <v>254</v>
      </c>
      <c r="BF9" s="20" t="s">
        <v>134</v>
      </c>
      <c r="BG9" s="20">
        <v>16</v>
      </c>
      <c r="BH9" s="20">
        <v>15</v>
      </c>
      <c r="BI9" s="20">
        <v>3</v>
      </c>
      <c r="BJ9" s="20">
        <v>14</v>
      </c>
      <c r="BK9" s="20" t="s">
        <v>204</v>
      </c>
      <c r="BM9" s="20">
        <v>1</v>
      </c>
      <c r="BN9" s="20">
        <v>0</v>
      </c>
      <c r="BO9" s="20">
        <v>1</v>
      </c>
      <c r="BP9" s="20">
        <v>1</v>
      </c>
      <c r="BQ9" s="20">
        <v>1</v>
      </c>
      <c r="BR9" s="20">
        <v>1</v>
      </c>
      <c r="BS9" s="20">
        <v>1</v>
      </c>
      <c r="BT9" s="20">
        <v>1</v>
      </c>
      <c r="BX9" s="20">
        <v>14.39</v>
      </c>
      <c r="BY9" s="20">
        <v>7</v>
      </c>
      <c r="BZ9" s="20"/>
      <c r="CA9" s="20"/>
      <c r="CB9" s="20">
        <v>5</v>
      </c>
      <c r="CC9" s="20" t="s">
        <v>7</v>
      </c>
      <c r="CD9" s="20" t="s">
        <v>22</v>
      </c>
      <c r="CE9" s="33">
        <v>2</v>
      </c>
      <c r="CF9" s="20">
        <v>12</v>
      </c>
      <c r="CG9" s="20">
        <v>3</v>
      </c>
      <c r="CH9" s="20" t="s">
        <v>131</v>
      </c>
      <c r="CI9" s="20" t="s">
        <v>120</v>
      </c>
      <c r="CJ9" s="20">
        <v>31</v>
      </c>
      <c r="CK9" s="20">
        <v>16</v>
      </c>
      <c r="CL9" s="20">
        <v>12</v>
      </c>
      <c r="CM9" s="20">
        <v>11</v>
      </c>
      <c r="CN9" s="20" t="s">
        <v>215</v>
      </c>
      <c r="CO9" s="34">
        <v>0</v>
      </c>
      <c r="CP9" s="20">
        <v>6</v>
      </c>
      <c r="CQ9" s="20">
        <v>2</v>
      </c>
      <c r="CR9" s="20" t="s">
        <v>209</v>
      </c>
      <c r="CS9" s="20" t="s">
        <v>171</v>
      </c>
      <c r="CT9" s="20">
        <v>25</v>
      </c>
      <c r="CU9" s="20">
        <v>7</v>
      </c>
      <c r="CV9" s="20">
        <v>8</v>
      </c>
      <c r="CW9" s="20">
        <v>21</v>
      </c>
      <c r="CX9" s="20" t="s">
        <v>214</v>
      </c>
      <c r="CZ9" s="20">
        <v>1</v>
      </c>
      <c r="DA9" s="20">
        <v>0</v>
      </c>
      <c r="DB9" s="20">
        <v>1</v>
      </c>
      <c r="DC9" s="20">
        <v>1</v>
      </c>
      <c r="DD9" s="20">
        <v>1</v>
      </c>
      <c r="DE9" s="20">
        <v>1</v>
      </c>
      <c r="DF9" s="20">
        <v>1</v>
      </c>
      <c r="DG9" s="20">
        <v>1</v>
      </c>
      <c r="DK9" s="20">
        <v>8.33</v>
      </c>
      <c r="DL9" s="20">
        <v>6</v>
      </c>
      <c r="DO9" s="20">
        <v>5</v>
      </c>
      <c r="DP9" s="20" t="s">
        <v>12</v>
      </c>
      <c r="DQ9" s="20" t="s">
        <v>8</v>
      </c>
      <c r="DR9" s="33">
        <v>1</v>
      </c>
      <c r="DS9" s="20">
        <v>9</v>
      </c>
      <c r="DT9" s="20">
        <v>3</v>
      </c>
      <c r="DU9" s="20" t="s">
        <v>209</v>
      </c>
      <c r="DV9" s="20" t="s">
        <v>156</v>
      </c>
      <c r="DW9" s="20">
        <v>25</v>
      </c>
      <c r="DX9" s="20">
        <v>24</v>
      </c>
      <c r="DY9" s="20">
        <v>8</v>
      </c>
      <c r="DZ9" s="20">
        <v>7</v>
      </c>
      <c r="EA9" s="20" t="s">
        <v>255</v>
      </c>
      <c r="EB9" s="34">
        <v>0</v>
      </c>
      <c r="EC9" s="20">
        <v>15</v>
      </c>
      <c r="ED9" s="20">
        <v>4</v>
      </c>
      <c r="EE9" s="20" t="s">
        <v>256</v>
      </c>
      <c r="EF9" s="20" t="s">
        <v>161</v>
      </c>
      <c r="EG9" s="20">
        <v>17</v>
      </c>
      <c r="EH9" s="20">
        <v>24</v>
      </c>
      <c r="EI9" s="20">
        <v>4</v>
      </c>
      <c r="EJ9" s="20">
        <v>13</v>
      </c>
      <c r="EK9" s="20" t="s">
        <v>257</v>
      </c>
      <c r="EM9" s="20">
        <v>0</v>
      </c>
      <c r="EN9" s="20">
        <v>1</v>
      </c>
      <c r="EO9" s="20">
        <v>0</v>
      </c>
      <c r="EP9" s="20">
        <v>1</v>
      </c>
      <c r="EQ9" s="20">
        <v>1</v>
      </c>
      <c r="ER9" s="20">
        <v>1</v>
      </c>
      <c r="ES9" s="20">
        <v>1</v>
      </c>
      <c r="ET9" s="20">
        <v>0</v>
      </c>
      <c r="EX9" s="20">
        <v>6.67</v>
      </c>
      <c r="EY9" s="20">
        <v>8</v>
      </c>
      <c r="FB9" s="20">
        <v>5</v>
      </c>
      <c r="FC9" s="20" t="s">
        <v>9</v>
      </c>
      <c r="FD9" s="20" t="s">
        <v>6</v>
      </c>
      <c r="FE9" s="34">
        <v>1</v>
      </c>
      <c r="FF9" s="20">
        <v>12</v>
      </c>
      <c r="FG9" s="20">
        <v>5</v>
      </c>
      <c r="FH9" s="20" t="s">
        <v>254</v>
      </c>
      <c r="FI9" s="20" t="s">
        <v>134</v>
      </c>
      <c r="FJ9" s="20">
        <v>16</v>
      </c>
      <c r="FK9" s="20">
        <v>15</v>
      </c>
      <c r="FL9" s="20">
        <v>3</v>
      </c>
      <c r="FM9" s="20">
        <v>14</v>
      </c>
      <c r="FN9" s="20" t="s">
        <v>204</v>
      </c>
      <c r="FO9" s="33">
        <v>2</v>
      </c>
      <c r="FP9" s="20">
        <v>22</v>
      </c>
      <c r="FQ9" s="20">
        <v>6</v>
      </c>
      <c r="FR9" s="20" t="s">
        <v>128</v>
      </c>
      <c r="FS9" s="20" t="s">
        <v>258</v>
      </c>
      <c r="FT9" s="20">
        <v>23</v>
      </c>
      <c r="FU9" s="20">
        <v>16</v>
      </c>
      <c r="FV9" s="20">
        <v>12</v>
      </c>
      <c r="FW9" s="20">
        <v>6</v>
      </c>
      <c r="FX9" s="20" t="s">
        <v>206</v>
      </c>
      <c r="FZ9" s="20">
        <v>1</v>
      </c>
      <c r="GA9" s="20">
        <v>0</v>
      </c>
      <c r="GB9" s="20">
        <v>1</v>
      </c>
      <c r="GC9" s="20">
        <v>1</v>
      </c>
      <c r="GD9" s="20">
        <v>1</v>
      </c>
      <c r="GE9" s="20">
        <v>1</v>
      </c>
      <c r="GF9" s="20">
        <v>1</v>
      </c>
      <c r="GG9" s="20">
        <v>1</v>
      </c>
      <c r="GK9" s="20">
        <v>14.39</v>
      </c>
      <c r="GL9" s="20">
        <v>7</v>
      </c>
      <c r="GO9" s="20">
        <v>5</v>
      </c>
      <c r="GP9" s="20" t="s">
        <v>10</v>
      </c>
      <c r="GQ9" s="20" t="s">
        <v>5</v>
      </c>
      <c r="GR9" s="33">
        <v>4</v>
      </c>
      <c r="GS9" s="20">
        <v>18</v>
      </c>
      <c r="GT9" s="20">
        <v>5</v>
      </c>
      <c r="GU9" s="20" t="s">
        <v>259</v>
      </c>
      <c r="GV9" s="20" t="s">
        <v>154</v>
      </c>
      <c r="GW9" s="20">
        <v>29</v>
      </c>
      <c r="GX9" s="20">
        <v>10</v>
      </c>
      <c r="GY9" s="20">
        <v>14</v>
      </c>
      <c r="GZ9" s="20">
        <v>9</v>
      </c>
      <c r="HA9" s="20" t="s">
        <v>260</v>
      </c>
      <c r="HB9" s="34">
        <v>1</v>
      </c>
      <c r="HC9" s="20">
        <v>18</v>
      </c>
      <c r="HD9" s="20">
        <v>7</v>
      </c>
      <c r="HE9" s="20" t="s">
        <v>261</v>
      </c>
      <c r="HF9" s="20" t="s">
        <v>144</v>
      </c>
      <c r="HG9" s="20">
        <v>16</v>
      </c>
      <c r="HH9" s="20">
        <v>15</v>
      </c>
      <c r="HI9" s="20">
        <v>13</v>
      </c>
      <c r="HJ9" s="20">
        <v>16</v>
      </c>
      <c r="HK9" s="20" t="s">
        <v>262</v>
      </c>
      <c r="HM9" s="20">
        <v>0</v>
      </c>
      <c r="HN9" s="20">
        <v>0</v>
      </c>
      <c r="HO9" s="20">
        <v>0</v>
      </c>
      <c r="HP9" s="20">
        <v>1</v>
      </c>
      <c r="HQ9" s="20">
        <v>0</v>
      </c>
      <c r="HR9" s="20">
        <v>1</v>
      </c>
      <c r="HS9" s="20">
        <v>1</v>
      </c>
      <c r="HT9" s="20">
        <v>0</v>
      </c>
      <c r="HX9" s="20">
        <v>11.11</v>
      </c>
      <c r="HY9" s="20">
        <v>13</v>
      </c>
      <c r="IB9" s="20">
        <v>5</v>
      </c>
      <c r="IC9" s="20" t="s">
        <v>15</v>
      </c>
      <c r="ID9" s="20" t="s">
        <v>11</v>
      </c>
      <c r="IE9" s="34">
        <v>0</v>
      </c>
      <c r="IF9" s="20">
        <v>17</v>
      </c>
      <c r="IG9" s="20">
        <v>3</v>
      </c>
      <c r="IH9" s="20" t="s">
        <v>221</v>
      </c>
      <c r="II9" s="20" t="s">
        <v>123</v>
      </c>
      <c r="IJ9" s="20">
        <v>18</v>
      </c>
      <c r="IK9" s="20">
        <v>33</v>
      </c>
      <c r="IL9" s="20">
        <v>7</v>
      </c>
      <c r="IM9" s="20">
        <v>17</v>
      </c>
      <c r="IN9" s="20" t="s">
        <v>155</v>
      </c>
      <c r="IO9" s="33">
        <v>2</v>
      </c>
      <c r="IP9" s="20">
        <v>12</v>
      </c>
      <c r="IQ9" s="20">
        <v>4</v>
      </c>
      <c r="IR9" s="20" t="s">
        <v>209</v>
      </c>
      <c r="IS9" s="20" t="s">
        <v>151</v>
      </c>
      <c r="IT9" s="20">
        <v>24</v>
      </c>
      <c r="IU9" s="20">
        <v>16</v>
      </c>
      <c r="IV9" s="20">
        <v>7</v>
      </c>
      <c r="IW9" s="20">
        <v>11</v>
      </c>
      <c r="IX9" s="20" t="s">
        <v>152</v>
      </c>
      <c r="IZ9" s="20">
        <v>1</v>
      </c>
      <c r="JA9" s="20">
        <v>1</v>
      </c>
      <c r="JB9" s="20">
        <v>0</v>
      </c>
      <c r="JC9" s="20">
        <v>1</v>
      </c>
      <c r="JD9" s="20">
        <v>0</v>
      </c>
      <c r="JE9" s="20">
        <v>0</v>
      </c>
      <c r="JF9" s="20">
        <v>1</v>
      </c>
      <c r="JG9" s="20">
        <v>0</v>
      </c>
      <c r="JK9" s="20">
        <v>15.69</v>
      </c>
      <c r="JL9" s="20">
        <v>6</v>
      </c>
      <c r="JO9" s="20">
        <v>5</v>
      </c>
      <c r="JP9" s="20" t="s">
        <v>12</v>
      </c>
      <c r="JQ9" s="20" t="s">
        <v>8</v>
      </c>
      <c r="JR9" s="34">
        <v>0</v>
      </c>
      <c r="JS9" s="20">
        <v>15</v>
      </c>
      <c r="JT9" s="20">
        <v>4</v>
      </c>
      <c r="JU9" s="20" t="s">
        <v>256</v>
      </c>
      <c r="JV9" s="20" t="s">
        <v>161</v>
      </c>
      <c r="JW9" s="20">
        <v>17</v>
      </c>
      <c r="JX9" s="20">
        <v>24</v>
      </c>
      <c r="JY9" s="20">
        <v>4</v>
      </c>
      <c r="JZ9" s="20">
        <v>13</v>
      </c>
      <c r="KA9" s="20" t="s">
        <v>257</v>
      </c>
      <c r="KB9" s="33">
        <v>1</v>
      </c>
      <c r="KC9" s="20">
        <v>9</v>
      </c>
      <c r="KD9" s="20">
        <v>3</v>
      </c>
      <c r="KE9" s="20" t="s">
        <v>209</v>
      </c>
      <c r="KF9" s="20" t="s">
        <v>156</v>
      </c>
      <c r="KG9" s="20">
        <v>25</v>
      </c>
      <c r="KH9" s="20">
        <v>24</v>
      </c>
      <c r="KI9" s="20">
        <v>8</v>
      </c>
      <c r="KJ9" s="20">
        <v>7</v>
      </c>
      <c r="KK9" s="20" t="s">
        <v>255</v>
      </c>
      <c r="KM9" s="20">
        <v>0</v>
      </c>
      <c r="KN9" s="20">
        <v>1</v>
      </c>
      <c r="KO9" s="20">
        <v>0</v>
      </c>
      <c r="KP9" s="20">
        <v>1</v>
      </c>
      <c r="KQ9" s="20">
        <v>1</v>
      </c>
      <c r="KR9" s="20">
        <v>1</v>
      </c>
      <c r="KS9" s="20">
        <v>1</v>
      </c>
      <c r="KT9" s="20">
        <v>0</v>
      </c>
      <c r="KX9" s="20">
        <v>6.67</v>
      </c>
      <c r="KY9" s="20">
        <v>8</v>
      </c>
      <c r="LB9" s="20">
        <v>5</v>
      </c>
      <c r="LC9" s="20" t="s">
        <v>20</v>
      </c>
      <c r="LD9" s="20" t="s">
        <v>13</v>
      </c>
      <c r="LE9" s="33">
        <v>3</v>
      </c>
      <c r="LF9" s="20">
        <v>8</v>
      </c>
      <c r="LG9" s="20">
        <v>5</v>
      </c>
      <c r="LH9" s="20" t="s">
        <v>169</v>
      </c>
      <c r="LI9" s="20" t="s">
        <v>219</v>
      </c>
      <c r="LJ9" s="20">
        <v>22</v>
      </c>
      <c r="LK9" s="20">
        <v>30</v>
      </c>
      <c r="LL9" s="20">
        <v>7</v>
      </c>
      <c r="LM9" s="20">
        <v>8</v>
      </c>
      <c r="LN9" s="20" t="s">
        <v>263</v>
      </c>
      <c r="LO9" s="34">
        <v>0</v>
      </c>
      <c r="LP9" s="20">
        <v>11</v>
      </c>
      <c r="LQ9" s="20">
        <v>1</v>
      </c>
      <c r="LR9" s="20" t="s">
        <v>264</v>
      </c>
      <c r="LS9" s="20" t="s">
        <v>203</v>
      </c>
      <c r="LT9" s="20">
        <v>22</v>
      </c>
      <c r="LU9" s="20">
        <v>27</v>
      </c>
      <c r="LV9" s="20">
        <v>14</v>
      </c>
      <c r="LW9" s="20">
        <v>9</v>
      </c>
      <c r="LX9" s="20" t="s">
        <v>265</v>
      </c>
      <c r="LZ9" s="20">
        <v>1</v>
      </c>
      <c r="MA9" s="20">
        <v>1</v>
      </c>
      <c r="MB9" s="20">
        <v>0</v>
      </c>
      <c r="MC9" s="20">
        <v>1</v>
      </c>
      <c r="MD9" s="20">
        <v>1</v>
      </c>
      <c r="ME9" s="20">
        <v>0</v>
      </c>
      <c r="MF9" s="20">
        <v>1</v>
      </c>
      <c r="MG9" s="20">
        <v>0</v>
      </c>
      <c r="MK9" s="20">
        <v>53.41</v>
      </c>
      <c r="ML9" s="20">
        <v>0</v>
      </c>
      <c r="MO9" s="20">
        <v>5</v>
      </c>
      <c r="MP9" s="20" t="s">
        <v>14</v>
      </c>
      <c r="MQ9" s="20" t="s">
        <v>16</v>
      </c>
      <c r="MR9" s="34">
        <v>1</v>
      </c>
      <c r="MS9" s="20">
        <v>9</v>
      </c>
      <c r="MT9" s="20">
        <v>2</v>
      </c>
      <c r="MU9" s="20" t="s">
        <v>146</v>
      </c>
      <c r="MV9" s="20" t="s">
        <v>171</v>
      </c>
      <c r="MW9" s="20">
        <v>21</v>
      </c>
      <c r="MX9" s="20">
        <v>16</v>
      </c>
      <c r="MY9" s="20">
        <v>10</v>
      </c>
      <c r="MZ9" s="20">
        <v>11</v>
      </c>
      <c r="NA9" s="20" t="s">
        <v>266</v>
      </c>
      <c r="NB9" s="33">
        <v>2</v>
      </c>
      <c r="NC9" s="20">
        <v>8</v>
      </c>
      <c r="ND9" s="20">
        <v>3</v>
      </c>
      <c r="NE9" s="20" t="s">
        <v>153</v>
      </c>
      <c r="NF9" s="20" t="s">
        <v>203</v>
      </c>
      <c r="NG9" s="20">
        <v>16</v>
      </c>
      <c r="NH9" s="20">
        <v>18</v>
      </c>
      <c r="NI9" s="20">
        <v>9</v>
      </c>
      <c r="NJ9" s="20">
        <v>10</v>
      </c>
      <c r="NK9" s="20" t="s">
        <v>267</v>
      </c>
      <c r="NM9" s="20">
        <v>1</v>
      </c>
      <c r="NN9" s="20">
        <v>1</v>
      </c>
      <c r="NO9" s="20">
        <v>0</v>
      </c>
      <c r="NP9" s="20">
        <v>0</v>
      </c>
      <c r="NQ9" s="20">
        <v>1</v>
      </c>
      <c r="NR9" s="20">
        <v>0</v>
      </c>
      <c r="NS9" s="20">
        <v>1</v>
      </c>
      <c r="NT9" s="20">
        <v>0</v>
      </c>
      <c r="NX9" s="20">
        <v>15.28</v>
      </c>
      <c r="NY9" s="20">
        <v>5</v>
      </c>
      <c r="OB9" s="20">
        <v>5</v>
      </c>
      <c r="OC9" s="20" t="s">
        <v>15</v>
      </c>
      <c r="OD9" s="20" t="s">
        <v>11</v>
      </c>
      <c r="OE9" s="33">
        <v>2</v>
      </c>
      <c r="OF9" s="20">
        <v>12</v>
      </c>
      <c r="OG9" s="20">
        <v>4</v>
      </c>
      <c r="OH9" s="20" t="s">
        <v>209</v>
      </c>
      <c r="OI9" s="20" t="s">
        <v>151</v>
      </c>
      <c r="OJ9" s="20">
        <v>24</v>
      </c>
      <c r="OK9" s="20">
        <v>16</v>
      </c>
      <c r="OL9" s="20">
        <v>7</v>
      </c>
      <c r="OM9" s="20">
        <v>11</v>
      </c>
      <c r="ON9" s="20" t="s">
        <v>152</v>
      </c>
      <c r="OO9" s="34">
        <v>0</v>
      </c>
      <c r="OP9" s="20">
        <v>17</v>
      </c>
      <c r="OQ9" s="20">
        <v>3</v>
      </c>
      <c r="OR9" s="20" t="s">
        <v>221</v>
      </c>
      <c r="OS9" s="20" t="s">
        <v>123</v>
      </c>
      <c r="OT9" s="20">
        <v>18</v>
      </c>
      <c r="OU9" s="20">
        <v>33</v>
      </c>
      <c r="OV9" s="20">
        <v>7</v>
      </c>
      <c r="OW9" s="20">
        <v>17</v>
      </c>
      <c r="OX9" s="20" t="s">
        <v>155</v>
      </c>
      <c r="OZ9" s="20">
        <v>1</v>
      </c>
      <c r="PA9" s="20">
        <v>1</v>
      </c>
      <c r="PB9" s="20">
        <v>0</v>
      </c>
      <c r="PC9" s="20">
        <v>1</v>
      </c>
      <c r="PD9" s="20">
        <v>0</v>
      </c>
      <c r="PE9" s="20">
        <v>0</v>
      </c>
      <c r="PF9" s="20">
        <v>1</v>
      </c>
      <c r="PG9" s="20">
        <v>0</v>
      </c>
      <c r="PK9" s="20">
        <v>15.69</v>
      </c>
      <c r="PL9" s="20">
        <v>6</v>
      </c>
      <c r="PO9" s="20">
        <v>5</v>
      </c>
      <c r="PP9" s="20" t="s">
        <v>18</v>
      </c>
      <c r="PQ9" s="20" t="s">
        <v>17</v>
      </c>
      <c r="PR9" s="34">
        <v>0</v>
      </c>
      <c r="PS9" s="20">
        <v>10</v>
      </c>
      <c r="PT9" s="20">
        <v>4</v>
      </c>
      <c r="PU9" s="20" t="s">
        <v>133</v>
      </c>
      <c r="PV9" s="20" t="s">
        <v>171</v>
      </c>
      <c r="PW9" s="20">
        <v>29</v>
      </c>
      <c r="PX9" s="20">
        <v>16</v>
      </c>
      <c r="PY9" s="20">
        <v>5</v>
      </c>
      <c r="PZ9" s="20">
        <v>15</v>
      </c>
      <c r="QA9" s="20" t="s">
        <v>268</v>
      </c>
      <c r="QB9" s="33">
        <v>1</v>
      </c>
      <c r="QC9" s="20">
        <v>17</v>
      </c>
      <c r="QD9" s="20">
        <v>5</v>
      </c>
      <c r="QE9" s="20" t="s">
        <v>269</v>
      </c>
      <c r="QF9" s="20" t="s">
        <v>161</v>
      </c>
      <c r="QG9" s="20">
        <v>28</v>
      </c>
      <c r="QH9" s="20">
        <v>10</v>
      </c>
      <c r="QI9" s="20">
        <v>15</v>
      </c>
      <c r="QJ9" s="20">
        <v>20</v>
      </c>
      <c r="QK9" s="20" t="s">
        <v>270</v>
      </c>
      <c r="QM9" s="20">
        <v>1</v>
      </c>
      <c r="QN9" s="20">
        <v>0</v>
      </c>
      <c r="QO9" s="20">
        <v>0</v>
      </c>
      <c r="QP9" s="20">
        <v>0</v>
      </c>
      <c r="QQ9" s="20">
        <v>0</v>
      </c>
      <c r="QR9" s="20">
        <v>1</v>
      </c>
      <c r="QS9" s="20">
        <v>0</v>
      </c>
      <c r="QT9" s="20">
        <v>0</v>
      </c>
      <c r="QX9" s="20">
        <v>10.59</v>
      </c>
      <c r="QY9" s="20">
        <v>1</v>
      </c>
      <c r="RB9" s="20">
        <v>5</v>
      </c>
      <c r="RC9" s="20" t="s">
        <v>18</v>
      </c>
      <c r="RD9" s="20" t="s">
        <v>17</v>
      </c>
      <c r="RE9" s="33">
        <v>1</v>
      </c>
      <c r="RF9" s="20">
        <v>17</v>
      </c>
      <c r="RG9" s="20">
        <v>5</v>
      </c>
      <c r="RH9" s="20" t="s">
        <v>269</v>
      </c>
      <c r="RI9" s="20" t="s">
        <v>161</v>
      </c>
      <c r="RJ9" s="20">
        <v>28</v>
      </c>
      <c r="RK9" s="20">
        <v>10</v>
      </c>
      <c r="RL9" s="20">
        <v>15</v>
      </c>
      <c r="RM9" s="20">
        <v>20</v>
      </c>
      <c r="RN9" s="20" t="s">
        <v>270</v>
      </c>
      <c r="RO9" s="34">
        <v>0</v>
      </c>
      <c r="RP9" s="20">
        <v>10</v>
      </c>
      <c r="RQ9" s="20">
        <v>4</v>
      </c>
      <c r="RR9" s="20" t="s">
        <v>133</v>
      </c>
      <c r="RS9" s="20" t="s">
        <v>171</v>
      </c>
      <c r="RT9" s="20">
        <v>29</v>
      </c>
      <c r="RU9" s="20">
        <v>16</v>
      </c>
      <c r="RV9" s="20">
        <v>5</v>
      </c>
      <c r="RW9" s="20">
        <v>15</v>
      </c>
      <c r="RX9" s="20" t="s">
        <v>268</v>
      </c>
      <c r="RZ9" s="20">
        <v>1</v>
      </c>
      <c r="SA9" s="20">
        <v>0</v>
      </c>
      <c r="SB9" s="20">
        <v>0</v>
      </c>
      <c r="SC9" s="20">
        <v>0</v>
      </c>
      <c r="SD9" s="20">
        <v>0</v>
      </c>
      <c r="SE9" s="20">
        <v>1</v>
      </c>
      <c r="SF9" s="20">
        <v>0</v>
      </c>
      <c r="SG9" s="20">
        <v>0</v>
      </c>
      <c r="SK9" s="20">
        <v>10.59</v>
      </c>
      <c r="SL9" s="20">
        <v>1</v>
      </c>
      <c r="SO9" s="20">
        <v>5</v>
      </c>
      <c r="SP9" s="20" t="s">
        <v>23</v>
      </c>
      <c r="SQ9" s="20" t="s">
        <v>19</v>
      </c>
      <c r="SR9" s="32">
        <v>2</v>
      </c>
      <c r="SS9" s="20">
        <v>10</v>
      </c>
      <c r="ST9" s="20">
        <v>4</v>
      </c>
      <c r="SU9" s="20" t="s">
        <v>133</v>
      </c>
      <c r="SV9" s="20" t="s">
        <v>156</v>
      </c>
      <c r="SW9" s="20">
        <v>24</v>
      </c>
      <c r="SX9" s="20">
        <v>23</v>
      </c>
      <c r="SY9" s="20">
        <v>7</v>
      </c>
      <c r="SZ9" s="20">
        <v>10</v>
      </c>
      <c r="TA9" s="20" t="s">
        <v>271</v>
      </c>
      <c r="TB9" s="32">
        <v>2</v>
      </c>
      <c r="TC9" s="20">
        <v>12</v>
      </c>
      <c r="TD9" s="20">
        <v>2</v>
      </c>
      <c r="TE9" s="20" t="s">
        <v>272</v>
      </c>
      <c r="TF9" s="20" t="s">
        <v>154</v>
      </c>
      <c r="TG9" s="20">
        <v>15</v>
      </c>
      <c r="TH9" s="20">
        <v>16</v>
      </c>
      <c r="TI9" s="20">
        <v>14</v>
      </c>
      <c r="TJ9" s="20">
        <v>16</v>
      </c>
      <c r="TK9" s="20" t="s">
        <v>273</v>
      </c>
      <c r="TM9" s="32">
        <v>0</v>
      </c>
      <c r="TN9" s="32">
        <v>0</v>
      </c>
      <c r="TO9" s="32">
        <v>1</v>
      </c>
      <c r="TP9" s="32">
        <v>0</v>
      </c>
      <c r="TQ9" s="32">
        <v>0</v>
      </c>
      <c r="TR9" s="32">
        <v>1</v>
      </c>
      <c r="TS9" s="32">
        <v>0</v>
      </c>
      <c r="TT9" s="32">
        <v>1</v>
      </c>
      <c r="TX9" s="32">
        <v>23.33</v>
      </c>
      <c r="TY9" s="32">
        <v>9</v>
      </c>
      <c r="UB9" s="20">
        <v>5</v>
      </c>
      <c r="UC9" s="20" t="s">
        <v>14</v>
      </c>
      <c r="UD9" s="20" t="s">
        <v>16</v>
      </c>
      <c r="UE9" s="33">
        <v>2</v>
      </c>
      <c r="UF9" s="20">
        <v>8</v>
      </c>
      <c r="UG9" s="20">
        <v>3</v>
      </c>
      <c r="UH9" s="20" t="s">
        <v>153</v>
      </c>
      <c r="UI9" s="20" t="s">
        <v>203</v>
      </c>
      <c r="UJ9" s="20">
        <v>16</v>
      </c>
      <c r="UK9" s="20">
        <v>18</v>
      </c>
      <c r="UL9" s="20">
        <v>9</v>
      </c>
      <c r="UM9" s="20">
        <v>10</v>
      </c>
      <c r="UN9" s="20" t="s">
        <v>267</v>
      </c>
      <c r="UO9" s="34">
        <v>1</v>
      </c>
      <c r="UP9" s="20">
        <v>9</v>
      </c>
      <c r="UQ9" s="20">
        <v>2</v>
      </c>
      <c r="UR9" s="20" t="s">
        <v>146</v>
      </c>
      <c r="US9" s="20" t="s">
        <v>171</v>
      </c>
      <c r="UT9" s="20">
        <v>21</v>
      </c>
      <c r="UU9" s="20">
        <v>16</v>
      </c>
      <c r="UV9" s="20">
        <v>10</v>
      </c>
      <c r="UW9" s="20">
        <v>11</v>
      </c>
      <c r="UX9" s="20" t="s">
        <v>266</v>
      </c>
      <c r="UZ9" s="20">
        <v>1</v>
      </c>
      <c r="VA9" s="20">
        <v>1</v>
      </c>
      <c r="VB9" s="20">
        <v>0</v>
      </c>
      <c r="VC9" s="20">
        <v>0</v>
      </c>
      <c r="VD9" s="20">
        <v>1</v>
      </c>
      <c r="VE9" s="20">
        <v>0</v>
      </c>
      <c r="VF9" s="20">
        <v>1</v>
      </c>
      <c r="VG9" s="20">
        <v>0</v>
      </c>
      <c r="VK9" s="20">
        <v>15.28</v>
      </c>
      <c r="VL9" s="20">
        <v>5</v>
      </c>
      <c r="VO9" s="20">
        <v>5</v>
      </c>
      <c r="VP9" s="20" t="s">
        <v>20</v>
      </c>
      <c r="VQ9" s="20" t="s">
        <v>13</v>
      </c>
      <c r="VR9" s="34">
        <v>0</v>
      </c>
      <c r="VS9" s="20">
        <v>11</v>
      </c>
      <c r="VT9" s="20">
        <v>1</v>
      </c>
      <c r="VU9" s="20" t="s">
        <v>264</v>
      </c>
      <c r="VV9" s="20" t="s">
        <v>203</v>
      </c>
      <c r="VW9" s="20">
        <v>22</v>
      </c>
      <c r="VX9" s="20">
        <v>27</v>
      </c>
      <c r="VY9" s="20">
        <v>14</v>
      </c>
      <c r="VZ9" s="20">
        <v>9</v>
      </c>
      <c r="WA9" s="20" t="s">
        <v>265</v>
      </c>
      <c r="WB9" s="33">
        <v>3</v>
      </c>
      <c r="WC9" s="20">
        <v>8</v>
      </c>
      <c r="WD9" s="20">
        <v>5</v>
      </c>
      <c r="WE9" s="20" t="s">
        <v>169</v>
      </c>
      <c r="WF9" s="20" t="s">
        <v>219</v>
      </c>
      <c r="WG9" s="20">
        <v>22</v>
      </c>
      <c r="WH9" s="20">
        <v>30</v>
      </c>
      <c r="WI9" s="20">
        <v>7</v>
      </c>
      <c r="WJ9" s="20">
        <v>8</v>
      </c>
      <c r="WK9" s="20" t="s">
        <v>263</v>
      </c>
      <c r="WM9" s="20">
        <v>1</v>
      </c>
      <c r="WN9" s="20">
        <v>1</v>
      </c>
      <c r="WO9" s="20">
        <v>0</v>
      </c>
      <c r="WP9" s="20">
        <v>1</v>
      </c>
      <c r="WQ9" s="20">
        <v>1</v>
      </c>
      <c r="WR9" s="20">
        <v>0</v>
      </c>
      <c r="WS9" s="20">
        <v>1</v>
      </c>
      <c r="WT9" s="20">
        <v>0</v>
      </c>
      <c r="WX9" s="20">
        <v>53.41</v>
      </c>
      <c r="WY9" s="20">
        <v>0</v>
      </c>
      <c r="XB9" s="20">
        <v>5</v>
      </c>
      <c r="XC9" s="20" t="s">
        <v>21</v>
      </c>
      <c r="XD9" s="20" t="s">
        <v>34</v>
      </c>
      <c r="XE9" s="34">
        <v>1</v>
      </c>
      <c r="XF9" s="20">
        <v>6</v>
      </c>
      <c r="XG9" s="20">
        <v>2</v>
      </c>
      <c r="XH9" s="20" t="s">
        <v>209</v>
      </c>
      <c r="XI9" s="20" t="s">
        <v>156</v>
      </c>
      <c r="XJ9" s="20">
        <v>25</v>
      </c>
      <c r="XK9" s="20">
        <v>18</v>
      </c>
      <c r="XL9" s="20">
        <v>6</v>
      </c>
      <c r="XM9" s="20">
        <v>4</v>
      </c>
      <c r="XN9" s="20" t="s">
        <v>274</v>
      </c>
      <c r="XO9" s="33">
        <v>2</v>
      </c>
      <c r="XP9" s="20">
        <v>18</v>
      </c>
      <c r="XQ9" s="20">
        <v>6</v>
      </c>
      <c r="XR9" s="20" t="s">
        <v>209</v>
      </c>
      <c r="XS9" s="20" t="s">
        <v>168</v>
      </c>
      <c r="XT9" s="20">
        <v>16</v>
      </c>
      <c r="XU9" s="20">
        <v>21</v>
      </c>
      <c r="XV9" s="20">
        <v>10</v>
      </c>
      <c r="XW9" s="20">
        <v>11</v>
      </c>
      <c r="XX9" s="20" t="s">
        <v>275</v>
      </c>
      <c r="XZ9" s="20">
        <v>1</v>
      </c>
      <c r="YA9" s="20">
        <v>0</v>
      </c>
      <c r="YB9" s="20">
        <v>1</v>
      </c>
      <c r="YC9" s="20">
        <v>0</v>
      </c>
      <c r="YD9" s="20">
        <v>1</v>
      </c>
      <c r="YE9" s="20">
        <v>1</v>
      </c>
      <c r="YF9" s="20">
        <v>0</v>
      </c>
      <c r="YG9" s="20">
        <v>1</v>
      </c>
      <c r="YK9" s="20">
        <v>0</v>
      </c>
      <c r="YL9" s="20">
        <v>9</v>
      </c>
      <c r="YO9" s="20">
        <v>5</v>
      </c>
      <c r="YP9" s="20" t="s">
        <v>21</v>
      </c>
      <c r="YQ9" s="20" t="s">
        <v>34</v>
      </c>
      <c r="YR9" s="33">
        <v>2</v>
      </c>
      <c r="YS9" s="20">
        <v>18</v>
      </c>
      <c r="YT9" s="20">
        <v>6</v>
      </c>
      <c r="YU9" s="20" t="s">
        <v>209</v>
      </c>
      <c r="YV9" s="20" t="s">
        <v>168</v>
      </c>
      <c r="YW9" s="20">
        <v>16</v>
      </c>
      <c r="YX9" s="20">
        <v>21</v>
      </c>
      <c r="YY9" s="20">
        <v>10</v>
      </c>
      <c r="YZ9" s="20">
        <v>11</v>
      </c>
      <c r="ZA9" s="20" t="s">
        <v>275</v>
      </c>
      <c r="ZB9" s="34">
        <v>1</v>
      </c>
      <c r="ZC9" s="20">
        <v>6</v>
      </c>
      <c r="ZD9" s="20">
        <v>2</v>
      </c>
      <c r="ZE9" s="20" t="s">
        <v>209</v>
      </c>
      <c r="ZF9" s="20" t="s">
        <v>156</v>
      </c>
      <c r="ZG9" s="20">
        <v>25</v>
      </c>
      <c r="ZH9" s="20">
        <v>18</v>
      </c>
      <c r="ZI9" s="20">
        <v>6</v>
      </c>
      <c r="ZJ9" s="20">
        <v>4</v>
      </c>
      <c r="ZK9" s="20" t="s">
        <v>274</v>
      </c>
      <c r="ZM9" s="20">
        <v>1</v>
      </c>
      <c r="ZN9" s="20">
        <v>0</v>
      </c>
      <c r="ZO9" s="20">
        <v>1</v>
      </c>
      <c r="ZP9" s="20">
        <v>0</v>
      </c>
      <c r="ZQ9" s="20">
        <v>1</v>
      </c>
      <c r="ZR9" s="20">
        <v>1</v>
      </c>
      <c r="ZS9" s="20">
        <v>0</v>
      </c>
      <c r="ZT9" s="20">
        <v>1</v>
      </c>
      <c r="ZX9" s="20">
        <v>0</v>
      </c>
      <c r="ZY9" s="20">
        <v>9</v>
      </c>
      <c r="AAB9" s="20">
        <v>5</v>
      </c>
      <c r="AAC9" s="20" t="s">
        <v>7</v>
      </c>
      <c r="AAD9" s="20" t="s">
        <v>22</v>
      </c>
      <c r="AAE9" s="34">
        <v>0</v>
      </c>
      <c r="AAF9" s="20">
        <v>6</v>
      </c>
      <c r="AAG9" s="20">
        <v>2</v>
      </c>
      <c r="AAH9" s="20" t="s">
        <v>209</v>
      </c>
      <c r="AAI9" s="20" t="s">
        <v>171</v>
      </c>
      <c r="AAJ9" s="20">
        <v>25</v>
      </c>
      <c r="AAK9" s="20">
        <v>7</v>
      </c>
      <c r="AAL9" s="20">
        <v>8</v>
      </c>
      <c r="AAM9" s="20">
        <v>21</v>
      </c>
      <c r="AAN9" s="20" t="s">
        <v>214</v>
      </c>
      <c r="AAO9" s="33">
        <v>2</v>
      </c>
      <c r="AAP9" s="20">
        <v>12</v>
      </c>
      <c r="AAQ9" s="20">
        <v>3</v>
      </c>
      <c r="AAR9" s="20" t="s">
        <v>131</v>
      </c>
      <c r="AAS9" s="20" t="s">
        <v>120</v>
      </c>
      <c r="AAT9" s="20">
        <v>31</v>
      </c>
      <c r="AAU9" s="20">
        <v>16</v>
      </c>
      <c r="AAV9" s="20">
        <v>12</v>
      </c>
      <c r="AAW9" s="20">
        <v>11</v>
      </c>
      <c r="AAX9" s="20" t="s">
        <v>215</v>
      </c>
      <c r="AAZ9" s="20">
        <v>1</v>
      </c>
      <c r="ABA9" s="20">
        <v>0</v>
      </c>
      <c r="ABB9" s="20">
        <v>1</v>
      </c>
      <c r="ABC9" s="20">
        <v>1</v>
      </c>
      <c r="ABD9" s="20">
        <v>1</v>
      </c>
      <c r="ABE9" s="20">
        <v>1</v>
      </c>
      <c r="ABF9" s="20">
        <v>1</v>
      </c>
      <c r="ABG9" s="20">
        <v>1</v>
      </c>
      <c r="ABK9" s="20">
        <v>8.33</v>
      </c>
      <c r="ABL9" s="20">
        <v>6</v>
      </c>
      <c r="ABO9" s="20">
        <v>5</v>
      </c>
      <c r="ABP9" s="20" t="s">
        <v>23</v>
      </c>
      <c r="ABQ9" s="20" t="s">
        <v>19</v>
      </c>
      <c r="ABR9" s="32">
        <v>2</v>
      </c>
      <c r="ABS9" s="20">
        <v>12</v>
      </c>
      <c r="ABT9" s="20">
        <v>2</v>
      </c>
      <c r="ABU9" s="20" t="s">
        <v>272</v>
      </c>
      <c r="ABV9" s="20" t="s">
        <v>154</v>
      </c>
      <c r="ABW9" s="20">
        <v>15</v>
      </c>
      <c r="ABX9" s="20">
        <v>16</v>
      </c>
      <c r="ABY9" s="20">
        <v>14</v>
      </c>
      <c r="ABZ9" s="20">
        <v>16</v>
      </c>
      <c r="ACA9" s="20" t="s">
        <v>273</v>
      </c>
      <c r="ACB9" s="32">
        <v>2</v>
      </c>
      <c r="ACC9" s="20">
        <v>10</v>
      </c>
      <c r="ACD9" s="20">
        <v>4</v>
      </c>
      <c r="ACE9" s="20" t="s">
        <v>133</v>
      </c>
      <c r="ACF9" s="20" t="s">
        <v>156</v>
      </c>
      <c r="ACG9" s="20">
        <v>24</v>
      </c>
      <c r="ACH9" s="20">
        <v>23</v>
      </c>
      <c r="ACI9" s="20">
        <v>7</v>
      </c>
      <c r="ACJ9" s="20">
        <v>10</v>
      </c>
      <c r="ACK9" s="20" t="s">
        <v>271</v>
      </c>
      <c r="ACM9" s="32">
        <v>0</v>
      </c>
      <c r="ACN9" s="32">
        <v>0</v>
      </c>
      <c r="ACO9" s="32">
        <v>1</v>
      </c>
      <c r="ACP9" s="32">
        <v>0</v>
      </c>
      <c r="ACQ9" s="32">
        <v>0</v>
      </c>
      <c r="ACR9" s="32">
        <v>1</v>
      </c>
      <c r="ACS9" s="32">
        <v>0</v>
      </c>
      <c r="ACT9" s="32">
        <v>1</v>
      </c>
      <c r="ACX9" s="32">
        <v>23.33</v>
      </c>
      <c r="ACY9" s="32">
        <v>9</v>
      </c>
    </row>
    <row r="10" spans="1:779" x14ac:dyDescent="0.3">
      <c r="A10" s="27"/>
      <c r="B10" s="20">
        <v>6</v>
      </c>
      <c r="C10" s="20" t="s">
        <v>5</v>
      </c>
      <c r="D10" s="20" t="s">
        <v>15</v>
      </c>
      <c r="E10" s="29">
        <v>2</v>
      </c>
      <c r="F10" s="20">
        <v>18</v>
      </c>
      <c r="G10" s="30">
        <v>6</v>
      </c>
      <c r="H10" s="27">
        <v>0.33329999999999999</v>
      </c>
      <c r="I10" s="28">
        <v>0.88</v>
      </c>
      <c r="J10" s="20">
        <v>29</v>
      </c>
      <c r="K10" s="20">
        <v>12</v>
      </c>
      <c r="L10" s="20">
        <v>15</v>
      </c>
      <c r="M10" s="30">
        <v>8</v>
      </c>
      <c r="N10" s="27">
        <v>0.67200000000000004</v>
      </c>
      <c r="O10" s="31">
        <v>1</v>
      </c>
      <c r="P10" s="20">
        <v>10</v>
      </c>
      <c r="Q10" s="30">
        <v>6</v>
      </c>
      <c r="R10" s="27">
        <v>0.6</v>
      </c>
      <c r="S10" s="28">
        <v>0.72</v>
      </c>
      <c r="T10" s="20">
        <v>20</v>
      </c>
      <c r="U10" s="20">
        <v>7</v>
      </c>
      <c r="V10" s="20">
        <v>4</v>
      </c>
      <c r="W10" s="30">
        <v>15</v>
      </c>
      <c r="X10" s="27">
        <v>0.32800000000000001</v>
      </c>
      <c r="Z10" s="20">
        <v>0</v>
      </c>
      <c r="AA10" s="20">
        <v>0</v>
      </c>
      <c r="AB10" s="20">
        <v>1</v>
      </c>
      <c r="AC10" s="20">
        <v>1</v>
      </c>
      <c r="AD10" s="20">
        <v>1</v>
      </c>
      <c r="AE10" s="20">
        <v>1</v>
      </c>
      <c r="AF10" s="20">
        <v>1</v>
      </c>
      <c r="AG10" s="20">
        <v>1</v>
      </c>
      <c r="AK10" s="20">
        <v>26.67</v>
      </c>
      <c r="AL10" s="20">
        <v>9</v>
      </c>
      <c r="AM10" s="20"/>
      <c r="AN10" s="20"/>
      <c r="AO10" s="20">
        <v>6</v>
      </c>
      <c r="AP10" s="20" t="s">
        <v>6</v>
      </c>
      <c r="AQ10" s="20" t="s">
        <v>12</v>
      </c>
      <c r="AR10" s="32">
        <v>0</v>
      </c>
      <c r="AS10" s="30">
        <v>31</v>
      </c>
      <c r="AT10" s="30">
        <v>9</v>
      </c>
      <c r="AU10" s="27">
        <v>0.2903</v>
      </c>
      <c r="AV10" s="28">
        <v>0.92</v>
      </c>
      <c r="AW10" s="20">
        <v>16</v>
      </c>
      <c r="AX10" s="20">
        <v>7</v>
      </c>
      <c r="AY10" s="30">
        <v>10</v>
      </c>
      <c r="AZ10" s="20">
        <v>4</v>
      </c>
      <c r="BA10" s="27">
        <v>0.69299999999999995</v>
      </c>
      <c r="BB10" s="32">
        <v>0</v>
      </c>
      <c r="BC10" s="20">
        <v>12</v>
      </c>
      <c r="BD10" s="20">
        <v>3</v>
      </c>
      <c r="BE10" s="20" t="s">
        <v>131</v>
      </c>
      <c r="BF10" s="20" t="s">
        <v>154</v>
      </c>
      <c r="BG10" s="20">
        <v>16</v>
      </c>
      <c r="BH10" s="20">
        <v>4</v>
      </c>
      <c r="BI10" s="20">
        <v>6</v>
      </c>
      <c r="BJ10" s="20">
        <v>11</v>
      </c>
      <c r="BK10" s="20" t="s">
        <v>276</v>
      </c>
      <c r="BM10" s="32">
        <v>1</v>
      </c>
      <c r="BN10" s="32">
        <v>1</v>
      </c>
      <c r="BO10" s="32">
        <v>1</v>
      </c>
      <c r="BP10" s="32">
        <v>0</v>
      </c>
      <c r="BQ10" s="32">
        <v>1</v>
      </c>
      <c r="BR10" s="32">
        <v>1</v>
      </c>
      <c r="BS10" s="32">
        <v>1</v>
      </c>
      <c r="BT10" s="32">
        <v>1</v>
      </c>
      <c r="BX10" s="32">
        <v>4.03</v>
      </c>
      <c r="BY10" s="32">
        <v>0</v>
      </c>
      <c r="BZ10" s="20"/>
      <c r="CA10" s="20"/>
      <c r="CB10" s="20">
        <v>6</v>
      </c>
      <c r="CC10" s="20" t="s">
        <v>8</v>
      </c>
      <c r="CD10" s="20" t="s">
        <v>7</v>
      </c>
      <c r="CE10" s="34">
        <v>0</v>
      </c>
      <c r="CF10" s="20">
        <v>9</v>
      </c>
      <c r="CG10" s="20">
        <v>4</v>
      </c>
      <c r="CH10" s="20" t="s">
        <v>197</v>
      </c>
      <c r="CI10" s="20" t="s">
        <v>129</v>
      </c>
      <c r="CJ10" s="20">
        <v>26</v>
      </c>
      <c r="CK10" s="20">
        <v>17</v>
      </c>
      <c r="CL10" s="20">
        <v>8</v>
      </c>
      <c r="CM10" s="20">
        <v>10</v>
      </c>
      <c r="CN10" s="20" t="s">
        <v>277</v>
      </c>
      <c r="CO10" s="33">
        <v>1</v>
      </c>
      <c r="CP10" s="20">
        <v>5</v>
      </c>
      <c r="CQ10" s="20">
        <v>2</v>
      </c>
      <c r="CR10" s="20" t="s">
        <v>133</v>
      </c>
      <c r="CS10" s="20" t="s">
        <v>144</v>
      </c>
      <c r="CT10" s="20">
        <v>24</v>
      </c>
      <c r="CU10" s="20">
        <v>15</v>
      </c>
      <c r="CV10" s="20">
        <v>3</v>
      </c>
      <c r="CW10" s="20">
        <v>14</v>
      </c>
      <c r="CX10" s="20" t="s">
        <v>278</v>
      </c>
      <c r="CZ10" s="20">
        <v>0</v>
      </c>
      <c r="DA10" s="20">
        <v>0</v>
      </c>
      <c r="DB10" s="20">
        <v>1</v>
      </c>
      <c r="DC10" s="20">
        <v>0</v>
      </c>
      <c r="DD10" s="20">
        <v>0</v>
      </c>
      <c r="DE10" s="20">
        <v>0</v>
      </c>
      <c r="DF10" s="20">
        <v>0</v>
      </c>
      <c r="DG10" s="20">
        <v>0</v>
      </c>
      <c r="DK10" s="20">
        <v>4.4400000000000004</v>
      </c>
      <c r="DL10" s="20">
        <v>2</v>
      </c>
      <c r="DO10" s="20">
        <v>6</v>
      </c>
      <c r="DP10" s="20" t="s">
        <v>8</v>
      </c>
      <c r="DQ10" s="20" t="s">
        <v>7</v>
      </c>
      <c r="DR10" s="33">
        <v>1</v>
      </c>
      <c r="DS10" s="20">
        <v>5</v>
      </c>
      <c r="DT10" s="20">
        <v>2</v>
      </c>
      <c r="DU10" s="20" t="s">
        <v>133</v>
      </c>
      <c r="DV10" s="20" t="s">
        <v>144</v>
      </c>
      <c r="DW10" s="20">
        <v>24</v>
      </c>
      <c r="DX10" s="20">
        <v>15</v>
      </c>
      <c r="DY10" s="20">
        <v>3</v>
      </c>
      <c r="DZ10" s="20">
        <v>14</v>
      </c>
      <c r="EA10" s="20" t="s">
        <v>278</v>
      </c>
      <c r="EB10" s="34">
        <v>0</v>
      </c>
      <c r="EC10" s="20">
        <v>9</v>
      </c>
      <c r="ED10" s="20">
        <v>4</v>
      </c>
      <c r="EE10" s="20" t="s">
        <v>197</v>
      </c>
      <c r="EF10" s="20" t="s">
        <v>129</v>
      </c>
      <c r="EG10" s="20">
        <v>26</v>
      </c>
      <c r="EH10" s="20">
        <v>17</v>
      </c>
      <c r="EI10" s="20">
        <v>8</v>
      </c>
      <c r="EJ10" s="20">
        <v>10</v>
      </c>
      <c r="EK10" s="20" t="s">
        <v>277</v>
      </c>
      <c r="EM10" s="20">
        <v>0</v>
      </c>
      <c r="EN10" s="20">
        <v>0</v>
      </c>
      <c r="EO10" s="20">
        <v>1</v>
      </c>
      <c r="EP10" s="20">
        <v>0</v>
      </c>
      <c r="EQ10" s="20">
        <v>0</v>
      </c>
      <c r="ER10" s="20">
        <v>0</v>
      </c>
      <c r="ES10" s="20">
        <v>0</v>
      </c>
      <c r="ET10" s="20">
        <v>0</v>
      </c>
      <c r="EX10" s="20">
        <v>4.4400000000000004</v>
      </c>
      <c r="EY10" s="20">
        <v>2</v>
      </c>
      <c r="FB10" s="20">
        <v>6</v>
      </c>
      <c r="FC10" s="20" t="s">
        <v>13</v>
      </c>
      <c r="FD10" s="20" t="s">
        <v>9</v>
      </c>
      <c r="FE10" s="32">
        <v>0</v>
      </c>
      <c r="FF10" s="20">
        <v>10</v>
      </c>
      <c r="FG10" s="20">
        <v>2</v>
      </c>
      <c r="FH10" s="20" t="s">
        <v>141</v>
      </c>
      <c r="FI10" s="20" t="s">
        <v>151</v>
      </c>
      <c r="FJ10" s="20">
        <v>14</v>
      </c>
      <c r="FK10" s="20">
        <v>31</v>
      </c>
      <c r="FL10" s="20">
        <v>3</v>
      </c>
      <c r="FM10" s="20">
        <v>15</v>
      </c>
      <c r="FN10" s="20" t="s">
        <v>279</v>
      </c>
      <c r="FO10" s="32">
        <v>0</v>
      </c>
      <c r="FP10" s="20">
        <v>15</v>
      </c>
      <c r="FQ10" s="20">
        <v>4</v>
      </c>
      <c r="FR10" s="20" t="s">
        <v>256</v>
      </c>
      <c r="FS10" s="20" t="s">
        <v>280</v>
      </c>
      <c r="FT10" s="20">
        <v>27</v>
      </c>
      <c r="FU10" s="20">
        <v>22</v>
      </c>
      <c r="FV10" s="20">
        <v>3</v>
      </c>
      <c r="FW10" s="20">
        <v>7</v>
      </c>
      <c r="FX10" s="20" t="s">
        <v>281</v>
      </c>
      <c r="FZ10" s="32">
        <v>1</v>
      </c>
      <c r="GA10" s="32">
        <v>1</v>
      </c>
      <c r="GB10" s="32">
        <v>0</v>
      </c>
      <c r="GC10" s="32">
        <v>1</v>
      </c>
      <c r="GD10" s="32">
        <v>0</v>
      </c>
      <c r="GE10" s="32">
        <v>0</v>
      </c>
      <c r="GF10" s="32">
        <v>1</v>
      </c>
      <c r="GG10" s="32">
        <v>0</v>
      </c>
      <c r="GK10" s="32">
        <v>6.67</v>
      </c>
      <c r="GL10" s="32">
        <v>13</v>
      </c>
      <c r="GO10" s="20">
        <v>6</v>
      </c>
      <c r="GP10" s="20" t="s">
        <v>19</v>
      </c>
      <c r="GQ10" s="20" t="s">
        <v>10</v>
      </c>
      <c r="GR10" s="32">
        <v>1</v>
      </c>
      <c r="GS10" s="20">
        <v>9</v>
      </c>
      <c r="GT10" s="20">
        <v>2</v>
      </c>
      <c r="GU10" s="20" t="s">
        <v>146</v>
      </c>
      <c r="GV10" s="20" t="s">
        <v>144</v>
      </c>
      <c r="GW10" s="20">
        <v>14</v>
      </c>
      <c r="GX10" s="20">
        <v>24</v>
      </c>
      <c r="GY10" s="20">
        <v>13</v>
      </c>
      <c r="GZ10" s="20">
        <v>20</v>
      </c>
      <c r="HA10" s="20" t="s">
        <v>282</v>
      </c>
      <c r="HB10" s="32">
        <v>1</v>
      </c>
      <c r="HC10" s="20">
        <v>10</v>
      </c>
      <c r="HD10" s="20">
        <v>3</v>
      </c>
      <c r="HE10" s="20" t="s">
        <v>237</v>
      </c>
      <c r="HF10" s="20" t="s">
        <v>283</v>
      </c>
      <c r="HG10" s="20">
        <v>29</v>
      </c>
      <c r="HH10" s="20">
        <v>19</v>
      </c>
      <c r="HI10" s="20">
        <v>7</v>
      </c>
      <c r="HJ10" s="20">
        <v>11</v>
      </c>
      <c r="HK10" s="20" t="s">
        <v>284</v>
      </c>
      <c r="HM10" s="32">
        <v>1</v>
      </c>
      <c r="HN10" s="32">
        <v>1</v>
      </c>
      <c r="HO10" s="32">
        <v>0</v>
      </c>
      <c r="HP10" s="32">
        <v>1</v>
      </c>
      <c r="HQ10" s="32">
        <v>0</v>
      </c>
      <c r="HR10" s="32">
        <v>0</v>
      </c>
      <c r="HS10" s="32">
        <v>1</v>
      </c>
      <c r="HT10" s="32">
        <v>0</v>
      </c>
      <c r="HX10" s="32">
        <v>7.78</v>
      </c>
      <c r="HY10" s="32">
        <v>15</v>
      </c>
      <c r="IB10" s="20">
        <v>6</v>
      </c>
      <c r="IC10" s="20" t="s">
        <v>11</v>
      </c>
      <c r="ID10" s="20" t="s">
        <v>21</v>
      </c>
      <c r="IE10" s="33">
        <v>3</v>
      </c>
      <c r="IF10" s="20">
        <v>16</v>
      </c>
      <c r="IG10" s="20">
        <v>8</v>
      </c>
      <c r="IH10" s="20" t="s">
        <v>125</v>
      </c>
      <c r="II10" s="20" t="s">
        <v>161</v>
      </c>
      <c r="IJ10" s="20">
        <v>14</v>
      </c>
      <c r="IK10" s="20">
        <v>15</v>
      </c>
      <c r="IL10" s="20">
        <v>5</v>
      </c>
      <c r="IM10" s="20">
        <v>15</v>
      </c>
      <c r="IN10" s="20" t="s">
        <v>285</v>
      </c>
      <c r="IO10" s="34">
        <v>2</v>
      </c>
      <c r="IP10" s="20">
        <v>18</v>
      </c>
      <c r="IQ10" s="20">
        <v>5</v>
      </c>
      <c r="IR10" s="20" t="s">
        <v>259</v>
      </c>
      <c r="IS10" s="20" t="s">
        <v>134</v>
      </c>
      <c r="IT10" s="20">
        <v>21</v>
      </c>
      <c r="IU10" s="20">
        <v>13</v>
      </c>
      <c r="IV10" s="20">
        <v>8</v>
      </c>
      <c r="IW10" s="20">
        <v>9</v>
      </c>
      <c r="IX10" s="20" t="s">
        <v>286</v>
      </c>
      <c r="IZ10" s="20">
        <v>1</v>
      </c>
      <c r="JA10" s="20">
        <v>1</v>
      </c>
      <c r="JB10" s="20">
        <v>0</v>
      </c>
      <c r="JC10" s="20">
        <v>0</v>
      </c>
      <c r="JD10" s="20">
        <v>1</v>
      </c>
      <c r="JE10" s="20">
        <v>0</v>
      </c>
      <c r="JF10" s="20">
        <v>0</v>
      </c>
      <c r="JG10" s="20">
        <v>0</v>
      </c>
      <c r="JK10" s="20">
        <v>22.22</v>
      </c>
      <c r="JL10" s="20">
        <v>7</v>
      </c>
      <c r="JO10" s="20">
        <v>6</v>
      </c>
      <c r="JP10" s="20" t="s">
        <v>6</v>
      </c>
      <c r="JQ10" s="20" t="s">
        <v>12</v>
      </c>
      <c r="JR10" s="32">
        <v>0</v>
      </c>
      <c r="JS10" s="20">
        <v>12</v>
      </c>
      <c r="JT10" s="20">
        <v>3</v>
      </c>
      <c r="JU10" s="20" t="s">
        <v>131</v>
      </c>
      <c r="JV10" s="20" t="s">
        <v>154</v>
      </c>
      <c r="JW10" s="20">
        <v>16</v>
      </c>
      <c r="JX10" s="20">
        <v>4</v>
      </c>
      <c r="JY10" s="20">
        <v>6</v>
      </c>
      <c r="JZ10" s="20">
        <v>11</v>
      </c>
      <c r="KA10" s="20" t="s">
        <v>276</v>
      </c>
      <c r="KB10" s="32">
        <v>0</v>
      </c>
      <c r="KC10" s="20">
        <v>31</v>
      </c>
      <c r="KD10" s="20">
        <v>9</v>
      </c>
      <c r="KE10" s="20" t="s">
        <v>287</v>
      </c>
      <c r="KF10" s="20" t="s">
        <v>288</v>
      </c>
      <c r="KG10" s="20">
        <v>16</v>
      </c>
      <c r="KH10" s="20">
        <v>7</v>
      </c>
      <c r="KI10" s="20">
        <v>10</v>
      </c>
      <c r="KJ10" s="20">
        <v>4</v>
      </c>
      <c r="KK10" s="20" t="s">
        <v>289</v>
      </c>
      <c r="KM10" s="32">
        <v>1</v>
      </c>
      <c r="KN10" s="32">
        <v>1</v>
      </c>
      <c r="KO10" s="32">
        <v>1</v>
      </c>
      <c r="KP10" s="32">
        <v>0</v>
      </c>
      <c r="KQ10" s="32">
        <v>1</v>
      </c>
      <c r="KR10" s="32">
        <v>1</v>
      </c>
      <c r="KS10" s="32">
        <v>1</v>
      </c>
      <c r="KT10" s="32">
        <v>1</v>
      </c>
      <c r="KX10" s="32">
        <v>4.03</v>
      </c>
      <c r="KY10" s="32">
        <v>0</v>
      </c>
      <c r="LB10" s="20">
        <v>6</v>
      </c>
      <c r="LC10" s="20" t="s">
        <v>13</v>
      </c>
      <c r="LD10" s="20" t="s">
        <v>9</v>
      </c>
      <c r="LE10" s="32">
        <v>0</v>
      </c>
      <c r="LF10" s="20">
        <v>15</v>
      </c>
      <c r="LG10" s="20">
        <v>4</v>
      </c>
      <c r="LH10" s="20" t="s">
        <v>256</v>
      </c>
      <c r="LI10" s="20" t="s">
        <v>280</v>
      </c>
      <c r="LJ10" s="20">
        <v>27</v>
      </c>
      <c r="LK10" s="20">
        <v>22</v>
      </c>
      <c r="LL10" s="20">
        <v>3</v>
      </c>
      <c r="LM10" s="20">
        <v>7</v>
      </c>
      <c r="LN10" s="20" t="s">
        <v>281</v>
      </c>
      <c r="LO10" s="32">
        <v>0</v>
      </c>
      <c r="LP10" s="20">
        <v>10</v>
      </c>
      <c r="LQ10" s="20">
        <v>2</v>
      </c>
      <c r="LR10" s="20" t="s">
        <v>141</v>
      </c>
      <c r="LS10" s="20" t="s">
        <v>151</v>
      </c>
      <c r="LT10" s="20">
        <v>14</v>
      </c>
      <c r="LU10" s="20">
        <v>31</v>
      </c>
      <c r="LV10" s="20">
        <v>3</v>
      </c>
      <c r="LW10" s="20">
        <v>15</v>
      </c>
      <c r="LX10" s="20" t="s">
        <v>279</v>
      </c>
      <c r="LZ10" s="32">
        <v>1</v>
      </c>
      <c r="MA10" s="32">
        <v>1</v>
      </c>
      <c r="MB10" s="32">
        <v>0</v>
      </c>
      <c r="MC10" s="32">
        <v>1</v>
      </c>
      <c r="MD10" s="32">
        <v>0</v>
      </c>
      <c r="ME10" s="32">
        <v>0</v>
      </c>
      <c r="MF10" s="32">
        <v>1</v>
      </c>
      <c r="MG10" s="32">
        <v>0</v>
      </c>
      <c r="MK10" s="32">
        <v>6.67</v>
      </c>
      <c r="ML10" s="32">
        <v>13</v>
      </c>
      <c r="MO10" s="20">
        <v>6</v>
      </c>
      <c r="MP10" s="20" t="s">
        <v>34</v>
      </c>
      <c r="MQ10" s="20" t="s">
        <v>14</v>
      </c>
      <c r="MR10" s="33">
        <v>2</v>
      </c>
      <c r="MS10" s="20">
        <v>13</v>
      </c>
      <c r="MT10" s="20">
        <v>5</v>
      </c>
      <c r="MU10" s="20" t="s">
        <v>202</v>
      </c>
      <c r="MV10" s="20" t="s">
        <v>168</v>
      </c>
      <c r="MW10" s="20">
        <v>19</v>
      </c>
      <c r="MX10" s="20">
        <v>19</v>
      </c>
      <c r="MY10" s="20">
        <v>7</v>
      </c>
      <c r="MZ10" s="20">
        <v>25</v>
      </c>
      <c r="NA10" s="20" t="s">
        <v>290</v>
      </c>
      <c r="NB10" s="34">
        <v>1</v>
      </c>
      <c r="NC10" s="20">
        <v>19</v>
      </c>
      <c r="ND10" s="20">
        <v>10</v>
      </c>
      <c r="NE10" s="20" t="s">
        <v>291</v>
      </c>
      <c r="NF10" s="20" t="s">
        <v>120</v>
      </c>
      <c r="NG10" s="20">
        <v>34</v>
      </c>
      <c r="NH10" s="20">
        <v>20</v>
      </c>
      <c r="NI10" s="20">
        <v>13</v>
      </c>
      <c r="NJ10" s="20">
        <v>12</v>
      </c>
      <c r="NK10" s="20" t="s">
        <v>292</v>
      </c>
      <c r="NM10" s="20">
        <v>0</v>
      </c>
      <c r="NN10" s="20">
        <v>0</v>
      </c>
      <c r="NO10" s="20">
        <v>0</v>
      </c>
      <c r="NP10" s="20">
        <v>0</v>
      </c>
      <c r="NQ10" s="20">
        <v>0</v>
      </c>
      <c r="NR10" s="20">
        <v>0</v>
      </c>
      <c r="NS10" s="20">
        <v>0</v>
      </c>
      <c r="NT10" s="20">
        <v>0</v>
      </c>
      <c r="NX10" s="20">
        <v>14.17</v>
      </c>
      <c r="NY10" s="20">
        <v>15</v>
      </c>
      <c r="OB10" s="20">
        <v>6</v>
      </c>
      <c r="OC10" s="20" t="s">
        <v>5</v>
      </c>
      <c r="OD10" s="20" t="s">
        <v>15</v>
      </c>
      <c r="OE10" s="34">
        <v>1</v>
      </c>
      <c r="OF10" s="20">
        <v>10</v>
      </c>
      <c r="OG10" s="20">
        <v>6</v>
      </c>
      <c r="OH10" s="20" t="s">
        <v>173</v>
      </c>
      <c r="OI10" s="20" t="s">
        <v>203</v>
      </c>
      <c r="OJ10" s="20">
        <v>20</v>
      </c>
      <c r="OK10" s="20">
        <v>7</v>
      </c>
      <c r="OL10" s="20">
        <v>4</v>
      </c>
      <c r="OM10" s="20">
        <v>15</v>
      </c>
      <c r="ON10" s="20" t="s">
        <v>293</v>
      </c>
      <c r="OO10" s="33">
        <v>2</v>
      </c>
      <c r="OP10" s="20">
        <v>18</v>
      </c>
      <c r="OQ10" s="20">
        <v>6</v>
      </c>
      <c r="OR10" s="20" t="s">
        <v>209</v>
      </c>
      <c r="OS10" s="20" t="s">
        <v>199</v>
      </c>
      <c r="OT10" s="20">
        <v>29</v>
      </c>
      <c r="OU10" s="20">
        <v>12</v>
      </c>
      <c r="OV10" s="20">
        <v>15</v>
      </c>
      <c r="OW10" s="20">
        <v>8</v>
      </c>
      <c r="OX10" s="20" t="s">
        <v>294</v>
      </c>
      <c r="OZ10" s="20">
        <v>0</v>
      </c>
      <c r="PA10" s="20">
        <v>0</v>
      </c>
      <c r="PB10" s="20">
        <v>1</v>
      </c>
      <c r="PC10" s="20">
        <v>1</v>
      </c>
      <c r="PD10" s="20">
        <v>1</v>
      </c>
      <c r="PE10" s="20">
        <v>1</v>
      </c>
      <c r="PF10" s="20">
        <v>1</v>
      </c>
      <c r="PG10" s="20">
        <v>1</v>
      </c>
      <c r="PK10" s="20">
        <v>26.67</v>
      </c>
      <c r="PL10" s="20">
        <v>9</v>
      </c>
      <c r="PO10" s="20">
        <v>6</v>
      </c>
      <c r="PP10" s="20" t="s">
        <v>17</v>
      </c>
      <c r="PQ10" s="20" t="s">
        <v>20</v>
      </c>
      <c r="PR10" s="33">
        <v>1</v>
      </c>
      <c r="PS10" s="20">
        <v>12</v>
      </c>
      <c r="PT10" s="20">
        <v>5</v>
      </c>
      <c r="PU10" s="20" t="s">
        <v>254</v>
      </c>
      <c r="PV10" s="20" t="s">
        <v>129</v>
      </c>
      <c r="PW10" s="20">
        <v>27</v>
      </c>
      <c r="PX10" s="20">
        <v>12</v>
      </c>
      <c r="PY10" s="20">
        <v>16</v>
      </c>
      <c r="PZ10" s="20">
        <v>18</v>
      </c>
      <c r="QA10" s="20" t="s">
        <v>295</v>
      </c>
      <c r="QB10" s="34">
        <v>0</v>
      </c>
      <c r="QC10" s="20">
        <v>18</v>
      </c>
      <c r="QD10" s="20">
        <v>3</v>
      </c>
      <c r="QE10" s="20" t="s">
        <v>272</v>
      </c>
      <c r="QF10" s="20" t="s">
        <v>129</v>
      </c>
      <c r="QG10" s="20">
        <v>30</v>
      </c>
      <c r="QH10" s="20">
        <v>16</v>
      </c>
      <c r="QI10" s="20">
        <v>10</v>
      </c>
      <c r="QJ10" s="20">
        <v>17</v>
      </c>
      <c r="QK10" s="20" t="s">
        <v>296</v>
      </c>
      <c r="QM10" s="20">
        <v>1</v>
      </c>
      <c r="QN10" s="20">
        <v>1</v>
      </c>
      <c r="QO10" s="20">
        <v>0</v>
      </c>
      <c r="QP10" s="20">
        <v>0</v>
      </c>
      <c r="QQ10" s="20">
        <v>0</v>
      </c>
      <c r="QR10" s="20">
        <v>1</v>
      </c>
      <c r="QS10" s="20">
        <v>0</v>
      </c>
      <c r="QT10" s="20">
        <v>0</v>
      </c>
      <c r="QX10" s="20">
        <v>25</v>
      </c>
      <c r="QY10" s="20">
        <v>3</v>
      </c>
      <c r="RB10" s="20">
        <v>6</v>
      </c>
      <c r="RC10" s="20" t="s">
        <v>16</v>
      </c>
      <c r="RD10" s="20" t="s">
        <v>18</v>
      </c>
      <c r="RE10" s="34">
        <v>0</v>
      </c>
      <c r="RF10" s="20">
        <v>7</v>
      </c>
      <c r="RG10" s="20">
        <v>3</v>
      </c>
      <c r="RH10" s="20" t="s">
        <v>207</v>
      </c>
      <c r="RI10" s="20" t="s">
        <v>230</v>
      </c>
      <c r="RJ10" s="20">
        <v>12</v>
      </c>
      <c r="RK10" s="20">
        <v>16</v>
      </c>
      <c r="RL10" s="20">
        <v>6</v>
      </c>
      <c r="RM10" s="20">
        <v>10</v>
      </c>
      <c r="RN10" s="20" t="s">
        <v>268</v>
      </c>
      <c r="RO10" s="33">
        <v>3</v>
      </c>
      <c r="RP10" s="20">
        <v>14</v>
      </c>
      <c r="RQ10" s="20">
        <v>5</v>
      </c>
      <c r="RR10" s="20" t="s">
        <v>297</v>
      </c>
      <c r="RS10" s="20" t="s">
        <v>168</v>
      </c>
      <c r="RT10" s="20">
        <v>24</v>
      </c>
      <c r="RU10" s="20">
        <v>14</v>
      </c>
      <c r="RV10" s="20">
        <v>6</v>
      </c>
      <c r="RW10" s="20">
        <v>5</v>
      </c>
      <c r="RX10" s="20" t="s">
        <v>270</v>
      </c>
      <c r="RZ10" s="20">
        <v>1</v>
      </c>
      <c r="SA10" s="20">
        <v>0</v>
      </c>
      <c r="SB10" s="20">
        <v>0</v>
      </c>
      <c r="SC10" s="20">
        <v>1</v>
      </c>
      <c r="SD10" s="20">
        <v>0</v>
      </c>
      <c r="SE10" s="20">
        <v>0</v>
      </c>
      <c r="SF10" s="20">
        <v>1</v>
      </c>
      <c r="SG10" s="20">
        <v>0</v>
      </c>
      <c r="SK10" s="20">
        <v>7.14</v>
      </c>
      <c r="SL10" s="20">
        <v>12</v>
      </c>
      <c r="SO10" s="20">
        <v>6</v>
      </c>
      <c r="SP10" s="20" t="s">
        <v>19</v>
      </c>
      <c r="SQ10" s="20" t="s">
        <v>10</v>
      </c>
      <c r="SR10" s="32">
        <v>1</v>
      </c>
      <c r="SS10" s="20">
        <v>10</v>
      </c>
      <c r="ST10" s="20">
        <v>3</v>
      </c>
      <c r="SU10" s="20" t="s">
        <v>237</v>
      </c>
      <c r="SV10" s="20" t="s">
        <v>283</v>
      </c>
      <c r="SW10" s="20">
        <v>29</v>
      </c>
      <c r="SX10" s="20">
        <v>19</v>
      </c>
      <c r="SY10" s="20">
        <v>7</v>
      </c>
      <c r="SZ10" s="20">
        <v>11</v>
      </c>
      <c r="TA10" s="20" t="s">
        <v>284</v>
      </c>
      <c r="TB10" s="32">
        <v>1</v>
      </c>
      <c r="TC10" s="20">
        <v>9</v>
      </c>
      <c r="TD10" s="20">
        <v>2</v>
      </c>
      <c r="TE10" s="20" t="s">
        <v>146</v>
      </c>
      <c r="TF10" s="20" t="s">
        <v>144</v>
      </c>
      <c r="TG10" s="20">
        <v>14</v>
      </c>
      <c r="TH10" s="20">
        <v>24</v>
      </c>
      <c r="TI10" s="20">
        <v>13</v>
      </c>
      <c r="TJ10" s="20">
        <v>20</v>
      </c>
      <c r="TK10" s="20" t="s">
        <v>282</v>
      </c>
      <c r="TM10" s="32">
        <v>1</v>
      </c>
      <c r="TN10" s="32">
        <v>1</v>
      </c>
      <c r="TO10" s="32">
        <v>0</v>
      </c>
      <c r="TP10" s="32">
        <v>1</v>
      </c>
      <c r="TQ10" s="32">
        <v>0</v>
      </c>
      <c r="TR10" s="32">
        <v>0</v>
      </c>
      <c r="TS10" s="32">
        <v>1</v>
      </c>
      <c r="TT10" s="32">
        <v>0</v>
      </c>
      <c r="TX10" s="32">
        <v>7.78</v>
      </c>
      <c r="TY10" s="32">
        <v>15</v>
      </c>
      <c r="UB10" s="20">
        <v>6</v>
      </c>
      <c r="UC10" s="20" t="s">
        <v>16</v>
      </c>
      <c r="UD10" s="20" t="s">
        <v>18</v>
      </c>
      <c r="UE10" s="33">
        <v>3</v>
      </c>
      <c r="UF10" s="20">
        <v>14</v>
      </c>
      <c r="UG10" s="20">
        <v>5</v>
      </c>
      <c r="UH10" s="20" t="s">
        <v>297</v>
      </c>
      <c r="UI10" s="20" t="s">
        <v>168</v>
      </c>
      <c r="UJ10" s="20">
        <v>24</v>
      </c>
      <c r="UK10" s="20">
        <v>14</v>
      </c>
      <c r="UL10" s="20">
        <v>6</v>
      </c>
      <c r="UM10" s="20">
        <v>5</v>
      </c>
      <c r="UN10" s="20" t="s">
        <v>270</v>
      </c>
      <c r="UO10" s="34">
        <v>0</v>
      </c>
      <c r="UP10" s="20">
        <v>7</v>
      </c>
      <c r="UQ10" s="20">
        <v>3</v>
      </c>
      <c r="UR10" s="20" t="s">
        <v>207</v>
      </c>
      <c r="US10" s="20" t="s">
        <v>230</v>
      </c>
      <c r="UT10" s="20">
        <v>12</v>
      </c>
      <c r="UU10" s="20">
        <v>16</v>
      </c>
      <c r="UV10" s="20">
        <v>6</v>
      </c>
      <c r="UW10" s="20">
        <v>10</v>
      </c>
      <c r="UX10" s="20" t="s">
        <v>268</v>
      </c>
      <c r="UZ10" s="20">
        <v>1</v>
      </c>
      <c r="VA10" s="20">
        <v>0</v>
      </c>
      <c r="VB10" s="20">
        <v>0</v>
      </c>
      <c r="VC10" s="20">
        <v>1</v>
      </c>
      <c r="VD10" s="20">
        <v>0</v>
      </c>
      <c r="VE10" s="20">
        <v>0</v>
      </c>
      <c r="VF10" s="20">
        <v>1</v>
      </c>
      <c r="VG10" s="20">
        <v>0</v>
      </c>
      <c r="VK10" s="20">
        <v>7.14</v>
      </c>
      <c r="VL10" s="20">
        <v>12</v>
      </c>
      <c r="VO10" s="20">
        <v>6</v>
      </c>
      <c r="VP10" s="20" t="s">
        <v>17</v>
      </c>
      <c r="VQ10" s="20" t="s">
        <v>20</v>
      </c>
      <c r="VR10" s="34">
        <v>0</v>
      </c>
      <c r="VS10" s="20">
        <v>18</v>
      </c>
      <c r="VT10" s="20">
        <v>3</v>
      </c>
      <c r="VU10" s="20" t="s">
        <v>272</v>
      </c>
      <c r="VV10" s="20" t="s">
        <v>129</v>
      </c>
      <c r="VW10" s="20">
        <v>30</v>
      </c>
      <c r="VX10" s="20">
        <v>16</v>
      </c>
      <c r="VY10" s="20">
        <v>10</v>
      </c>
      <c r="VZ10" s="20">
        <v>17</v>
      </c>
      <c r="WA10" s="20" t="s">
        <v>296</v>
      </c>
      <c r="WB10" s="33">
        <v>1</v>
      </c>
      <c r="WC10" s="20">
        <v>12</v>
      </c>
      <c r="WD10" s="20">
        <v>5</v>
      </c>
      <c r="WE10" s="20" t="s">
        <v>254</v>
      </c>
      <c r="WF10" s="20" t="s">
        <v>129</v>
      </c>
      <c r="WG10" s="20">
        <v>27</v>
      </c>
      <c r="WH10" s="20">
        <v>12</v>
      </c>
      <c r="WI10" s="20">
        <v>16</v>
      </c>
      <c r="WJ10" s="20">
        <v>18</v>
      </c>
      <c r="WK10" s="20" t="s">
        <v>295</v>
      </c>
      <c r="WM10" s="20">
        <v>1</v>
      </c>
      <c r="WN10" s="20">
        <v>1</v>
      </c>
      <c r="WO10" s="20">
        <v>0</v>
      </c>
      <c r="WP10" s="20">
        <v>0</v>
      </c>
      <c r="WQ10" s="20">
        <v>0</v>
      </c>
      <c r="WR10" s="20">
        <v>1</v>
      </c>
      <c r="WS10" s="20">
        <v>0</v>
      </c>
      <c r="WT10" s="20">
        <v>0</v>
      </c>
      <c r="WX10" s="20">
        <v>25</v>
      </c>
      <c r="WY10" s="20">
        <v>3</v>
      </c>
      <c r="XB10" s="20">
        <v>6</v>
      </c>
      <c r="XC10" s="20" t="s">
        <v>34</v>
      </c>
      <c r="XD10" s="20" t="s">
        <v>14</v>
      </c>
      <c r="XE10" s="34">
        <v>1</v>
      </c>
      <c r="XF10" s="20">
        <v>19</v>
      </c>
      <c r="XG10" s="20">
        <v>10</v>
      </c>
      <c r="XH10" s="20" t="s">
        <v>291</v>
      </c>
      <c r="XI10" s="20" t="s">
        <v>120</v>
      </c>
      <c r="XJ10" s="20">
        <v>34</v>
      </c>
      <c r="XK10" s="20">
        <v>20</v>
      </c>
      <c r="XL10" s="20">
        <v>13</v>
      </c>
      <c r="XM10" s="20">
        <v>12</v>
      </c>
      <c r="XN10" s="20" t="s">
        <v>292</v>
      </c>
      <c r="XO10" s="33">
        <v>2</v>
      </c>
      <c r="XP10" s="20">
        <v>13</v>
      </c>
      <c r="XQ10" s="20">
        <v>5</v>
      </c>
      <c r="XR10" s="20" t="s">
        <v>202</v>
      </c>
      <c r="XS10" s="20" t="s">
        <v>168</v>
      </c>
      <c r="XT10" s="20">
        <v>19</v>
      </c>
      <c r="XU10" s="20">
        <v>19</v>
      </c>
      <c r="XV10" s="20">
        <v>7</v>
      </c>
      <c r="XW10" s="20">
        <v>25</v>
      </c>
      <c r="XX10" s="20" t="s">
        <v>290</v>
      </c>
      <c r="XZ10" s="20">
        <v>0</v>
      </c>
      <c r="YA10" s="20">
        <v>0</v>
      </c>
      <c r="YB10" s="20">
        <v>0</v>
      </c>
      <c r="YC10" s="20">
        <v>0</v>
      </c>
      <c r="YD10" s="20">
        <v>0</v>
      </c>
      <c r="YE10" s="20">
        <v>0</v>
      </c>
      <c r="YF10" s="20">
        <v>0</v>
      </c>
      <c r="YG10" s="20">
        <v>0</v>
      </c>
      <c r="YK10" s="20">
        <v>14.17</v>
      </c>
      <c r="YL10" s="20">
        <v>15</v>
      </c>
      <c r="YO10" s="20">
        <v>6</v>
      </c>
      <c r="YP10" s="20" t="s">
        <v>11</v>
      </c>
      <c r="YQ10" s="20" t="s">
        <v>21</v>
      </c>
      <c r="YR10" s="34">
        <v>2</v>
      </c>
      <c r="YS10" s="20">
        <v>18</v>
      </c>
      <c r="YT10" s="20">
        <v>5</v>
      </c>
      <c r="YU10" s="20" t="s">
        <v>259</v>
      </c>
      <c r="YV10" s="20" t="s">
        <v>134</v>
      </c>
      <c r="YW10" s="20">
        <v>21</v>
      </c>
      <c r="YX10" s="20">
        <v>13</v>
      </c>
      <c r="YY10" s="20">
        <v>8</v>
      </c>
      <c r="YZ10" s="20">
        <v>9</v>
      </c>
      <c r="ZA10" s="20" t="s">
        <v>286</v>
      </c>
      <c r="ZB10" s="33">
        <v>3</v>
      </c>
      <c r="ZC10" s="20">
        <v>16</v>
      </c>
      <c r="ZD10" s="20">
        <v>8</v>
      </c>
      <c r="ZE10" s="20" t="s">
        <v>125</v>
      </c>
      <c r="ZF10" s="20" t="s">
        <v>161</v>
      </c>
      <c r="ZG10" s="20">
        <v>14</v>
      </c>
      <c r="ZH10" s="20">
        <v>15</v>
      </c>
      <c r="ZI10" s="20">
        <v>5</v>
      </c>
      <c r="ZJ10" s="20">
        <v>15</v>
      </c>
      <c r="ZK10" s="20" t="s">
        <v>285</v>
      </c>
      <c r="ZM10" s="20">
        <v>1</v>
      </c>
      <c r="ZN10" s="20">
        <v>1</v>
      </c>
      <c r="ZO10" s="20">
        <v>0</v>
      </c>
      <c r="ZP10" s="20">
        <v>0</v>
      </c>
      <c r="ZQ10" s="20">
        <v>1</v>
      </c>
      <c r="ZR10" s="20">
        <v>0</v>
      </c>
      <c r="ZS10" s="20">
        <v>0</v>
      </c>
      <c r="ZT10" s="20">
        <v>0</v>
      </c>
      <c r="ZX10" s="20">
        <v>22.22</v>
      </c>
      <c r="ZY10" s="20">
        <v>7</v>
      </c>
      <c r="AAB10" s="20">
        <v>6</v>
      </c>
      <c r="AAC10" s="20" t="s">
        <v>22</v>
      </c>
      <c r="AAD10" s="20" t="s">
        <v>23</v>
      </c>
      <c r="AAE10" s="33">
        <v>3</v>
      </c>
      <c r="AAF10" s="20">
        <v>16</v>
      </c>
      <c r="AAG10" s="20">
        <v>9</v>
      </c>
      <c r="AAH10" s="20" t="s">
        <v>298</v>
      </c>
      <c r="AAI10" s="20" t="s">
        <v>129</v>
      </c>
      <c r="AAJ10" s="20">
        <v>16</v>
      </c>
      <c r="AAK10" s="20">
        <v>15</v>
      </c>
      <c r="AAL10" s="20">
        <v>3</v>
      </c>
      <c r="AAM10" s="20">
        <v>11</v>
      </c>
      <c r="AAN10" s="20" t="s">
        <v>299</v>
      </c>
      <c r="AAO10" s="34">
        <v>0</v>
      </c>
      <c r="AAP10" s="20">
        <v>10</v>
      </c>
      <c r="AAQ10" s="20">
        <v>3</v>
      </c>
      <c r="AAR10" s="20" t="s">
        <v>237</v>
      </c>
      <c r="AAS10" s="20" t="s">
        <v>219</v>
      </c>
      <c r="AAT10" s="20">
        <v>23</v>
      </c>
      <c r="AAU10" s="20">
        <v>24</v>
      </c>
      <c r="AAV10" s="20">
        <v>8</v>
      </c>
      <c r="AAW10" s="20">
        <v>11</v>
      </c>
      <c r="AAX10" s="20" t="s">
        <v>300</v>
      </c>
      <c r="AAZ10" s="20">
        <v>1</v>
      </c>
      <c r="ABA10" s="20">
        <v>1</v>
      </c>
      <c r="ABB10" s="20">
        <v>1</v>
      </c>
      <c r="ABC10" s="20">
        <v>0</v>
      </c>
      <c r="ABD10" s="20">
        <v>0</v>
      </c>
      <c r="ABE10" s="20">
        <v>0</v>
      </c>
      <c r="ABF10" s="20">
        <v>0</v>
      </c>
      <c r="ABG10" s="20">
        <v>1</v>
      </c>
      <c r="ABK10" s="20">
        <v>26.25</v>
      </c>
      <c r="ABL10" s="20">
        <v>7</v>
      </c>
      <c r="ABO10" s="20">
        <v>6</v>
      </c>
      <c r="ABP10" s="20" t="s">
        <v>22</v>
      </c>
      <c r="ABQ10" s="20" t="s">
        <v>23</v>
      </c>
      <c r="ABR10" s="34">
        <v>0</v>
      </c>
      <c r="ABS10" s="20">
        <v>10</v>
      </c>
      <c r="ABT10" s="20">
        <v>3</v>
      </c>
      <c r="ABU10" s="20" t="s">
        <v>237</v>
      </c>
      <c r="ABV10" s="20" t="s">
        <v>219</v>
      </c>
      <c r="ABW10" s="20">
        <v>23</v>
      </c>
      <c r="ABX10" s="20">
        <v>24</v>
      </c>
      <c r="ABY10" s="20">
        <v>8</v>
      </c>
      <c r="ABZ10" s="20">
        <v>11</v>
      </c>
      <c r="ACA10" s="20" t="s">
        <v>300</v>
      </c>
      <c r="ACB10" s="33">
        <v>3</v>
      </c>
      <c r="ACC10" s="20">
        <v>16</v>
      </c>
      <c r="ACD10" s="20">
        <v>9</v>
      </c>
      <c r="ACE10" s="20" t="s">
        <v>298</v>
      </c>
      <c r="ACF10" s="20" t="s">
        <v>129</v>
      </c>
      <c r="ACG10" s="20">
        <v>16</v>
      </c>
      <c r="ACH10" s="20">
        <v>15</v>
      </c>
      <c r="ACI10" s="20">
        <v>3</v>
      </c>
      <c r="ACJ10" s="20">
        <v>11</v>
      </c>
      <c r="ACK10" s="20" t="s">
        <v>299</v>
      </c>
      <c r="ACM10" s="20">
        <v>1</v>
      </c>
      <c r="ACN10" s="20">
        <v>1</v>
      </c>
      <c r="ACO10" s="20">
        <v>1</v>
      </c>
      <c r="ACP10" s="20">
        <v>0</v>
      </c>
      <c r="ACQ10" s="20">
        <v>0</v>
      </c>
      <c r="ACR10" s="20">
        <v>0</v>
      </c>
      <c r="ACS10" s="20">
        <v>0</v>
      </c>
      <c r="ACT10" s="20">
        <v>1</v>
      </c>
      <c r="ACX10" s="20">
        <v>26.25</v>
      </c>
      <c r="ACY10" s="20">
        <v>7</v>
      </c>
    </row>
    <row r="11" spans="1:779" x14ac:dyDescent="0.3">
      <c r="A11" s="27"/>
      <c r="B11" s="20">
        <v>7</v>
      </c>
      <c r="C11" s="20" t="s">
        <v>11</v>
      </c>
      <c r="D11" s="20" t="s">
        <v>5</v>
      </c>
      <c r="E11" s="31">
        <v>1</v>
      </c>
      <c r="F11" s="20">
        <v>28</v>
      </c>
      <c r="G11" s="30">
        <v>9</v>
      </c>
      <c r="H11" s="27">
        <v>0.32140000000000002</v>
      </c>
      <c r="I11" s="28">
        <v>0.86</v>
      </c>
      <c r="J11" s="20">
        <v>11</v>
      </c>
      <c r="K11" s="20">
        <v>12</v>
      </c>
      <c r="L11" s="20">
        <v>9</v>
      </c>
      <c r="M11" s="30">
        <v>8</v>
      </c>
      <c r="N11" s="27">
        <v>0.629</v>
      </c>
      <c r="O11" s="29">
        <v>2</v>
      </c>
      <c r="P11" s="20">
        <v>12</v>
      </c>
      <c r="Q11" s="30">
        <v>5</v>
      </c>
      <c r="R11" s="27">
        <v>0.41670000000000001</v>
      </c>
      <c r="S11" s="28">
        <v>0.72</v>
      </c>
      <c r="T11" s="20">
        <v>13</v>
      </c>
      <c r="U11" s="20">
        <v>15</v>
      </c>
      <c r="V11" s="20">
        <v>6</v>
      </c>
      <c r="W11" s="30">
        <v>5</v>
      </c>
      <c r="X11" s="27">
        <v>0.371</v>
      </c>
      <c r="Z11" s="20">
        <v>0</v>
      </c>
      <c r="AA11" s="20">
        <v>1</v>
      </c>
      <c r="AB11" s="20">
        <v>0</v>
      </c>
      <c r="AC11" s="20">
        <v>1</v>
      </c>
      <c r="AD11" s="20">
        <v>1</v>
      </c>
      <c r="AE11" s="20">
        <v>0</v>
      </c>
      <c r="AF11" s="20">
        <v>1</v>
      </c>
      <c r="AG11" s="20">
        <v>0</v>
      </c>
      <c r="AK11" s="20">
        <v>9.52</v>
      </c>
      <c r="AL11" s="20">
        <v>2</v>
      </c>
      <c r="AM11" s="20"/>
      <c r="AN11" s="20"/>
      <c r="AO11" s="20">
        <v>7</v>
      </c>
      <c r="AP11" s="20" t="s">
        <v>7</v>
      </c>
      <c r="AQ11" s="20" t="s">
        <v>6</v>
      </c>
      <c r="AR11" s="32">
        <v>1</v>
      </c>
      <c r="AS11" s="30">
        <v>9</v>
      </c>
      <c r="AT11" s="30">
        <v>2</v>
      </c>
      <c r="AU11" s="27">
        <v>0.22220000000000001</v>
      </c>
      <c r="AV11" s="28">
        <v>0.86</v>
      </c>
      <c r="AW11" s="20">
        <v>19</v>
      </c>
      <c r="AX11" s="20">
        <v>13</v>
      </c>
      <c r="AY11" s="30">
        <v>11</v>
      </c>
      <c r="AZ11" s="20">
        <v>10</v>
      </c>
      <c r="BA11" s="28">
        <v>0.54</v>
      </c>
      <c r="BB11" s="32">
        <v>1</v>
      </c>
      <c r="BC11" s="20">
        <v>18</v>
      </c>
      <c r="BD11" s="20">
        <v>4</v>
      </c>
      <c r="BE11" s="20" t="s">
        <v>146</v>
      </c>
      <c r="BF11" s="20" t="s">
        <v>230</v>
      </c>
      <c r="BG11" s="20">
        <v>22</v>
      </c>
      <c r="BH11" s="20">
        <v>20</v>
      </c>
      <c r="BI11" s="20">
        <v>14</v>
      </c>
      <c r="BJ11" s="20">
        <v>11</v>
      </c>
      <c r="BK11" s="20" t="s">
        <v>214</v>
      </c>
      <c r="BM11" s="32">
        <v>1</v>
      </c>
      <c r="BN11" s="32">
        <v>0</v>
      </c>
      <c r="BO11" s="32">
        <v>0</v>
      </c>
      <c r="BP11" s="32">
        <v>1</v>
      </c>
      <c r="BQ11" s="32">
        <v>1</v>
      </c>
      <c r="BR11" s="32">
        <v>1</v>
      </c>
      <c r="BS11" s="32">
        <v>0</v>
      </c>
      <c r="BT11" s="32">
        <v>0</v>
      </c>
      <c r="BX11" s="32">
        <v>0</v>
      </c>
      <c r="BY11" s="32">
        <v>3</v>
      </c>
      <c r="BZ11" s="20"/>
      <c r="CA11" s="20"/>
      <c r="CB11" s="20">
        <v>7</v>
      </c>
      <c r="CC11" s="20" t="s">
        <v>7</v>
      </c>
      <c r="CD11" s="20" t="s">
        <v>6</v>
      </c>
      <c r="CE11" s="32">
        <v>1</v>
      </c>
      <c r="CF11" s="20">
        <v>18</v>
      </c>
      <c r="CG11" s="20">
        <v>4</v>
      </c>
      <c r="CH11" s="20" t="s">
        <v>146</v>
      </c>
      <c r="CI11" s="20" t="s">
        <v>230</v>
      </c>
      <c r="CJ11" s="20">
        <v>22</v>
      </c>
      <c r="CK11" s="20">
        <v>20</v>
      </c>
      <c r="CL11" s="20">
        <v>14</v>
      </c>
      <c r="CM11" s="20">
        <v>11</v>
      </c>
      <c r="CN11" s="20" t="s">
        <v>214</v>
      </c>
      <c r="CO11" s="32">
        <v>1</v>
      </c>
      <c r="CP11" s="20">
        <v>9</v>
      </c>
      <c r="CQ11" s="20">
        <v>2</v>
      </c>
      <c r="CR11" s="20" t="s">
        <v>146</v>
      </c>
      <c r="CS11" s="20" t="s">
        <v>179</v>
      </c>
      <c r="CT11" s="20">
        <v>19</v>
      </c>
      <c r="CU11" s="20">
        <v>13</v>
      </c>
      <c r="CV11" s="20">
        <v>11</v>
      </c>
      <c r="CW11" s="20">
        <v>10</v>
      </c>
      <c r="CX11" s="20" t="s">
        <v>215</v>
      </c>
      <c r="CZ11" s="32">
        <v>1</v>
      </c>
      <c r="DA11" s="32">
        <v>0</v>
      </c>
      <c r="DB11" s="32">
        <v>0</v>
      </c>
      <c r="DC11" s="32">
        <v>1</v>
      </c>
      <c r="DD11" s="32">
        <v>1</v>
      </c>
      <c r="DE11" s="32">
        <v>1</v>
      </c>
      <c r="DF11" s="32">
        <v>0</v>
      </c>
      <c r="DG11" s="32">
        <v>0</v>
      </c>
      <c r="DK11" s="32">
        <v>0</v>
      </c>
      <c r="DL11" s="32">
        <v>3</v>
      </c>
      <c r="DO11" s="20">
        <v>7</v>
      </c>
      <c r="DP11" s="20" t="s">
        <v>23</v>
      </c>
      <c r="DQ11" s="20" t="s">
        <v>8</v>
      </c>
      <c r="DR11" s="34">
        <v>0</v>
      </c>
      <c r="DS11" s="20">
        <v>3</v>
      </c>
      <c r="DT11" s="20">
        <v>2</v>
      </c>
      <c r="DU11" s="20" t="s">
        <v>192</v>
      </c>
      <c r="DV11" s="20" t="s">
        <v>154</v>
      </c>
      <c r="DW11" s="20">
        <v>22</v>
      </c>
      <c r="DX11" s="20">
        <v>11</v>
      </c>
      <c r="DY11" s="20">
        <v>5</v>
      </c>
      <c r="DZ11" s="20">
        <v>12</v>
      </c>
      <c r="EA11" s="20" t="s">
        <v>301</v>
      </c>
      <c r="EB11" s="33">
        <v>1</v>
      </c>
      <c r="EC11" s="20">
        <v>14</v>
      </c>
      <c r="ED11" s="20">
        <v>4</v>
      </c>
      <c r="EE11" s="20" t="s">
        <v>170</v>
      </c>
      <c r="EF11" s="20" t="s">
        <v>142</v>
      </c>
      <c r="EG11" s="20">
        <v>19</v>
      </c>
      <c r="EH11" s="20">
        <v>18</v>
      </c>
      <c r="EI11" s="20">
        <v>9</v>
      </c>
      <c r="EJ11" s="20">
        <v>15</v>
      </c>
      <c r="EK11" s="20" t="s">
        <v>302</v>
      </c>
      <c r="EM11" s="20">
        <v>1</v>
      </c>
      <c r="EN11" s="20">
        <v>0</v>
      </c>
      <c r="EO11" s="20">
        <v>0</v>
      </c>
      <c r="EP11" s="20">
        <v>0</v>
      </c>
      <c r="EQ11" s="20">
        <v>1</v>
      </c>
      <c r="ER11" s="20">
        <v>1</v>
      </c>
      <c r="ES11" s="20">
        <v>0</v>
      </c>
      <c r="ET11" s="20">
        <v>0</v>
      </c>
      <c r="EX11" s="20">
        <v>38.1</v>
      </c>
      <c r="EY11" s="20">
        <v>3</v>
      </c>
      <c r="FB11" s="20">
        <v>7</v>
      </c>
      <c r="FC11" s="20" t="s">
        <v>9</v>
      </c>
      <c r="FD11" s="20" t="s">
        <v>17</v>
      </c>
      <c r="FE11" s="33">
        <v>3</v>
      </c>
      <c r="FF11" s="20">
        <v>16</v>
      </c>
      <c r="FG11" s="20">
        <v>7</v>
      </c>
      <c r="FH11" s="20" t="s">
        <v>303</v>
      </c>
      <c r="FI11" s="20" t="s">
        <v>171</v>
      </c>
      <c r="FJ11" s="20">
        <v>26</v>
      </c>
      <c r="FK11" s="20">
        <v>13</v>
      </c>
      <c r="FL11" s="20">
        <v>2</v>
      </c>
      <c r="FM11" s="20">
        <v>10</v>
      </c>
      <c r="FN11" s="20" t="s">
        <v>304</v>
      </c>
      <c r="FO11" s="34">
        <v>1</v>
      </c>
      <c r="FP11" s="20">
        <v>9</v>
      </c>
      <c r="FQ11" s="20">
        <v>4</v>
      </c>
      <c r="FR11" s="20" t="s">
        <v>197</v>
      </c>
      <c r="FS11" s="20" t="s">
        <v>134</v>
      </c>
      <c r="FT11" s="20">
        <v>27</v>
      </c>
      <c r="FU11" s="20">
        <v>13</v>
      </c>
      <c r="FV11" s="20">
        <v>12</v>
      </c>
      <c r="FW11" s="20">
        <v>13</v>
      </c>
      <c r="FX11" s="20" t="s">
        <v>305</v>
      </c>
      <c r="FZ11" s="20">
        <v>1</v>
      </c>
      <c r="GA11" s="20">
        <v>0</v>
      </c>
      <c r="GB11" s="20">
        <v>0</v>
      </c>
      <c r="GC11" s="20">
        <v>0</v>
      </c>
      <c r="GD11" s="20">
        <v>0</v>
      </c>
      <c r="GE11" s="20">
        <v>0</v>
      </c>
      <c r="GF11" s="20">
        <v>1</v>
      </c>
      <c r="GG11" s="20">
        <v>0</v>
      </c>
      <c r="GK11" s="20">
        <v>0.69</v>
      </c>
      <c r="GL11" s="20">
        <v>1</v>
      </c>
      <c r="GO11" s="20">
        <v>7</v>
      </c>
      <c r="GP11" s="20" t="s">
        <v>10</v>
      </c>
      <c r="GQ11" s="20" t="s">
        <v>22</v>
      </c>
      <c r="GR11" s="32">
        <v>0</v>
      </c>
      <c r="GS11" s="20">
        <v>18</v>
      </c>
      <c r="GT11" s="20">
        <v>7</v>
      </c>
      <c r="GU11" s="20" t="s">
        <v>261</v>
      </c>
      <c r="GV11" s="20" t="s">
        <v>144</v>
      </c>
      <c r="GW11" s="20">
        <v>27</v>
      </c>
      <c r="GX11" s="20">
        <v>20</v>
      </c>
      <c r="GY11" s="20">
        <v>11</v>
      </c>
      <c r="GZ11" s="20">
        <v>8</v>
      </c>
      <c r="HA11" s="20" t="s">
        <v>306</v>
      </c>
      <c r="HB11" s="32">
        <v>0</v>
      </c>
      <c r="HC11" s="20">
        <v>9</v>
      </c>
      <c r="HD11" s="20">
        <v>3</v>
      </c>
      <c r="HE11" s="20" t="s">
        <v>209</v>
      </c>
      <c r="HF11" s="20" t="s">
        <v>307</v>
      </c>
      <c r="HG11" s="20">
        <v>17</v>
      </c>
      <c r="HH11" s="20">
        <v>17</v>
      </c>
      <c r="HI11" s="20">
        <v>6</v>
      </c>
      <c r="HJ11" s="20">
        <v>16</v>
      </c>
      <c r="HK11" s="20" t="s">
        <v>308</v>
      </c>
      <c r="HM11" s="32">
        <v>1</v>
      </c>
      <c r="HN11" s="32">
        <v>1</v>
      </c>
      <c r="HO11" s="32">
        <v>1</v>
      </c>
      <c r="HP11" s="32">
        <v>1</v>
      </c>
      <c r="HQ11" s="32">
        <v>1</v>
      </c>
      <c r="HR11" s="32">
        <v>1</v>
      </c>
      <c r="HS11" s="32">
        <v>1</v>
      </c>
      <c r="HT11" s="32">
        <v>1</v>
      </c>
      <c r="HX11" s="32">
        <v>5.56</v>
      </c>
      <c r="HY11" s="32">
        <v>10</v>
      </c>
      <c r="IB11" s="20">
        <v>7</v>
      </c>
      <c r="IC11" s="20" t="s">
        <v>11</v>
      </c>
      <c r="ID11" s="20" t="s">
        <v>5</v>
      </c>
      <c r="IE11" s="33">
        <v>2</v>
      </c>
      <c r="IF11" s="20">
        <v>12</v>
      </c>
      <c r="IG11" s="20">
        <v>5</v>
      </c>
      <c r="IH11" s="20" t="s">
        <v>254</v>
      </c>
      <c r="II11" s="20" t="s">
        <v>203</v>
      </c>
      <c r="IJ11" s="20">
        <v>13</v>
      </c>
      <c r="IK11" s="20">
        <v>15</v>
      </c>
      <c r="IL11" s="20">
        <v>6</v>
      </c>
      <c r="IM11" s="20">
        <v>5</v>
      </c>
      <c r="IN11" s="20" t="s">
        <v>309</v>
      </c>
      <c r="IO11" s="34">
        <v>1</v>
      </c>
      <c r="IP11" s="20">
        <v>28</v>
      </c>
      <c r="IQ11" s="20">
        <v>9</v>
      </c>
      <c r="IR11" s="20" t="s">
        <v>310</v>
      </c>
      <c r="IS11" s="20" t="s">
        <v>179</v>
      </c>
      <c r="IT11" s="20">
        <v>11</v>
      </c>
      <c r="IU11" s="20">
        <v>12</v>
      </c>
      <c r="IV11" s="20">
        <v>9</v>
      </c>
      <c r="IW11" s="20">
        <v>8</v>
      </c>
      <c r="IX11" s="20" t="s">
        <v>311</v>
      </c>
      <c r="IZ11" s="20">
        <v>0</v>
      </c>
      <c r="JA11" s="20">
        <v>1</v>
      </c>
      <c r="JB11" s="20">
        <v>0</v>
      </c>
      <c r="JC11" s="20">
        <v>1</v>
      </c>
      <c r="JD11" s="20">
        <v>1</v>
      </c>
      <c r="JE11" s="20">
        <v>0</v>
      </c>
      <c r="JF11" s="20">
        <v>1</v>
      </c>
      <c r="JG11" s="20">
        <v>0</v>
      </c>
      <c r="JK11" s="20">
        <v>9.52</v>
      </c>
      <c r="JL11" s="20">
        <v>2</v>
      </c>
      <c r="JO11" s="20">
        <v>7</v>
      </c>
      <c r="JP11" s="20" t="s">
        <v>12</v>
      </c>
      <c r="JQ11" s="20" t="s">
        <v>13</v>
      </c>
      <c r="JR11" s="33">
        <v>3</v>
      </c>
      <c r="JS11" s="20">
        <v>11</v>
      </c>
      <c r="JT11" s="20">
        <v>7</v>
      </c>
      <c r="JU11" s="20" t="s">
        <v>178</v>
      </c>
      <c r="JV11" s="20" t="s">
        <v>147</v>
      </c>
      <c r="JW11" s="20">
        <v>21</v>
      </c>
      <c r="JX11" s="20">
        <v>18</v>
      </c>
      <c r="JY11" s="20">
        <v>3</v>
      </c>
      <c r="JZ11" s="20">
        <v>5</v>
      </c>
      <c r="KA11" s="20" t="s">
        <v>312</v>
      </c>
      <c r="KB11" s="34">
        <v>1</v>
      </c>
      <c r="KC11" s="20">
        <v>13</v>
      </c>
      <c r="KD11" s="20">
        <v>5</v>
      </c>
      <c r="KE11" s="20" t="s">
        <v>202</v>
      </c>
      <c r="KF11" s="20" t="s">
        <v>168</v>
      </c>
      <c r="KG11" s="20">
        <v>15</v>
      </c>
      <c r="KH11" s="20">
        <v>20</v>
      </c>
      <c r="KI11" s="20">
        <v>1</v>
      </c>
      <c r="KJ11" s="20">
        <v>7</v>
      </c>
      <c r="KK11" s="20" t="s">
        <v>313</v>
      </c>
      <c r="KM11" s="20">
        <v>1</v>
      </c>
      <c r="KN11" s="20">
        <v>1</v>
      </c>
      <c r="KO11" s="20">
        <v>0</v>
      </c>
      <c r="KP11" s="20">
        <v>1</v>
      </c>
      <c r="KQ11" s="20">
        <v>0</v>
      </c>
      <c r="KR11" s="20">
        <v>1</v>
      </c>
      <c r="KS11" s="20">
        <v>1</v>
      </c>
      <c r="KT11" s="20">
        <v>0</v>
      </c>
      <c r="KX11" s="20">
        <v>25.17</v>
      </c>
      <c r="KY11" s="20">
        <v>6</v>
      </c>
      <c r="LB11" s="20">
        <v>7</v>
      </c>
      <c r="LC11" s="20" t="s">
        <v>12</v>
      </c>
      <c r="LD11" s="20" t="s">
        <v>13</v>
      </c>
      <c r="LE11" s="34">
        <v>1</v>
      </c>
      <c r="LF11" s="20">
        <v>13</v>
      </c>
      <c r="LG11" s="20">
        <v>5</v>
      </c>
      <c r="LH11" s="20" t="s">
        <v>202</v>
      </c>
      <c r="LI11" s="20" t="s">
        <v>168</v>
      </c>
      <c r="LJ11" s="20">
        <v>15</v>
      </c>
      <c r="LK11" s="20">
        <v>20</v>
      </c>
      <c r="LL11" s="20">
        <v>1</v>
      </c>
      <c r="LM11" s="20">
        <v>7</v>
      </c>
      <c r="LN11" s="20" t="s">
        <v>313</v>
      </c>
      <c r="LO11" s="33">
        <v>3</v>
      </c>
      <c r="LP11" s="20">
        <v>11</v>
      </c>
      <c r="LQ11" s="20">
        <v>7</v>
      </c>
      <c r="LR11" s="20" t="s">
        <v>178</v>
      </c>
      <c r="LS11" s="20" t="s">
        <v>147</v>
      </c>
      <c r="LT11" s="20">
        <v>21</v>
      </c>
      <c r="LU11" s="20">
        <v>18</v>
      </c>
      <c r="LV11" s="20">
        <v>3</v>
      </c>
      <c r="LW11" s="20">
        <v>5</v>
      </c>
      <c r="LX11" s="20" t="s">
        <v>312</v>
      </c>
      <c r="LZ11" s="20">
        <v>1</v>
      </c>
      <c r="MA11" s="20">
        <v>1</v>
      </c>
      <c r="MB11" s="20">
        <v>0</v>
      </c>
      <c r="MC11" s="20">
        <v>1</v>
      </c>
      <c r="MD11" s="20">
        <v>0</v>
      </c>
      <c r="ME11" s="20">
        <v>1</v>
      </c>
      <c r="MF11" s="20">
        <v>1</v>
      </c>
      <c r="MG11" s="20">
        <v>0</v>
      </c>
      <c r="MK11" s="20">
        <v>25.17</v>
      </c>
      <c r="ML11" s="20">
        <v>6</v>
      </c>
      <c r="MO11" s="20">
        <v>7</v>
      </c>
      <c r="MP11" s="20" t="s">
        <v>21</v>
      </c>
      <c r="MQ11" s="20" t="s">
        <v>14</v>
      </c>
      <c r="MR11" s="33">
        <v>2</v>
      </c>
      <c r="MS11" s="20">
        <v>9</v>
      </c>
      <c r="MT11" s="20">
        <v>6</v>
      </c>
      <c r="MU11" s="20" t="s">
        <v>192</v>
      </c>
      <c r="MV11" s="20" t="s">
        <v>314</v>
      </c>
      <c r="MW11" s="20">
        <v>32</v>
      </c>
      <c r="MX11" s="20">
        <v>16</v>
      </c>
      <c r="MY11" s="20">
        <v>9</v>
      </c>
      <c r="MZ11" s="20">
        <v>11</v>
      </c>
      <c r="NA11" s="20" t="s">
        <v>315</v>
      </c>
      <c r="NB11" s="34">
        <v>0</v>
      </c>
      <c r="NC11" s="20">
        <v>23</v>
      </c>
      <c r="ND11" s="20">
        <v>9</v>
      </c>
      <c r="NE11" s="20" t="s">
        <v>316</v>
      </c>
      <c r="NF11" s="20" t="s">
        <v>134</v>
      </c>
      <c r="NG11" s="20">
        <v>16</v>
      </c>
      <c r="NH11" s="20">
        <v>17</v>
      </c>
      <c r="NI11" s="20">
        <v>4</v>
      </c>
      <c r="NJ11" s="20">
        <v>16</v>
      </c>
      <c r="NK11" s="20" t="s">
        <v>317</v>
      </c>
      <c r="NM11" s="20">
        <v>0</v>
      </c>
      <c r="NN11" s="20">
        <v>1</v>
      </c>
      <c r="NO11" s="20">
        <v>0</v>
      </c>
      <c r="NP11" s="20">
        <v>1</v>
      </c>
      <c r="NQ11" s="20">
        <v>0</v>
      </c>
      <c r="NR11" s="20">
        <v>1</v>
      </c>
      <c r="NS11" s="20">
        <v>1</v>
      </c>
      <c r="NT11" s="20">
        <v>0</v>
      </c>
      <c r="NX11" s="20">
        <v>27.54</v>
      </c>
      <c r="NY11" s="20">
        <v>16</v>
      </c>
      <c r="OB11" s="20">
        <v>7</v>
      </c>
      <c r="OC11" s="20" t="s">
        <v>15</v>
      </c>
      <c r="OD11" s="20" t="s">
        <v>19</v>
      </c>
      <c r="OE11" s="34">
        <v>0</v>
      </c>
      <c r="OF11" s="20">
        <v>18</v>
      </c>
      <c r="OG11" s="20">
        <v>4</v>
      </c>
      <c r="OH11" s="20" t="s">
        <v>146</v>
      </c>
      <c r="OI11" s="20" t="s">
        <v>168</v>
      </c>
      <c r="OJ11" s="20">
        <v>15</v>
      </c>
      <c r="OK11" s="20">
        <v>17</v>
      </c>
      <c r="OL11" s="20">
        <v>13</v>
      </c>
      <c r="OM11" s="20">
        <v>23</v>
      </c>
      <c r="ON11" s="20" t="s">
        <v>318</v>
      </c>
      <c r="OO11" s="33">
        <v>2</v>
      </c>
      <c r="OP11" s="20">
        <v>9</v>
      </c>
      <c r="OQ11" s="20">
        <v>4</v>
      </c>
      <c r="OR11" s="20" t="s">
        <v>197</v>
      </c>
      <c r="OS11" s="20" t="s">
        <v>126</v>
      </c>
      <c r="OT11" s="20">
        <v>34</v>
      </c>
      <c r="OU11" s="20">
        <v>21</v>
      </c>
      <c r="OV11" s="20">
        <v>0</v>
      </c>
      <c r="OW11" s="20">
        <v>12</v>
      </c>
      <c r="OX11" s="20" t="s">
        <v>319</v>
      </c>
      <c r="OZ11" s="20">
        <v>1</v>
      </c>
      <c r="PA11" s="20">
        <v>1</v>
      </c>
      <c r="PB11" s="20">
        <v>0</v>
      </c>
      <c r="PC11" s="20">
        <v>1</v>
      </c>
      <c r="PD11" s="20">
        <v>1</v>
      </c>
      <c r="PE11" s="20">
        <v>0</v>
      </c>
      <c r="PF11" s="20">
        <v>1</v>
      </c>
      <c r="PG11" s="20">
        <v>0</v>
      </c>
      <c r="PK11" s="20">
        <v>22.22</v>
      </c>
      <c r="PL11" s="20">
        <v>19</v>
      </c>
      <c r="PO11" s="20">
        <v>7</v>
      </c>
      <c r="PP11" s="20" t="s">
        <v>9</v>
      </c>
      <c r="PQ11" s="20" t="s">
        <v>17</v>
      </c>
      <c r="PR11" s="34">
        <v>1</v>
      </c>
      <c r="PS11" s="20">
        <v>9</v>
      </c>
      <c r="PT11" s="20">
        <v>4</v>
      </c>
      <c r="PU11" s="20" t="s">
        <v>197</v>
      </c>
      <c r="PV11" s="20" t="s">
        <v>134</v>
      </c>
      <c r="PW11" s="20">
        <v>27</v>
      </c>
      <c r="PX11" s="20">
        <v>13</v>
      </c>
      <c r="PY11" s="20">
        <v>12</v>
      </c>
      <c r="PZ11" s="20">
        <v>13</v>
      </c>
      <c r="QA11" s="20" t="s">
        <v>305</v>
      </c>
      <c r="QB11" s="33">
        <v>3</v>
      </c>
      <c r="QC11" s="20">
        <v>16</v>
      </c>
      <c r="QD11" s="20">
        <v>7</v>
      </c>
      <c r="QE11" s="20" t="s">
        <v>303</v>
      </c>
      <c r="QF11" s="20" t="s">
        <v>171</v>
      </c>
      <c r="QG11" s="20">
        <v>26</v>
      </c>
      <c r="QH11" s="20">
        <v>13</v>
      </c>
      <c r="QI11" s="20">
        <v>2</v>
      </c>
      <c r="QJ11" s="20">
        <v>10</v>
      </c>
      <c r="QK11" s="20" t="s">
        <v>304</v>
      </c>
      <c r="QM11" s="20">
        <v>1</v>
      </c>
      <c r="QN11" s="20">
        <v>0</v>
      </c>
      <c r="QO11" s="20">
        <v>0</v>
      </c>
      <c r="QP11" s="20">
        <v>0</v>
      </c>
      <c r="QQ11" s="20">
        <v>0</v>
      </c>
      <c r="QR11" s="20">
        <v>0</v>
      </c>
      <c r="QS11" s="20">
        <v>1</v>
      </c>
      <c r="QT11" s="20">
        <v>0</v>
      </c>
      <c r="QX11" s="20">
        <v>0.69</v>
      </c>
      <c r="QY11" s="20">
        <v>1</v>
      </c>
      <c r="RB11" s="20">
        <v>7</v>
      </c>
      <c r="RC11" s="20" t="s">
        <v>18</v>
      </c>
      <c r="RD11" s="20" t="s">
        <v>34</v>
      </c>
      <c r="RE11" s="34">
        <v>1</v>
      </c>
      <c r="RF11" s="20">
        <v>13</v>
      </c>
      <c r="RG11" s="20">
        <v>9</v>
      </c>
      <c r="RH11" s="20" t="s">
        <v>320</v>
      </c>
      <c r="RI11" s="20" t="s">
        <v>168</v>
      </c>
      <c r="RJ11" s="20">
        <v>17</v>
      </c>
      <c r="RK11" s="20">
        <v>14</v>
      </c>
      <c r="RL11" s="20">
        <v>9</v>
      </c>
      <c r="RM11" s="20">
        <v>18</v>
      </c>
      <c r="RN11" s="20" t="s">
        <v>321</v>
      </c>
      <c r="RO11" s="33">
        <v>2</v>
      </c>
      <c r="RP11" s="20">
        <v>12</v>
      </c>
      <c r="RQ11" s="20">
        <v>2</v>
      </c>
      <c r="RR11" s="20" t="s">
        <v>272</v>
      </c>
      <c r="RS11" s="20" t="s">
        <v>161</v>
      </c>
      <c r="RT11" s="20">
        <v>28</v>
      </c>
      <c r="RU11" s="20">
        <v>10</v>
      </c>
      <c r="RV11" s="20">
        <v>8</v>
      </c>
      <c r="RW11" s="20">
        <v>8</v>
      </c>
      <c r="RX11" s="20" t="s">
        <v>322</v>
      </c>
      <c r="RZ11" s="20">
        <v>0</v>
      </c>
      <c r="SA11" s="20">
        <v>0</v>
      </c>
      <c r="SB11" s="20">
        <v>0</v>
      </c>
      <c r="SC11" s="20">
        <v>1</v>
      </c>
      <c r="SD11" s="20">
        <v>0</v>
      </c>
      <c r="SE11" s="20">
        <v>0</v>
      </c>
      <c r="SF11" s="20">
        <v>1</v>
      </c>
      <c r="SG11" s="20">
        <v>0</v>
      </c>
      <c r="SK11" s="20">
        <v>52.56</v>
      </c>
      <c r="SL11" s="20">
        <v>11</v>
      </c>
      <c r="SO11" s="20">
        <v>7</v>
      </c>
      <c r="SP11" s="20" t="s">
        <v>15</v>
      </c>
      <c r="SQ11" s="20" t="s">
        <v>19</v>
      </c>
      <c r="SR11" s="33">
        <v>2</v>
      </c>
      <c r="SS11" s="20">
        <v>9</v>
      </c>
      <c r="ST11" s="20">
        <v>4</v>
      </c>
      <c r="SU11" s="20" t="s">
        <v>197</v>
      </c>
      <c r="SV11" s="20" t="s">
        <v>126</v>
      </c>
      <c r="SW11" s="20">
        <v>34</v>
      </c>
      <c r="SX11" s="20">
        <v>21</v>
      </c>
      <c r="SY11" s="20">
        <v>0</v>
      </c>
      <c r="SZ11" s="20">
        <v>12</v>
      </c>
      <c r="TA11" s="20" t="s">
        <v>319</v>
      </c>
      <c r="TB11" s="34">
        <v>0</v>
      </c>
      <c r="TC11" s="20">
        <v>18</v>
      </c>
      <c r="TD11" s="20">
        <v>4</v>
      </c>
      <c r="TE11" s="20" t="s">
        <v>146</v>
      </c>
      <c r="TF11" s="20" t="s">
        <v>168</v>
      </c>
      <c r="TG11" s="20">
        <v>15</v>
      </c>
      <c r="TH11" s="20">
        <v>17</v>
      </c>
      <c r="TI11" s="20">
        <v>13</v>
      </c>
      <c r="TJ11" s="20">
        <v>23</v>
      </c>
      <c r="TK11" s="20" t="s">
        <v>318</v>
      </c>
      <c r="TM11" s="20">
        <v>1</v>
      </c>
      <c r="TN11" s="20">
        <v>1</v>
      </c>
      <c r="TO11" s="20">
        <v>0</v>
      </c>
      <c r="TP11" s="20">
        <v>1</v>
      </c>
      <c r="TQ11" s="20">
        <v>1</v>
      </c>
      <c r="TR11" s="20">
        <v>0</v>
      </c>
      <c r="TS11" s="20">
        <v>1</v>
      </c>
      <c r="TT11" s="20">
        <v>0</v>
      </c>
      <c r="TX11" s="20">
        <v>22.22</v>
      </c>
      <c r="TY11" s="20">
        <v>19</v>
      </c>
      <c r="UB11" s="20">
        <v>7</v>
      </c>
      <c r="UC11" s="20" t="s">
        <v>20</v>
      </c>
      <c r="UD11" s="20" t="s">
        <v>16</v>
      </c>
      <c r="UE11" s="32">
        <v>1</v>
      </c>
      <c r="UF11" s="20">
        <v>14</v>
      </c>
      <c r="UG11" s="20">
        <v>3</v>
      </c>
      <c r="UH11" s="20" t="s">
        <v>119</v>
      </c>
      <c r="UI11" s="20" t="s">
        <v>139</v>
      </c>
      <c r="UJ11" s="20">
        <v>18</v>
      </c>
      <c r="UK11" s="20">
        <v>21</v>
      </c>
      <c r="UL11" s="20">
        <v>7</v>
      </c>
      <c r="UM11" s="20">
        <v>9</v>
      </c>
      <c r="UN11" s="20" t="s">
        <v>323</v>
      </c>
      <c r="UO11" s="32">
        <v>1</v>
      </c>
      <c r="UP11" s="20">
        <v>10</v>
      </c>
      <c r="UQ11" s="20">
        <v>3</v>
      </c>
      <c r="UR11" s="20" t="s">
        <v>237</v>
      </c>
      <c r="US11" s="20" t="s">
        <v>219</v>
      </c>
      <c r="UT11" s="20">
        <v>13</v>
      </c>
      <c r="UU11" s="20">
        <v>11</v>
      </c>
      <c r="UV11" s="20">
        <v>4</v>
      </c>
      <c r="UW11" s="20">
        <v>12</v>
      </c>
      <c r="UX11" s="20" t="s">
        <v>324</v>
      </c>
      <c r="UZ11" s="32">
        <v>1</v>
      </c>
      <c r="VA11" s="32">
        <v>0</v>
      </c>
      <c r="VB11" s="32">
        <v>0</v>
      </c>
      <c r="VC11" s="32">
        <v>1</v>
      </c>
      <c r="VD11" s="32">
        <v>1</v>
      </c>
      <c r="VE11" s="32">
        <v>1</v>
      </c>
      <c r="VF11" s="32">
        <v>1</v>
      </c>
      <c r="VG11" s="32">
        <v>0</v>
      </c>
      <c r="VK11" s="32">
        <v>8.57</v>
      </c>
      <c r="VL11" s="32">
        <v>5</v>
      </c>
      <c r="VO11" s="20">
        <v>7</v>
      </c>
      <c r="VP11" s="20" t="s">
        <v>20</v>
      </c>
      <c r="VQ11" s="20" t="s">
        <v>16</v>
      </c>
      <c r="VR11" s="32">
        <v>1</v>
      </c>
      <c r="VS11" s="20">
        <v>10</v>
      </c>
      <c r="VT11" s="20">
        <v>3</v>
      </c>
      <c r="VU11" s="20" t="s">
        <v>237</v>
      </c>
      <c r="VV11" s="20" t="s">
        <v>219</v>
      </c>
      <c r="VW11" s="20">
        <v>13</v>
      </c>
      <c r="VX11" s="20">
        <v>11</v>
      </c>
      <c r="VY11" s="20">
        <v>4</v>
      </c>
      <c r="VZ11" s="20">
        <v>12</v>
      </c>
      <c r="WA11" s="20" t="s">
        <v>324</v>
      </c>
      <c r="WB11" s="32">
        <v>1</v>
      </c>
      <c r="WC11" s="20">
        <v>14</v>
      </c>
      <c r="WD11" s="20">
        <v>3</v>
      </c>
      <c r="WE11" s="20" t="s">
        <v>119</v>
      </c>
      <c r="WF11" s="20" t="s">
        <v>139</v>
      </c>
      <c r="WG11" s="20">
        <v>18</v>
      </c>
      <c r="WH11" s="20">
        <v>21</v>
      </c>
      <c r="WI11" s="20">
        <v>7</v>
      </c>
      <c r="WJ11" s="20">
        <v>9</v>
      </c>
      <c r="WK11" s="20" t="s">
        <v>323</v>
      </c>
      <c r="WM11" s="32">
        <v>1</v>
      </c>
      <c r="WN11" s="32">
        <v>0</v>
      </c>
      <c r="WO11" s="32">
        <v>0</v>
      </c>
      <c r="WP11" s="32">
        <v>1</v>
      </c>
      <c r="WQ11" s="32">
        <v>1</v>
      </c>
      <c r="WR11" s="32">
        <v>1</v>
      </c>
      <c r="WS11" s="32">
        <v>1</v>
      </c>
      <c r="WT11" s="32">
        <v>0</v>
      </c>
      <c r="WX11" s="32">
        <v>8.57</v>
      </c>
      <c r="WY11" s="32">
        <v>5</v>
      </c>
      <c r="XB11" s="20">
        <v>7</v>
      </c>
      <c r="XC11" s="20" t="s">
        <v>18</v>
      </c>
      <c r="XD11" s="20" t="s">
        <v>34</v>
      </c>
      <c r="XE11" s="33">
        <v>2</v>
      </c>
      <c r="XF11" s="20">
        <v>12</v>
      </c>
      <c r="XG11" s="20">
        <v>2</v>
      </c>
      <c r="XH11" s="20" t="s">
        <v>272</v>
      </c>
      <c r="XI11" s="20" t="s">
        <v>161</v>
      </c>
      <c r="XJ11" s="20">
        <v>28</v>
      </c>
      <c r="XK11" s="20">
        <v>10</v>
      </c>
      <c r="XL11" s="20">
        <v>8</v>
      </c>
      <c r="XM11" s="20">
        <v>8</v>
      </c>
      <c r="XN11" s="20" t="s">
        <v>322</v>
      </c>
      <c r="XO11" s="34">
        <v>1</v>
      </c>
      <c r="XP11" s="20">
        <v>13</v>
      </c>
      <c r="XQ11" s="20">
        <v>9</v>
      </c>
      <c r="XR11" s="20" t="s">
        <v>320</v>
      </c>
      <c r="XS11" s="20" t="s">
        <v>168</v>
      </c>
      <c r="XT11" s="20">
        <v>17</v>
      </c>
      <c r="XU11" s="20">
        <v>14</v>
      </c>
      <c r="XV11" s="20">
        <v>9</v>
      </c>
      <c r="XW11" s="20">
        <v>18</v>
      </c>
      <c r="XX11" s="20" t="s">
        <v>321</v>
      </c>
      <c r="XZ11" s="20">
        <v>0</v>
      </c>
      <c r="YA11" s="20">
        <v>0</v>
      </c>
      <c r="YB11" s="20">
        <v>0</v>
      </c>
      <c r="YC11" s="20">
        <v>1</v>
      </c>
      <c r="YD11" s="20">
        <v>0</v>
      </c>
      <c r="YE11" s="20">
        <v>0</v>
      </c>
      <c r="YF11" s="20">
        <v>1</v>
      </c>
      <c r="YG11" s="20">
        <v>0</v>
      </c>
      <c r="YK11" s="20">
        <v>52.56</v>
      </c>
      <c r="YL11" s="20">
        <v>11</v>
      </c>
      <c r="YO11" s="20">
        <v>7</v>
      </c>
      <c r="YP11" s="20" t="s">
        <v>21</v>
      </c>
      <c r="YQ11" s="20" t="s">
        <v>14</v>
      </c>
      <c r="YR11" s="34">
        <v>0</v>
      </c>
      <c r="YS11" s="20">
        <v>23</v>
      </c>
      <c r="YT11" s="20">
        <v>9</v>
      </c>
      <c r="YU11" s="20" t="s">
        <v>316</v>
      </c>
      <c r="YV11" s="20" t="s">
        <v>134</v>
      </c>
      <c r="YW11" s="20">
        <v>16</v>
      </c>
      <c r="YX11" s="20">
        <v>17</v>
      </c>
      <c r="YY11" s="20">
        <v>4</v>
      </c>
      <c r="YZ11" s="20">
        <v>16</v>
      </c>
      <c r="ZA11" s="20" t="s">
        <v>317</v>
      </c>
      <c r="ZB11" s="33">
        <v>2</v>
      </c>
      <c r="ZC11" s="20">
        <v>9</v>
      </c>
      <c r="ZD11" s="20">
        <v>6</v>
      </c>
      <c r="ZE11" s="20" t="s">
        <v>192</v>
      </c>
      <c r="ZF11" s="20" t="s">
        <v>314</v>
      </c>
      <c r="ZG11" s="20">
        <v>32</v>
      </c>
      <c r="ZH11" s="20">
        <v>16</v>
      </c>
      <c r="ZI11" s="20">
        <v>9</v>
      </c>
      <c r="ZJ11" s="20">
        <v>11</v>
      </c>
      <c r="ZK11" s="20" t="s">
        <v>315</v>
      </c>
      <c r="ZM11" s="20">
        <v>0</v>
      </c>
      <c r="ZN11" s="20">
        <v>1</v>
      </c>
      <c r="ZO11" s="20">
        <v>0</v>
      </c>
      <c r="ZP11" s="20">
        <v>1</v>
      </c>
      <c r="ZQ11" s="20">
        <v>0</v>
      </c>
      <c r="ZR11" s="20">
        <v>1</v>
      </c>
      <c r="ZS11" s="20">
        <v>1</v>
      </c>
      <c r="ZT11" s="20">
        <v>0</v>
      </c>
      <c r="ZX11" s="20">
        <v>27.54</v>
      </c>
      <c r="ZY11" s="20">
        <v>16</v>
      </c>
      <c r="AAB11" s="20">
        <v>7</v>
      </c>
      <c r="AAC11" s="20" t="s">
        <v>10</v>
      </c>
      <c r="AAD11" s="20" t="s">
        <v>22</v>
      </c>
      <c r="AAE11" s="32">
        <v>0</v>
      </c>
      <c r="AAF11" s="20">
        <v>9</v>
      </c>
      <c r="AAG11" s="20">
        <v>3</v>
      </c>
      <c r="AAH11" s="20" t="s">
        <v>209</v>
      </c>
      <c r="AAI11" s="20" t="s">
        <v>307</v>
      </c>
      <c r="AAJ11" s="20">
        <v>17</v>
      </c>
      <c r="AAK11" s="20">
        <v>17</v>
      </c>
      <c r="AAL11" s="20">
        <v>6</v>
      </c>
      <c r="AAM11" s="20">
        <v>16</v>
      </c>
      <c r="AAN11" s="20" t="s">
        <v>308</v>
      </c>
      <c r="AAO11" s="32">
        <v>0</v>
      </c>
      <c r="AAP11" s="20">
        <v>18</v>
      </c>
      <c r="AAQ11" s="20">
        <v>7</v>
      </c>
      <c r="AAR11" s="20" t="s">
        <v>261</v>
      </c>
      <c r="AAS11" s="20" t="s">
        <v>144</v>
      </c>
      <c r="AAT11" s="20">
        <v>27</v>
      </c>
      <c r="AAU11" s="20">
        <v>20</v>
      </c>
      <c r="AAV11" s="20">
        <v>11</v>
      </c>
      <c r="AAW11" s="20">
        <v>8</v>
      </c>
      <c r="AAX11" s="20" t="s">
        <v>306</v>
      </c>
      <c r="AAZ11" s="32">
        <v>1</v>
      </c>
      <c r="ABA11" s="32">
        <v>1</v>
      </c>
      <c r="ABB11" s="32">
        <v>1</v>
      </c>
      <c r="ABC11" s="32">
        <v>1</v>
      </c>
      <c r="ABD11" s="32">
        <v>1</v>
      </c>
      <c r="ABE11" s="32">
        <v>1</v>
      </c>
      <c r="ABF11" s="32">
        <v>1</v>
      </c>
      <c r="ABG11" s="32">
        <v>1</v>
      </c>
      <c r="ABK11" s="32">
        <v>5.56</v>
      </c>
      <c r="ABL11" s="32">
        <v>10</v>
      </c>
      <c r="ABO11" s="20">
        <v>7</v>
      </c>
      <c r="ABP11" s="20" t="s">
        <v>23</v>
      </c>
      <c r="ABQ11" s="20" t="s">
        <v>8</v>
      </c>
      <c r="ABR11" s="33">
        <v>1</v>
      </c>
      <c r="ABS11" s="20">
        <v>14</v>
      </c>
      <c r="ABT11" s="20">
        <v>4</v>
      </c>
      <c r="ABU11" s="20" t="s">
        <v>170</v>
      </c>
      <c r="ABV11" s="20" t="s">
        <v>142</v>
      </c>
      <c r="ABW11" s="20">
        <v>19</v>
      </c>
      <c r="ABX11" s="20">
        <v>18</v>
      </c>
      <c r="ABY11" s="20">
        <v>9</v>
      </c>
      <c r="ABZ11" s="20">
        <v>15</v>
      </c>
      <c r="ACA11" s="20" t="s">
        <v>302</v>
      </c>
      <c r="ACB11" s="34">
        <v>0</v>
      </c>
      <c r="ACC11" s="20">
        <v>3</v>
      </c>
      <c r="ACD11" s="20">
        <v>2</v>
      </c>
      <c r="ACE11" s="20" t="s">
        <v>192</v>
      </c>
      <c r="ACF11" s="20" t="s">
        <v>154</v>
      </c>
      <c r="ACG11" s="20">
        <v>22</v>
      </c>
      <c r="ACH11" s="20">
        <v>11</v>
      </c>
      <c r="ACI11" s="20">
        <v>5</v>
      </c>
      <c r="ACJ11" s="20">
        <v>12</v>
      </c>
      <c r="ACK11" s="20" t="s">
        <v>301</v>
      </c>
      <c r="ACM11" s="20">
        <v>1</v>
      </c>
      <c r="ACN11" s="20">
        <v>0</v>
      </c>
      <c r="ACO11" s="20">
        <v>0</v>
      </c>
      <c r="ACP11" s="20">
        <v>0</v>
      </c>
      <c r="ACQ11" s="20">
        <v>1</v>
      </c>
      <c r="ACR11" s="20">
        <v>1</v>
      </c>
      <c r="ACS11" s="20">
        <v>0</v>
      </c>
      <c r="ACT11" s="20">
        <v>0</v>
      </c>
      <c r="ACX11" s="20">
        <v>38.1</v>
      </c>
      <c r="ACY11" s="20">
        <v>3</v>
      </c>
    </row>
    <row r="12" spans="1:779" x14ac:dyDescent="0.3">
      <c r="A12" s="27"/>
      <c r="B12" s="20">
        <v>8</v>
      </c>
      <c r="C12" s="20" t="s">
        <v>5</v>
      </c>
      <c r="D12" s="20" t="s">
        <v>21</v>
      </c>
      <c r="E12" s="29">
        <v>5</v>
      </c>
      <c r="F12" s="20">
        <v>14</v>
      </c>
      <c r="G12" s="30">
        <v>9</v>
      </c>
      <c r="H12" s="27">
        <v>0.64290000000000003</v>
      </c>
      <c r="I12" s="28">
        <v>0.82</v>
      </c>
      <c r="J12" s="20">
        <v>22</v>
      </c>
      <c r="K12" s="20">
        <v>14</v>
      </c>
      <c r="L12" s="20">
        <v>13</v>
      </c>
      <c r="M12" s="30">
        <v>12</v>
      </c>
      <c r="N12" s="27">
        <v>0.44700000000000001</v>
      </c>
      <c r="O12" s="31">
        <v>2</v>
      </c>
      <c r="P12" s="20">
        <v>22</v>
      </c>
      <c r="Q12" s="30">
        <v>8</v>
      </c>
      <c r="R12" s="27">
        <v>0.36359999999999998</v>
      </c>
      <c r="S12" s="28">
        <v>0.83</v>
      </c>
      <c r="T12" s="20">
        <v>21</v>
      </c>
      <c r="U12" s="20">
        <v>4</v>
      </c>
      <c r="V12" s="20">
        <v>12</v>
      </c>
      <c r="W12" s="30">
        <v>11</v>
      </c>
      <c r="X12" s="27">
        <v>0.55300000000000005</v>
      </c>
      <c r="Z12" s="20">
        <v>1</v>
      </c>
      <c r="AA12" s="20">
        <v>1</v>
      </c>
      <c r="AB12" s="20">
        <v>0</v>
      </c>
      <c r="AC12" s="20">
        <v>1</v>
      </c>
      <c r="AD12" s="20">
        <v>1</v>
      </c>
      <c r="AE12" s="20">
        <v>1</v>
      </c>
      <c r="AF12" s="20">
        <v>0</v>
      </c>
      <c r="AG12" s="20">
        <v>0</v>
      </c>
      <c r="AK12" s="20">
        <v>27.92</v>
      </c>
      <c r="AL12" s="20">
        <v>1</v>
      </c>
      <c r="AM12" s="20"/>
      <c r="AN12" s="20"/>
      <c r="AO12" s="20">
        <v>8</v>
      </c>
      <c r="AP12" s="20" t="s">
        <v>6</v>
      </c>
      <c r="AQ12" s="20" t="s">
        <v>23</v>
      </c>
      <c r="AR12" s="33">
        <v>3</v>
      </c>
      <c r="AS12" s="30">
        <v>20</v>
      </c>
      <c r="AT12" s="30">
        <v>6</v>
      </c>
      <c r="AU12" s="27">
        <v>0.3</v>
      </c>
      <c r="AV12" s="28">
        <v>0.89</v>
      </c>
      <c r="AW12" s="20">
        <v>20</v>
      </c>
      <c r="AX12" s="20">
        <v>14</v>
      </c>
      <c r="AY12" s="30">
        <v>16</v>
      </c>
      <c r="AZ12" s="20">
        <v>4</v>
      </c>
      <c r="BA12" s="27">
        <v>0.58299999999999996</v>
      </c>
      <c r="BB12" s="34">
        <v>0</v>
      </c>
      <c r="BC12" s="20">
        <v>15</v>
      </c>
      <c r="BD12" s="20">
        <v>5</v>
      </c>
      <c r="BE12" s="20" t="s">
        <v>209</v>
      </c>
      <c r="BF12" s="20" t="s">
        <v>144</v>
      </c>
      <c r="BG12" s="20">
        <v>14</v>
      </c>
      <c r="BH12" s="20">
        <v>14</v>
      </c>
      <c r="BI12" s="20">
        <v>8</v>
      </c>
      <c r="BJ12" s="20">
        <v>17</v>
      </c>
      <c r="BK12" s="20" t="s">
        <v>325</v>
      </c>
      <c r="BM12" s="20">
        <v>1</v>
      </c>
      <c r="BN12" s="20">
        <v>0</v>
      </c>
      <c r="BO12" s="20">
        <v>1</v>
      </c>
      <c r="BP12" s="20">
        <v>1</v>
      </c>
      <c r="BQ12" s="20">
        <v>0</v>
      </c>
      <c r="BR12" s="20">
        <v>1</v>
      </c>
      <c r="BS12" s="20">
        <v>1</v>
      </c>
      <c r="BT12" s="20">
        <v>1</v>
      </c>
      <c r="BX12" s="20">
        <v>3.33</v>
      </c>
      <c r="BY12" s="20">
        <v>6</v>
      </c>
      <c r="BZ12" s="20"/>
      <c r="CA12" s="20"/>
      <c r="CB12" s="20">
        <v>8</v>
      </c>
      <c r="CC12" s="20" t="s">
        <v>13</v>
      </c>
      <c r="CD12" s="20" t="s">
        <v>7</v>
      </c>
      <c r="CE12" s="33">
        <v>2</v>
      </c>
      <c r="CF12" s="20">
        <v>7</v>
      </c>
      <c r="CG12" s="20">
        <v>3</v>
      </c>
      <c r="CH12" s="20" t="s">
        <v>207</v>
      </c>
      <c r="CI12" s="20" t="s">
        <v>154</v>
      </c>
      <c r="CJ12" s="20">
        <v>26</v>
      </c>
      <c r="CK12" s="20">
        <v>15</v>
      </c>
      <c r="CL12" s="20">
        <v>12</v>
      </c>
      <c r="CM12" s="20">
        <v>13</v>
      </c>
      <c r="CN12" s="20" t="s">
        <v>326</v>
      </c>
      <c r="CO12" s="34">
        <v>0</v>
      </c>
      <c r="CP12" s="20">
        <v>11</v>
      </c>
      <c r="CQ12" s="20">
        <v>1</v>
      </c>
      <c r="CR12" s="20" t="s">
        <v>264</v>
      </c>
      <c r="CS12" s="20" t="s">
        <v>144</v>
      </c>
      <c r="CT12" s="20">
        <v>23</v>
      </c>
      <c r="CU12" s="20">
        <v>18</v>
      </c>
      <c r="CV12" s="20">
        <v>11</v>
      </c>
      <c r="CW12" s="20">
        <v>17</v>
      </c>
      <c r="CX12" s="20" t="s">
        <v>327</v>
      </c>
      <c r="CZ12" s="20">
        <v>1</v>
      </c>
      <c r="DA12" s="20">
        <v>1</v>
      </c>
      <c r="DB12" s="20">
        <v>0</v>
      </c>
      <c r="DC12" s="20">
        <v>1</v>
      </c>
      <c r="DD12" s="20">
        <v>0</v>
      </c>
      <c r="DE12" s="20">
        <v>1</v>
      </c>
      <c r="DF12" s="20">
        <v>1</v>
      </c>
      <c r="DG12" s="20">
        <v>0</v>
      </c>
      <c r="DK12" s="20">
        <v>33.770000000000003</v>
      </c>
      <c r="DL12" s="20">
        <v>3</v>
      </c>
      <c r="DO12" s="20">
        <v>8</v>
      </c>
      <c r="DP12" s="20" t="s">
        <v>8</v>
      </c>
      <c r="DQ12" s="20" t="s">
        <v>10</v>
      </c>
      <c r="DR12" s="34">
        <v>1</v>
      </c>
      <c r="DS12" s="20">
        <v>12</v>
      </c>
      <c r="DT12" s="20">
        <v>3</v>
      </c>
      <c r="DU12" s="20" t="s">
        <v>131</v>
      </c>
      <c r="DV12" s="20" t="s">
        <v>151</v>
      </c>
      <c r="DW12" s="20">
        <v>19</v>
      </c>
      <c r="DX12" s="20">
        <v>9</v>
      </c>
      <c r="DY12" s="20">
        <v>3</v>
      </c>
      <c r="DZ12" s="20">
        <v>14</v>
      </c>
      <c r="EA12" s="20" t="s">
        <v>328</v>
      </c>
      <c r="EB12" s="33">
        <v>2</v>
      </c>
      <c r="EC12" s="20">
        <v>13</v>
      </c>
      <c r="ED12" s="20">
        <v>2</v>
      </c>
      <c r="EE12" s="20" t="s">
        <v>205</v>
      </c>
      <c r="EF12" s="20" t="s">
        <v>179</v>
      </c>
      <c r="EG12" s="20">
        <v>17</v>
      </c>
      <c r="EH12" s="20">
        <v>15</v>
      </c>
      <c r="EI12" s="20">
        <v>4</v>
      </c>
      <c r="EJ12" s="20">
        <v>12</v>
      </c>
      <c r="EK12" s="20" t="s">
        <v>329</v>
      </c>
      <c r="EM12" s="20">
        <v>0</v>
      </c>
      <c r="EN12" s="20">
        <v>0</v>
      </c>
      <c r="EO12" s="20">
        <v>1</v>
      </c>
      <c r="EP12" s="20">
        <v>0</v>
      </c>
      <c r="EQ12" s="20">
        <v>1</v>
      </c>
      <c r="ER12" s="20">
        <v>1</v>
      </c>
      <c r="ES12" s="20">
        <v>1</v>
      </c>
      <c r="ET12" s="20">
        <v>1</v>
      </c>
      <c r="EX12" s="20">
        <v>9.6199999999999992</v>
      </c>
      <c r="EY12" s="20">
        <v>2</v>
      </c>
      <c r="FB12" s="20">
        <v>8</v>
      </c>
      <c r="FC12" s="20" t="s">
        <v>16</v>
      </c>
      <c r="FD12" s="20" t="s">
        <v>9</v>
      </c>
      <c r="FE12" s="32">
        <v>2</v>
      </c>
      <c r="FF12" s="20">
        <v>7</v>
      </c>
      <c r="FG12" s="20">
        <v>2</v>
      </c>
      <c r="FH12" s="20" t="s">
        <v>170</v>
      </c>
      <c r="FI12" s="20" t="s">
        <v>147</v>
      </c>
      <c r="FJ12" s="20">
        <v>19</v>
      </c>
      <c r="FK12" s="20">
        <v>27</v>
      </c>
      <c r="FL12" s="20">
        <v>4</v>
      </c>
      <c r="FM12" s="20">
        <v>15</v>
      </c>
      <c r="FN12" s="20" t="s">
        <v>330</v>
      </c>
      <c r="FO12" s="32">
        <v>2</v>
      </c>
      <c r="FP12" s="20">
        <v>17</v>
      </c>
      <c r="FQ12" s="20">
        <v>3</v>
      </c>
      <c r="FR12" s="20" t="s">
        <v>221</v>
      </c>
      <c r="FS12" s="20" t="s">
        <v>129</v>
      </c>
      <c r="FT12" s="20">
        <v>30</v>
      </c>
      <c r="FU12" s="20">
        <v>16</v>
      </c>
      <c r="FV12" s="20">
        <v>12</v>
      </c>
      <c r="FW12" s="20">
        <v>11</v>
      </c>
      <c r="FX12" s="20" t="s">
        <v>331</v>
      </c>
      <c r="FZ12" s="32">
        <v>1</v>
      </c>
      <c r="GA12" s="32">
        <v>0</v>
      </c>
      <c r="GB12" s="32">
        <v>1</v>
      </c>
      <c r="GC12" s="32">
        <v>1</v>
      </c>
      <c r="GD12" s="32">
        <v>0</v>
      </c>
      <c r="GE12" s="32">
        <v>1</v>
      </c>
      <c r="GF12" s="32">
        <v>1</v>
      </c>
      <c r="GG12" s="32">
        <v>1</v>
      </c>
      <c r="GK12" s="32">
        <v>10.92</v>
      </c>
      <c r="GL12" s="32">
        <v>11</v>
      </c>
      <c r="GO12" s="20">
        <v>8</v>
      </c>
      <c r="GP12" s="20" t="s">
        <v>8</v>
      </c>
      <c r="GQ12" s="20" t="s">
        <v>10</v>
      </c>
      <c r="GR12" s="33">
        <v>2</v>
      </c>
      <c r="GS12" s="20">
        <v>13</v>
      </c>
      <c r="GT12" s="20">
        <v>2</v>
      </c>
      <c r="GU12" s="20" t="s">
        <v>205</v>
      </c>
      <c r="GV12" s="20" t="s">
        <v>179</v>
      </c>
      <c r="GW12" s="20">
        <v>17</v>
      </c>
      <c r="GX12" s="20">
        <v>15</v>
      </c>
      <c r="GY12" s="20">
        <v>4</v>
      </c>
      <c r="GZ12" s="20">
        <v>12</v>
      </c>
      <c r="HA12" s="20" t="s">
        <v>329</v>
      </c>
      <c r="HB12" s="34">
        <v>1</v>
      </c>
      <c r="HC12" s="20">
        <v>12</v>
      </c>
      <c r="HD12" s="20">
        <v>3</v>
      </c>
      <c r="HE12" s="20" t="s">
        <v>131</v>
      </c>
      <c r="HF12" s="20" t="s">
        <v>151</v>
      </c>
      <c r="HG12" s="20">
        <v>19</v>
      </c>
      <c r="HH12" s="20">
        <v>9</v>
      </c>
      <c r="HI12" s="20">
        <v>3</v>
      </c>
      <c r="HJ12" s="20">
        <v>14</v>
      </c>
      <c r="HK12" s="20" t="s">
        <v>328</v>
      </c>
      <c r="HM12" s="20">
        <v>0</v>
      </c>
      <c r="HN12" s="20">
        <v>0</v>
      </c>
      <c r="HO12" s="20">
        <v>1</v>
      </c>
      <c r="HP12" s="20">
        <v>0</v>
      </c>
      <c r="HQ12" s="20">
        <v>1</v>
      </c>
      <c r="HR12" s="20">
        <v>1</v>
      </c>
      <c r="HS12" s="20">
        <v>1</v>
      </c>
      <c r="HT12" s="20">
        <v>1</v>
      </c>
      <c r="HX12" s="20">
        <v>9.6199999999999992</v>
      </c>
      <c r="HY12" s="20">
        <v>2</v>
      </c>
      <c r="IB12" s="20">
        <v>8</v>
      </c>
      <c r="IC12" s="20" t="s">
        <v>19</v>
      </c>
      <c r="ID12" s="20" t="s">
        <v>11</v>
      </c>
      <c r="IE12" s="32">
        <v>1</v>
      </c>
      <c r="IF12" s="20">
        <v>15</v>
      </c>
      <c r="IG12" s="20">
        <v>5</v>
      </c>
      <c r="IH12" s="20" t="s">
        <v>209</v>
      </c>
      <c r="II12" s="20" t="s">
        <v>203</v>
      </c>
      <c r="IJ12" s="20">
        <v>20</v>
      </c>
      <c r="IK12" s="20">
        <v>15</v>
      </c>
      <c r="IL12" s="20">
        <v>12</v>
      </c>
      <c r="IM12" s="20">
        <v>15</v>
      </c>
      <c r="IN12" s="20" t="s">
        <v>332</v>
      </c>
      <c r="IO12" s="32">
        <v>1</v>
      </c>
      <c r="IP12" s="20">
        <v>14</v>
      </c>
      <c r="IQ12" s="20">
        <v>4</v>
      </c>
      <c r="IR12" s="20" t="s">
        <v>170</v>
      </c>
      <c r="IS12" s="20" t="s">
        <v>117</v>
      </c>
      <c r="IT12" s="20">
        <v>23</v>
      </c>
      <c r="IU12" s="20">
        <v>22</v>
      </c>
      <c r="IV12" s="20">
        <v>6</v>
      </c>
      <c r="IW12" s="20">
        <v>10</v>
      </c>
      <c r="IX12" s="20" t="s">
        <v>333</v>
      </c>
      <c r="IZ12" s="32">
        <v>1</v>
      </c>
      <c r="JA12" s="32">
        <v>1</v>
      </c>
      <c r="JB12" s="32">
        <v>1</v>
      </c>
      <c r="JC12" s="32">
        <v>0</v>
      </c>
      <c r="JD12" s="32">
        <v>0</v>
      </c>
      <c r="JE12" s="32">
        <v>1</v>
      </c>
      <c r="JF12" s="32">
        <v>0</v>
      </c>
      <c r="JG12" s="32">
        <v>1</v>
      </c>
      <c r="JK12" s="32">
        <v>4.76</v>
      </c>
      <c r="JL12" s="32">
        <v>3</v>
      </c>
      <c r="JO12" s="20">
        <v>8</v>
      </c>
      <c r="JP12" s="20" t="s">
        <v>17</v>
      </c>
      <c r="JQ12" s="20" t="s">
        <v>12</v>
      </c>
      <c r="JR12" s="34">
        <v>0</v>
      </c>
      <c r="JS12" s="20">
        <v>10</v>
      </c>
      <c r="JT12" s="20">
        <v>3</v>
      </c>
      <c r="JU12" s="20" t="s">
        <v>237</v>
      </c>
      <c r="JV12" s="20" t="s">
        <v>142</v>
      </c>
      <c r="JW12" s="20">
        <v>30</v>
      </c>
      <c r="JX12" s="20">
        <v>17</v>
      </c>
      <c r="JY12" s="20">
        <v>5</v>
      </c>
      <c r="JZ12" s="20">
        <v>14</v>
      </c>
      <c r="KA12" s="20" t="s">
        <v>334</v>
      </c>
      <c r="KB12" s="33">
        <v>3</v>
      </c>
      <c r="KC12" s="20">
        <v>7</v>
      </c>
      <c r="KD12" s="20">
        <v>3</v>
      </c>
      <c r="KE12" s="20" t="s">
        <v>207</v>
      </c>
      <c r="KF12" s="20" t="s">
        <v>171</v>
      </c>
      <c r="KG12" s="20">
        <v>22</v>
      </c>
      <c r="KH12" s="20">
        <v>11</v>
      </c>
      <c r="KI12" s="20">
        <v>10</v>
      </c>
      <c r="KJ12" s="20">
        <v>18</v>
      </c>
      <c r="KK12" s="20" t="s">
        <v>335</v>
      </c>
      <c r="KM12" s="20">
        <v>0</v>
      </c>
      <c r="KN12" s="20">
        <v>1</v>
      </c>
      <c r="KO12" s="20">
        <v>1</v>
      </c>
      <c r="KP12" s="20">
        <v>0</v>
      </c>
      <c r="KQ12" s="20">
        <v>0</v>
      </c>
      <c r="KR12" s="20">
        <v>1</v>
      </c>
      <c r="KS12" s="20">
        <v>0</v>
      </c>
      <c r="KT12" s="20">
        <v>0</v>
      </c>
      <c r="KX12" s="20">
        <v>12.86</v>
      </c>
      <c r="KY12" s="20">
        <v>8</v>
      </c>
      <c r="LB12" s="20">
        <v>8</v>
      </c>
      <c r="LC12" s="20" t="s">
        <v>13</v>
      </c>
      <c r="LD12" s="20" t="s">
        <v>7</v>
      </c>
      <c r="LE12" s="34">
        <v>0</v>
      </c>
      <c r="LF12" s="20">
        <v>11</v>
      </c>
      <c r="LG12" s="20">
        <v>1</v>
      </c>
      <c r="LH12" s="20" t="s">
        <v>264</v>
      </c>
      <c r="LI12" s="20" t="s">
        <v>144</v>
      </c>
      <c r="LJ12" s="20">
        <v>23</v>
      </c>
      <c r="LK12" s="20">
        <v>18</v>
      </c>
      <c r="LL12" s="20">
        <v>11</v>
      </c>
      <c r="LM12" s="20">
        <v>17</v>
      </c>
      <c r="LN12" s="20" t="s">
        <v>327</v>
      </c>
      <c r="LO12" s="33">
        <v>2</v>
      </c>
      <c r="LP12" s="20">
        <v>7</v>
      </c>
      <c r="LQ12" s="20">
        <v>3</v>
      </c>
      <c r="LR12" s="20" t="s">
        <v>207</v>
      </c>
      <c r="LS12" s="20" t="s">
        <v>154</v>
      </c>
      <c r="LT12" s="20">
        <v>26</v>
      </c>
      <c r="LU12" s="20">
        <v>15</v>
      </c>
      <c r="LV12" s="20">
        <v>12</v>
      </c>
      <c r="LW12" s="20">
        <v>13</v>
      </c>
      <c r="LX12" s="20" t="s">
        <v>326</v>
      </c>
      <c r="LZ12" s="20">
        <v>1</v>
      </c>
      <c r="MA12" s="20">
        <v>1</v>
      </c>
      <c r="MB12" s="20">
        <v>0</v>
      </c>
      <c r="MC12" s="20">
        <v>1</v>
      </c>
      <c r="MD12" s="20">
        <v>0</v>
      </c>
      <c r="ME12" s="20">
        <v>1</v>
      </c>
      <c r="MF12" s="20">
        <v>1</v>
      </c>
      <c r="MG12" s="20">
        <v>0</v>
      </c>
      <c r="MK12" s="20">
        <v>33.770000000000003</v>
      </c>
      <c r="ML12" s="20">
        <v>3</v>
      </c>
      <c r="MO12" s="20">
        <v>8</v>
      </c>
      <c r="MP12" s="20" t="s">
        <v>14</v>
      </c>
      <c r="MQ12" s="20" t="s">
        <v>18</v>
      </c>
      <c r="MR12" s="34">
        <v>1</v>
      </c>
      <c r="MS12" s="20">
        <v>21</v>
      </c>
      <c r="MT12" s="20">
        <v>6</v>
      </c>
      <c r="MU12" s="20" t="s">
        <v>170</v>
      </c>
      <c r="MV12" s="20" t="s">
        <v>134</v>
      </c>
      <c r="MW12" s="20">
        <v>21</v>
      </c>
      <c r="MX12" s="20">
        <v>15</v>
      </c>
      <c r="MY12" s="20">
        <v>14</v>
      </c>
      <c r="MZ12" s="20">
        <v>12</v>
      </c>
      <c r="NA12" s="20" t="s">
        <v>336</v>
      </c>
      <c r="NB12" s="33">
        <v>3</v>
      </c>
      <c r="NC12" s="20">
        <v>13</v>
      </c>
      <c r="ND12" s="20">
        <v>4</v>
      </c>
      <c r="NE12" s="20" t="s">
        <v>337</v>
      </c>
      <c r="NF12" s="20" t="s">
        <v>219</v>
      </c>
      <c r="NG12" s="20">
        <v>19</v>
      </c>
      <c r="NH12" s="20">
        <v>9</v>
      </c>
      <c r="NI12" s="20">
        <v>9</v>
      </c>
      <c r="NJ12" s="20">
        <v>15</v>
      </c>
      <c r="NK12" s="20" t="s">
        <v>338</v>
      </c>
      <c r="NM12" s="20">
        <v>0</v>
      </c>
      <c r="NN12" s="20">
        <v>1</v>
      </c>
      <c r="NO12" s="20">
        <v>0</v>
      </c>
      <c r="NP12" s="20">
        <v>0</v>
      </c>
      <c r="NQ12" s="20">
        <v>0</v>
      </c>
      <c r="NR12" s="20">
        <v>0</v>
      </c>
      <c r="NS12" s="20">
        <v>0</v>
      </c>
      <c r="NT12" s="20">
        <v>0</v>
      </c>
      <c r="NX12" s="20">
        <v>2.2000000000000002</v>
      </c>
      <c r="NY12" s="20">
        <v>2</v>
      </c>
      <c r="OB12" s="20">
        <v>8</v>
      </c>
      <c r="OC12" s="20" t="s">
        <v>22</v>
      </c>
      <c r="OD12" s="20" t="s">
        <v>15</v>
      </c>
      <c r="OE12" s="34">
        <v>0</v>
      </c>
      <c r="OF12" s="20">
        <v>16</v>
      </c>
      <c r="OG12" s="20">
        <v>3</v>
      </c>
      <c r="OH12" s="20" t="s">
        <v>339</v>
      </c>
      <c r="OI12" s="20" t="s">
        <v>136</v>
      </c>
      <c r="OJ12" s="20">
        <v>17</v>
      </c>
      <c r="OK12" s="20">
        <v>10</v>
      </c>
      <c r="OL12" s="20">
        <v>12</v>
      </c>
      <c r="OM12" s="20">
        <v>11</v>
      </c>
      <c r="ON12" s="20" t="s">
        <v>340</v>
      </c>
      <c r="OO12" s="33">
        <v>4</v>
      </c>
      <c r="OP12" s="20">
        <v>14</v>
      </c>
      <c r="OQ12" s="20">
        <v>7</v>
      </c>
      <c r="OR12" s="20" t="s">
        <v>125</v>
      </c>
      <c r="OS12" s="20" t="s">
        <v>134</v>
      </c>
      <c r="OT12" s="20">
        <v>19</v>
      </c>
      <c r="OU12" s="20">
        <v>11</v>
      </c>
      <c r="OV12" s="20">
        <v>9</v>
      </c>
      <c r="OW12" s="20">
        <v>13</v>
      </c>
      <c r="OX12" s="20" t="s">
        <v>341</v>
      </c>
      <c r="OZ12" s="20">
        <v>1</v>
      </c>
      <c r="PA12" s="20">
        <v>1</v>
      </c>
      <c r="PB12" s="20">
        <v>0</v>
      </c>
      <c r="PC12" s="20">
        <v>1</v>
      </c>
      <c r="PD12" s="20">
        <v>1</v>
      </c>
      <c r="PE12" s="20">
        <v>0</v>
      </c>
      <c r="PF12" s="20">
        <v>0</v>
      </c>
      <c r="PG12" s="20">
        <v>0</v>
      </c>
      <c r="PK12" s="20">
        <v>31.25</v>
      </c>
      <c r="PL12" s="20">
        <v>2</v>
      </c>
      <c r="PO12" s="20">
        <v>8</v>
      </c>
      <c r="PP12" s="20" t="s">
        <v>17</v>
      </c>
      <c r="PQ12" s="20" t="s">
        <v>12</v>
      </c>
      <c r="PR12" s="33">
        <v>3</v>
      </c>
      <c r="PS12" s="20">
        <v>7</v>
      </c>
      <c r="PT12" s="20">
        <v>3</v>
      </c>
      <c r="PU12" s="20" t="s">
        <v>207</v>
      </c>
      <c r="PV12" s="20" t="s">
        <v>171</v>
      </c>
      <c r="PW12" s="20">
        <v>22</v>
      </c>
      <c r="PX12" s="20">
        <v>11</v>
      </c>
      <c r="PY12" s="20">
        <v>10</v>
      </c>
      <c r="PZ12" s="20">
        <v>18</v>
      </c>
      <c r="QA12" s="20" t="s">
        <v>335</v>
      </c>
      <c r="QB12" s="34">
        <v>0</v>
      </c>
      <c r="QC12" s="20">
        <v>10</v>
      </c>
      <c r="QD12" s="20">
        <v>3</v>
      </c>
      <c r="QE12" s="20" t="s">
        <v>237</v>
      </c>
      <c r="QF12" s="20" t="s">
        <v>142</v>
      </c>
      <c r="QG12" s="20">
        <v>30</v>
      </c>
      <c r="QH12" s="20">
        <v>17</v>
      </c>
      <c r="QI12" s="20">
        <v>5</v>
      </c>
      <c r="QJ12" s="20">
        <v>14</v>
      </c>
      <c r="QK12" s="20" t="s">
        <v>334</v>
      </c>
      <c r="QM12" s="20">
        <v>0</v>
      </c>
      <c r="QN12" s="20">
        <v>1</v>
      </c>
      <c r="QO12" s="20">
        <v>1</v>
      </c>
      <c r="QP12" s="20">
        <v>0</v>
      </c>
      <c r="QQ12" s="20">
        <v>0</v>
      </c>
      <c r="QR12" s="20">
        <v>1</v>
      </c>
      <c r="QS12" s="20">
        <v>0</v>
      </c>
      <c r="QT12" s="20">
        <v>0</v>
      </c>
      <c r="QX12" s="20">
        <v>12.86</v>
      </c>
      <c r="QY12" s="20">
        <v>8</v>
      </c>
      <c r="RB12" s="20">
        <v>8</v>
      </c>
      <c r="RC12" s="20" t="s">
        <v>14</v>
      </c>
      <c r="RD12" s="20" t="s">
        <v>18</v>
      </c>
      <c r="RE12" s="33">
        <v>3</v>
      </c>
      <c r="RF12" s="20">
        <v>13</v>
      </c>
      <c r="RG12" s="20">
        <v>4</v>
      </c>
      <c r="RH12" s="20" t="s">
        <v>337</v>
      </c>
      <c r="RI12" s="20" t="s">
        <v>219</v>
      </c>
      <c r="RJ12" s="20">
        <v>19</v>
      </c>
      <c r="RK12" s="20">
        <v>9</v>
      </c>
      <c r="RL12" s="20">
        <v>9</v>
      </c>
      <c r="RM12" s="20">
        <v>15</v>
      </c>
      <c r="RN12" s="20" t="s">
        <v>338</v>
      </c>
      <c r="RO12" s="34">
        <v>1</v>
      </c>
      <c r="RP12" s="20">
        <v>21</v>
      </c>
      <c r="RQ12" s="20">
        <v>6</v>
      </c>
      <c r="RR12" s="20" t="s">
        <v>170</v>
      </c>
      <c r="RS12" s="20" t="s">
        <v>134</v>
      </c>
      <c r="RT12" s="20">
        <v>21</v>
      </c>
      <c r="RU12" s="20">
        <v>15</v>
      </c>
      <c r="RV12" s="20">
        <v>14</v>
      </c>
      <c r="RW12" s="20">
        <v>12</v>
      </c>
      <c r="RX12" s="20" t="s">
        <v>336</v>
      </c>
      <c r="RZ12" s="20">
        <v>0</v>
      </c>
      <c r="SA12" s="20">
        <v>1</v>
      </c>
      <c r="SB12" s="20">
        <v>0</v>
      </c>
      <c r="SC12" s="20">
        <v>0</v>
      </c>
      <c r="SD12" s="20">
        <v>0</v>
      </c>
      <c r="SE12" s="20">
        <v>0</v>
      </c>
      <c r="SF12" s="20">
        <v>0</v>
      </c>
      <c r="SG12" s="20">
        <v>0</v>
      </c>
      <c r="SK12" s="20">
        <v>2.2000000000000002</v>
      </c>
      <c r="SL12" s="20">
        <v>2</v>
      </c>
      <c r="SO12" s="20">
        <v>8</v>
      </c>
      <c r="SP12" s="20" t="s">
        <v>19</v>
      </c>
      <c r="SQ12" s="20" t="s">
        <v>11</v>
      </c>
      <c r="SR12" s="32">
        <v>1</v>
      </c>
      <c r="SS12" s="20">
        <v>14</v>
      </c>
      <c r="ST12" s="20">
        <v>4</v>
      </c>
      <c r="SU12" s="20" t="s">
        <v>170</v>
      </c>
      <c r="SV12" s="20" t="s">
        <v>117</v>
      </c>
      <c r="SW12" s="20">
        <v>23</v>
      </c>
      <c r="SX12" s="20">
        <v>22</v>
      </c>
      <c r="SY12" s="20">
        <v>6</v>
      </c>
      <c r="SZ12" s="20">
        <v>10</v>
      </c>
      <c r="TA12" s="20" t="s">
        <v>333</v>
      </c>
      <c r="TB12" s="32">
        <v>1</v>
      </c>
      <c r="TC12" s="20">
        <v>15</v>
      </c>
      <c r="TD12" s="20">
        <v>5</v>
      </c>
      <c r="TE12" s="20" t="s">
        <v>209</v>
      </c>
      <c r="TF12" s="20" t="s">
        <v>203</v>
      </c>
      <c r="TG12" s="20">
        <v>20</v>
      </c>
      <c r="TH12" s="20">
        <v>15</v>
      </c>
      <c r="TI12" s="20">
        <v>12</v>
      </c>
      <c r="TJ12" s="20">
        <v>15</v>
      </c>
      <c r="TK12" s="20" t="s">
        <v>332</v>
      </c>
      <c r="TM12" s="32">
        <v>1</v>
      </c>
      <c r="TN12" s="32">
        <v>1</v>
      </c>
      <c r="TO12" s="32">
        <v>1</v>
      </c>
      <c r="TP12" s="32">
        <v>0</v>
      </c>
      <c r="TQ12" s="32">
        <v>0</v>
      </c>
      <c r="TR12" s="32">
        <v>1</v>
      </c>
      <c r="TS12" s="32">
        <v>0</v>
      </c>
      <c r="TT12" s="32">
        <v>1</v>
      </c>
      <c r="TX12" s="32">
        <v>4.76</v>
      </c>
      <c r="TY12" s="32">
        <v>3</v>
      </c>
      <c r="UB12" s="20">
        <v>8</v>
      </c>
      <c r="UC12" s="20" t="s">
        <v>16</v>
      </c>
      <c r="UD12" s="20" t="s">
        <v>9</v>
      </c>
      <c r="UE12" s="32">
        <v>2</v>
      </c>
      <c r="UF12" s="20">
        <v>17</v>
      </c>
      <c r="UG12" s="20">
        <v>3</v>
      </c>
      <c r="UH12" s="20" t="s">
        <v>221</v>
      </c>
      <c r="UI12" s="20" t="s">
        <v>129</v>
      </c>
      <c r="UJ12" s="20">
        <v>30</v>
      </c>
      <c r="UK12" s="20">
        <v>16</v>
      </c>
      <c r="UL12" s="20">
        <v>12</v>
      </c>
      <c r="UM12" s="20">
        <v>11</v>
      </c>
      <c r="UN12" s="20" t="s">
        <v>331</v>
      </c>
      <c r="UO12" s="32">
        <v>2</v>
      </c>
      <c r="UP12" s="20">
        <v>7</v>
      </c>
      <c r="UQ12" s="20">
        <v>2</v>
      </c>
      <c r="UR12" s="20" t="s">
        <v>170</v>
      </c>
      <c r="US12" s="20" t="s">
        <v>147</v>
      </c>
      <c r="UT12" s="20">
        <v>19</v>
      </c>
      <c r="UU12" s="20">
        <v>27</v>
      </c>
      <c r="UV12" s="20">
        <v>4</v>
      </c>
      <c r="UW12" s="20">
        <v>15</v>
      </c>
      <c r="UX12" s="20" t="s">
        <v>330</v>
      </c>
      <c r="UZ12" s="32">
        <v>1</v>
      </c>
      <c r="VA12" s="32">
        <v>0</v>
      </c>
      <c r="VB12" s="32">
        <v>1</v>
      </c>
      <c r="VC12" s="32">
        <v>1</v>
      </c>
      <c r="VD12" s="32">
        <v>0</v>
      </c>
      <c r="VE12" s="32">
        <v>1</v>
      </c>
      <c r="VF12" s="32">
        <v>1</v>
      </c>
      <c r="VG12" s="32">
        <v>1</v>
      </c>
      <c r="VK12" s="32">
        <v>10.92</v>
      </c>
      <c r="VL12" s="32">
        <v>11</v>
      </c>
      <c r="VO12" s="20">
        <v>8</v>
      </c>
      <c r="VP12" s="20" t="s">
        <v>34</v>
      </c>
      <c r="VQ12" s="20" t="s">
        <v>20</v>
      </c>
      <c r="VR12" s="32">
        <v>3</v>
      </c>
      <c r="VS12" s="20">
        <v>14</v>
      </c>
      <c r="VT12" s="20">
        <v>7</v>
      </c>
      <c r="VU12" s="20" t="s">
        <v>125</v>
      </c>
      <c r="VV12" s="20" t="s">
        <v>126</v>
      </c>
      <c r="VW12" s="20">
        <v>31</v>
      </c>
      <c r="VX12" s="20">
        <v>19</v>
      </c>
      <c r="VY12" s="20">
        <v>9</v>
      </c>
      <c r="VZ12" s="20">
        <v>7</v>
      </c>
      <c r="WA12" s="20" t="s">
        <v>118</v>
      </c>
      <c r="WB12" s="32">
        <v>3</v>
      </c>
      <c r="WC12" s="20">
        <v>16</v>
      </c>
      <c r="WD12" s="20">
        <v>6</v>
      </c>
      <c r="WE12" s="20" t="s">
        <v>153</v>
      </c>
      <c r="WF12" s="20" t="s">
        <v>171</v>
      </c>
      <c r="WG12" s="20">
        <v>17</v>
      </c>
      <c r="WH12" s="20">
        <v>20</v>
      </c>
      <c r="WI12" s="20">
        <v>11</v>
      </c>
      <c r="WJ12" s="20">
        <v>16</v>
      </c>
      <c r="WK12" s="20" t="s">
        <v>135</v>
      </c>
      <c r="WM12" s="32">
        <v>0</v>
      </c>
      <c r="WN12" s="32">
        <v>0</v>
      </c>
      <c r="WO12" s="32">
        <v>1</v>
      </c>
      <c r="WP12" s="32">
        <v>0</v>
      </c>
      <c r="WQ12" s="32">
        <v>1</v>
      </c>
      <c r="WR12" s="32">
        <v>1</v>
      </c>
      <c r="WS12" s="32">
        <v>0</v>
      </c>
      <c r="WT12" s="32">
        <v>1</v>
      </c>
      <c r="WX12" s="32">
        <v>12.5</v>
      </c>
      <c r="WY12" s="32">
        <v>14</v>
      </c>
      <c r="XB12" s="20">
        <v>8</v>
      </c>
      <c r="XC12" s="20" t="s">
        <v>34</v>
      </c>
      <c r="XD12" s="20" t="s">
        <v>20</v>
      </c>
      <c r="XE12" s="32">
        <v>3</v>
      </c>
      <c r="XF12" s="20">
        <v>16</v>
      </c>
      <c r="XG12" s="20">
        <v>6</v>
      </c>
      <c r="XH12" s="20" t="s">
        <v>153</v>
      </c>
      <c r="XI12" s="20" t="s">
        <v>171</v>
      </c>
      <c r="XJ12" s="20">
        <v>17</v>
      </c>
      <c r="XK12" s="20">
        <v>20</v>
      </c>
      <c r="XL12" s="20">
        <v>11</v>
      </c>
      <c r="XM12" s="20">
        <v>16</v>
      </c>
      <c r="XN12" s="20" t="s">
        <v>135</v>
      </c>
      <c r="XO12" s="32">
        <v>3</v>
      </c>
      <c r="XP12" s="20">
        <v>14</v>
      </c>
      <c r="XQ12" s="20">
        <v>7</v>
      </c>
      <c r="XR12" s="20" t="s">
        <v>125</v>
      </c>
      <c r="XS12" s="20" t="s">
        <v>126</v>
      </c>
      <c r="XT12" s="20">
        <v>31</v>
      </c>
      <c r="XU12" s="20">
        <v>19</v>
      </c>
      <c r="XV12" s="20">
        <v>9</v>
      </c>
      <c r="XW12" s="20">
        <v>7</v>
      </c>
      <c r="XX12" s="20" t="s">
        <v>118</v>
      </c>
      <c r="XZ12" s="32">
        <v>0</v>
      </c>
      <c r="YA12" s="32">
        <v>0</v>
      </c>
      <c r="YB12" s="32">
        <v>1</v>
      </c>
      <c r="YC12" s="32">
        <v>0</v>
      </c>
      <c r="YD12" s="32">
        <v>1</v>
      </c>
      <c r="YE12" s="32">
        <v>1</v>
      </c>
      <c r="YF12" s="32">
        <v>0</v>
      </c>
      <c r="YG12" s="32">
        <v>1</v>
      </c>
      <c r="YK12" s="32">
        <v>12.5</v>
      </c>
      <c r="YL12" s="32">
        <v>14</v>
      </c>
      <c r="YO12" s="20">
        <v>8</v>
      </c>
      <c r="YP12" s="20" t="s">
        <v>5</v>
      </c>
      <c r="YQ12" s="20" t="s">
        <v>21</v>
      </c>
      <c r="YR12" s="34">
        <v>2</v>
      </c>
      <c r="YS12" s="20">
        <v>22</v>
      </c>
      <c r="YT12" s="20">
        <v>8</v>
      </c>
      <c r="YU12" s="20" t="s">
        <v>249</v>
      </c>
      <c r="YV12" s="20" t="s">
        <v>230</v>
      </c>
      <c r="YW12" s="20">
        <v>21</v>
      </c>
      <c r="YX12" s="20">
        <v>4</v>
      </c>
      <c r="YY12" s="20">
        <v>12</v>
      </c>
      <c r="YZ12" s="20">
        <v>11</v>
      </c>
      <c r="ZA12" s="20" t="s">
        <v>321</v>
      </c>
      <c r="ZB12" s="33">
        <v>5</v>
      </c>
      <c r="ZC12" s="20">
        <v>14</v>
      </c>
      <c r="ZD12" s="20">
        <v>9</v>
      </c>
      <c r="ZE12" s="20" t="s">
        <v>342</v>
      </c>
      <c r="ZF12" s="20" t="s">
        <v>168</v>
      </c>
      <c r="ZG12" s="20">
        <v>22</v>
      </c>
      <c r="ZH12" s="20">
        <v>14</v>
      </c>
      <c r="ZI12" s="20">
        <v>13</v>
      </c>
      <c r="ZJ12" s="20">
        <v>12</v>
      </c>
      <c r="ZK12" s="20" t="s">
        <v>322</v>
      </c>
      <c r="ZM12" s="20">
        <v>1</v>
      </c>
      <c r="ZN12" s="20">
        <v>1</v>
      </c>
      <c r="ZO12" s="20">
        <v>0</v>
      </c>
      <c r="ZP12" s="20">
        <v>1</v>
      </c>
      <c r="ZQ12" s="20">
        <v>1</v>
      </c>
      <c r="ZR12" s="20">
        <v>1</v>
      </c>
      <c r="ZS12" s="20">
        <v>0</v>
      </c>
      <c r="ZT12" s="20">
        <v>0</v>
      </c>
      <c r="ZX12" s="20">
        <v>27.92</v>
      </c>
      <c r="ZY12" s="20">
        <v>1</v>
      </c>
      <c r="AAB12" s="20">
        <v>8</v>
      </c>
      <c r="AAC12" s="20" t="s">
        <v>22</v>
      </c>
      <c r="AAD12" s="20" t="s">
        <v>15</v>
      </c>
      <c r="AAE12" s="33">
        <v>4</v>
      </c>
      <c r="AAF12" s="20">
        <v>14</v>
      </c>
      <c r="AAG12" s="20">
        <v>7</v>
      </c>
      <c r="AAH12" s="20" t="s">
        <v>125</v>
      </c>
      <c r="AAI12" s="20" t="s">
        <v>134</v>
      </c>
      <c r="AAJ12" s="20">
        <v>19</v>
      </c>
      <c r="AAK12" s="20">
        <v>11</v>
      </c>
      <c r="AAL12" s="20">
        <v>9</v>
      </c>
      <c r="AAM12" s="20">
        <v>13</v>
      </c>
      <c r="AAN12" s="20" t="s">
        <v>341</v>
      </c>
      <c r="AAO12" s="34">
        <v>0</v>
      </c>
      <c r="AAP12" s="20">
        <v>16</v>
      </c>
      <c r="AAQ12" s="20">
        <v>3</v>
      </c>
      <c r="AAR12" s="20" t="s">
        <v>339</v>
      </c>
      <c r="AAS12" s="20" t="s">
        <v>136</v>
      </c>
      <c r="AAT12" s="20">
        <v>17</v>
      </c>
      <c r="AAU12" s="20">
        <v>10</v>
      </c>
      <c r="AAV12" s="20">
        <v>12</v>
      </c>
      <c r="AAW12" s="20">
        <v>11</v>
      </c>
      <c r="AAX12" s="20" t="s">
        <v>340</v>
      </c>
      <c r="AAZ12" s="20">
        <v>1</v>
      </c>
      <c r="ABA12" s="20">
        <v>1</v>
      </c>
      <c r="ABB12" s="20">
        <v>0</v>
      </c>
      <c r="ABC12" s="20">
        <v>1</v>
      </c>
      <c r="ABD12" s="20">
        <v>1</v>
      </c>
      <c r="ABE12" s="20">
        <v>0</v>
      </c>
      <c r="ABF12" s="20">
        <v>0</v>
      </c>
      <c r="ABG12" s="20">
        <v>0</v>
      </c>
      <c r="ABK12" s="20">
        <v>31.25</v>
      </c>
      <c r="ABL12" s="20">
        <v>2</v>
      </c>
      <c r="ABO12" s="20">
        <v>8</v>
      </c>
      <c r="ABP12" s="20" t="s">
        <v>6</v>
      </c>
      <c r="ABQ12" s="20" t="s">
        <v>23</v>
      </c>
      <c r="ABR12" s="34">
        <v>0</v>
      </c>
      <c r="ABS12" s="20">
        <v>15</v>
      </c>
      <c r="ABT12" s="20">
        <v>5</v>
      </c>
      <c r="ABU12" s="20" t="s">
        <v>209</v>
      </c>
      <c r="ABV12" s="20" t="s">
        <v>144</v>
      </c>
      <c r="ABW12" s="20">
        <v>14</v>
      </c>
      <c r="ABX12" s="20">
        <v>14</v>
      </c>
      <c r="ABY12" s="20">
        <v>8</v>
      </c>
      <c r="ABZ12" s="20">
        <v>17</v>
      </c>
      <c r="ACA12" s="20" t="s">
        <v>325</v>
      </c>
      <c r="ACB12" s="33">
        <v>3</v>
      </c>
      <c r="ACC12" s="20">
        <v>20</v>
      </c>
      <c r="ACD12" s="20">
        <v>6</v>
      </c>
      <c r="ACE12" s="20" t="s">
        <v>237</v>
      </c>
      <c r="ACF12" s="20" t="s">
        <v>343</v>
      </c>
      <c r="ACG12" s="20">
        <v>20</v>
      </c>
      <c r="ACH12" s="20">
        <v>14</v>
      </c>
      <c r="ACI12" s="20">
        <v>16</v>
      </c>
      <c r="ACJ12" s="20">
        <v>4</v>
      </c>
      <c r="ACK12" s="20" t="s">
        <v>344</v>
      </c>
      <c r="ACM12" s="20">
        <v>1</v>
      </c>
      <c r="ACN12" s="20">
        <v>0</v>
      </c>
      <c r="ACO12" s="20">
        <v>1</v>
      </c>
      <c r="ACP12" s="20">
        <v>1</v>
      </c>
      <c r="ACQ12" s="20">
        <v>0</v>
      </c>
      <c r="ACR12" s="20">
        <v>1</v>
      </c>
      <c r="ACS12" s="20">
        <v>1</v>
      </c>
      <c r="ACT12" s="20">
        <v>1</v>
      </c>
      <c r="ACX12" s="20">
        <v>3.33</v>
      </c>
      <c r="ACY12" s="20">
        <v>6</v>
      </c>
    </row>
    <row r="13" spans="1:779" x14ac:dyDescent="0.3">
      <c r="A13" s="27"/>
      <c r="B13" s="20">
        <v>9</v>
      </c>
      <c r="C13" s="20" t="s">
        <v>5</v>
      </c>
      <c r="D13" s="20" t="s">
        <v>19</v>
      </c>
      <c r="E13" s="29">
        <v>3</v>
      </c>
      <c r="F13" s="20">
        <v>14</v>
      </c>
      <c r="G13" s="30">
        <v>5</v>
      </c>
      <c r="H13" s="27">
        <v>0.35709999999999997</v>
      </c>
      <c r="I13" s="28">
        <v>0.85</v>
      </c>
      <c r="J13" s="20">
        <v>17</v>
      </c>
      <c r="K13" s="20">
        <v>17</v>
      </c>
      <c r="L13" s="20">
        <v>14</v>
      </c>
      <c r="M13" s="30">
        <v>9</v>
      </c>
      <c r="N13" s="27">
        <v>0.69199999999999995</v>
      </c>
      <c r="O13" s="31">
        <v>1</v>
      </c>
      <c r="P13" s="20">
        <v>7</v>
      </c>
      <c r="Q13" s="30">
        <v>5</v>
      </c>
      <c r="R13" s="27">
        <v>0.71430000000000005</v>
      </c>
      <c r="S13" s="28">
        <v>0.62</v>
      </c>
      <c r="T13" s="20">
        <v>22</v>
      </c>
      <c r="U13" s="20">
        <v>12</v>
      </c>
      <c r="V13" s="20">
        <v>4</v>
      </c>
      <c r="W13" s="30">
        <v>11</v>
      </c>
      <c r="X13" s="27">
        <v>0.308</v>
      </c>
      <c r="Z13" s="20">
        <v>0</v>
      </c>
      <c r="AA13" s="20">
        <v>0</v>
      </c>
      <c r="AB13" s="20">
        <v>1</v>
      </c>
      <c r="AC13" s="20">
        <v>0</v>
      </c>
      <c r="AD13" s="20">
        <v>1</v>
      </c>
      <c r="AE13" s="20">
        <v>1</v>
      </c>
      <c r="AF13" s="20">
        <v>1</v>
      </c>
      <c r="AG13" s="20">
        <v>1</v>
      </c>
      <c r="AK13" s="20">
        <v>35.71</v>
      </c>
      <c r="AL13" s="20">
        <v>5</v>
      </c>
      <c r="AM13" s="20"/>
      <c r="AN13" s="20"/>
      <c r="AO13" s="20">
        <v>9</v>
      </c>
      <c r="AP13" s="20" t="s">
        <v>10</v>
      </c>
      <c r="AQ13" s="20" t="s">
        <v>6</v>
      </c>
      <c r="AR13" s="33">
        <v>3</v>
      </c>
      <c r="AS13" s="30">
        <v>14</v>
      </c>
      <c r="AT13" s="30">
        <v>8</v>
      </c>
      <c r="AU13" s="27">
        <v>0.57140000000000002</v>
      </c>
      <c r="AV13" s="28">
        <v>0.8</v>
      </c>
      <c r="AW13" s="20">
        <v>18</v>
      </c>
      <c r="AX13" s="20">
        <v>12</v>
      </c>
      <c r="AY13" s="30">
        <v>12</v>
      </c>
      <c r="AZ13" s="20">
        <v>9</v>
      </c>
      <c r="BA13" s="27">
        <v>0.495</v>
      </c>
      <c r="BB13" s="34">
        <v>1</v>
      </c>
      <c r="BC13" s="20">
        <v>17</v>
      </c>
      <c r="BD13" s="20">
        <v>7</v>
      </c>
      <c r="BE13" s="20" t="s">
        <v>166</v>
      </c>
      <c r="BF13" s="20" t="s">
        <v>120</v>
      </c>
      <c r="BG13" s="20">
        <v>12</v>
      </c>
      <c r="BH13" s="20">
        <v>16</v>
      </c>
      <c r="BI13" s="20">
        <v>10</v>
      </c>
      <c r="BJ13" s="20">
        <v>9</v>
      </c>
      <c r="BK13" s="20" t="s">
        <v>334</v>
      </c>
      <c r="BM13" s="20">
        <v>1</v>
      </c>
      <c r="BN13" s="20">
        <v>1</v>
      </c>
      <c r="BO13" s="20">
        <v>0</v>
      </c>
      <c r="BP13" s="20">
        <v>1</v>
      </c>
      <c r="BQ13" s="20">
        <v>0</v>
      </c>
      <c r="BR13" s="20">
        <v>1</v>
      </c>
      <c r="BS13" s="20">
        <v>1</v>
      </c>
      <c r="BT13" s="20">
        <v>0</v>
      </c>
      <c r="BX13" s="20">
        <v>15.97</v>
      </c>
      <c r="BY13" s="20">
        <v>6</v>
      </c>
      <c r="BZ13" s="20"/>
      <c r="CA13" s="20"/>
      <c r="CB13" s="20">
        <v>9</v>
      </c>
      <c r="CC13" s="20" t="s">
        <v>7</v>
      </c>
      <c r="CD13" s="20" t="s">
        <v>17</v>
      </c>
      <c r="CE13" s="33">
        <v>2</v>
      </c>
      <c r="CF13" s="20">
        <v>16</v>
      </c>
      <c r="CG13" s="20">
        <v>8</v>
      </c>
      <c r="CH13" s="20" t="s">
        <v>125</v>
      </c>
      <c r="CI13" s="20" t="s">
        <v>161</v>
      </c>
      <c r="CJ13" s="20">
        <v>32</v>
      </c>
      <c r="CK13" s="20">
        <v>20</v>
      </c>
      <c r="CL13" s="20">
        <v>10</v>
      </c>
      <c r="CM13" s="20">
        <v>16</v>
      </c>
      <c r="CN13" s="20" t="s">
        <v>345</v>
      </c>
      <c r="CO13" s="34">
        <v>1</v>
      </c>
      <c r="CP13" s="20">
        <v>6</v>
      </c>
      <c r="CQ13" s="20">
        <v>1</v>
      </c>
      <c r="CR13" s="20" t="s">
        <v>272</v>
      </c>
      <c r="CS13" s="20" t="s">
        <v>129</v>
      </c>
      <c r="CT13" s="20">
        <v>29</v>
      </c>
      <c r="CU13" s="20">
        <v>18</v>
      </c>
      <c r="CV13" s="20">
        <v>8</v>
      </c>
      <c r="CW13" s="20">
        <v>22</v>
      </c>
      <c r="CX13" s="20" t="s">
        <v>346</v>
      </c>
      <c r="CZ13" s="20">
        <v>1</v>
      </c>
      <c r="DA13" s="20">
        <v>1</v>
      </c>
      <c r="DB13" s="20">
        <v>0</v>
      </c>
      <c r="DC13" s="20">
        <v>1</v>
      </c>
      <c r="DD13" s="20">
        <v>1</v>
      </c>
      <c r="DE13" s="20">
        <v>1</v>
      </c>
      <c r="DF13" s="20">
        <v>1</v>
      </c>
      <c r="DG13" s="20">
        <v>0</v>
      </c>
      <c r="DK13" s="20">
        <v>33.33</v>
      </c>
      <c r="DL13" s="20">
        <v>3</v>
      </c>
      <c r="DO13" s="20">
        <v>9</v>
      </c>
      <c r="DP13" s="20" t="s">
        <v>15</v>
      </c>
      <c r="DQ13" s="20" t="s">
        <v>8</v>
      </c>
      <c r="DR13" s="32">
        <v>0</v>
      </c>
      <c r="DS13" s="20">
        <v>5</v>
      </c>
      <c r="DT13" s="20">
        <v>0</v>
      </c>
      <c r="DU13" s="20" t="s">
        <v>116</v>
      </c>
      <c r="DV13" s="20" t="s">
        <v>219</v>
      </c>
      <c r="DW13" s="20">
        <v>22</v>
      </c>
      <c r="DX13" s="20">
        <v>26</v>
      </c>
      <c r="DY13" s="20">
        <v>3</v>
      </c>
      <c r="DZ13" s="20">
        <v>15</v>
      </c>
      <c r="EA13" s="20" t="s">
        <v>187</v>
      </c>
      <c r="EB13" s="32">
        <v>0</v>
      </c>
      <c r="EC13" s="20">
        <v>6</v>
      </c>
      <c r="ED13" s="20">
        <v>2</v>
      </c>
      <c r="EE13" s="20" t="s">
        <v>209</v>
      </c>
      <c r="EF13" s="20" t="s">
        <v>129</v>
      </c>
      <c r="EG13" s="20">
        <v>18</v>
      </c>
      <c r="EH13" s="20">
        <v>14</v>
      </c>
      <c r="EI13" s="20">
        <v>11</v>
      </c>
      <c r="EJ13" s="20">
        <v>15</v>
      </c>
      <c r="EK13" s="20" t="s">
        <v>186</v>
      </c>
      <c r="EM13" s="32">
        <v>1</v>
      </c>
      <c r="EN13" s="32">
        <v>1</v>
      </c>
      <c r="EO13" s="32">
        <v>1</v>
      </c>
      <c r="EP13" s="32">
        <v>0</v>
      </c>
      <c r="EQ13" s="32">
        <v>0</v>
      </c>
      <c r="ER13" s="32">
        <v>1</v>
      </c>
      <c r="ES13" s="32">
        <v>0</v>
      </c>
      <c r="ET13" s="32">
        <v>1</v>
      </c>
      <c r="EX13" s="32">
        <v>33.33</v>
      </c>
      <c r="EY13" s="32">
        <v>4</v>
      </c>
      <c r="FB13" s="20">
        <v>9</v>
      </c>
      <c r="FC13" s="20" t="s">
        <v>9</v>
      </c>
      <c r="FD13" s="20" t="s">
        <v>34</v>
      </c>
      <c r="FE13" s="33">
        <v>3</v>
      </c>
      <c r="FF13" s="20">
        <v>20</v>
      </c>
      <c r="FG13" s="20">
        <v>6</v>
      </c>
      <c r="FH13" s="20" t="s">
        <v>237</v>
      </c>
      <c r="FI13" s="20" t="s">
        <v>161</v>
      </c>
      <c r="FJ13" s="20">
        <v>18</v>
      </c>
      <c r="FK13" s="20">
        <v>33</v>
      </c>
      <c r="FL13" s="20">
        <v>8</v>
      </c>
      <c r="FM13" s="20">
        <v>8</v>
      </c>
      <c r="FN13" s="20" t="s">
        <v>265</v>
      </c>
      <c r="FO13" s="34">
        <v>0</v>
      </c>
      <c r="FP13" s="20">
        <v>6</v>
      </c>
      <c r="FQ13" s="20">
        <v>0</v>
      </c>
      <c r="FR13" s="20" t="s">
        <v>116</v>
      </c>
      <c r="FS13" s="20" t="s">
        <v>161</v>
      </c>
      <c r="FT13" s="20">
        <v>12</v>
      </c>
      <c r="FU13" s="20">
        <v>15</v>
      </c>
      <c r="FV13" s="20">
        <v>6</v>
      </c>
      <c r="FW13" s="20">
        <v>13</v>
      </c>
      <c r="FX13" s="20" t="s">
        <v>263</v>
      </c>
      <c r="FZ13" s="20">
        <v>1</v>
      </c>
      <c r="GA13" s="20">
        <v>1</v>
      </c>
      <c r="GB13" s="20">
        <v>0</v>
      </c>
      <c r="GC13" s="20">
        <v>1</v>
      </c>
      <c r="GD13" s="20">
        <v>1</v>
      </c>
      <c r="GE13" s="20">
        <v>1</v>
      </c>
      <c r="GF13" s="20">
        <v>1</v>
      </c>
      <c r="GG13" s="20">
        <v>1</v>
      </c>
      <c r="GK13" s="20">
        <v>30</v>
      </c>
      <c r="GL13" s="20">
        <v>6</v>
      </c>
      <c r="GO13" s="20">
        <v>9</v>
      </c>
      <c r="GP13" s="20" t="s">
        <v>10</v>
      </c>
      <c r="GQ13" s="20" t="s">
        <v>6</v>
      </c>
      <c r="GR13" s="34">
        <v>1</v>
      </c>
      <c r="GS13" s="20">
        <v>17</v>
      </c>
      <c r="GT13" s="20">
        <v>7</v>
      </c>
      <c r="GU13" s="20" t="s">
        <v>166</v>
      </c>
      <c r="GV13" s="20" t="s">
        <v>120</v>
      </c>
      <c r="GW13" s="20">
        <v>12</v>
      </c>
      <c r="GX13" s="20">
        <v>16</v>
      </c>
      <c r="GY13" s="20">
        <v>10</v>
      </c>
      <c r="GZ13" s="20">
        <v>9</v>
      </c>
      <c r="HA13" s="20" t="s">
        <v>334</v>
      </c>
      <c r="HB13" s="33">
        <v>3</v>
      </c>
      <c r="HC13" s="20">
        <v>14</v>
      </c>
      <c r="HD13" s="20">
        <v>8</v>
      </c>
      <c r="HE13" s="20" t="s">
        <v>226</v>
      </c>
      <c r="HF13" s="20" t="s">
        <v>144</v>
      </c>
      <c r="HG13" s="20">
        <v>18</v>
      </c>
      <c r="HH13" s="20">
        <v>12</v>
      </c>
      <c r="HI13" s="20">
        <v>12</v>
      </c>
      <c r="HJ13" s="20">
        <v>9</v>
      </c>
      <c r="HK13" s="20" t="s">
        <v>335</v>
      </c>
      <c r="HM13" s="20">
        <v>1</v>
      </c>
      <c r="HN13" s="20">
        <v>1</v>
      </c>
      <c r="HO13" s="20">
        <v>0</v>
      </c>
      <c r="HP13" s="20">
        <v>1</v>
      </c>
      <c r="HQ13" s="20">
        <v>0</v>
      </c>
      <c r="HR13" s="20">
        <v>1</v>
      </c>
      <c r="HS13" s="20">
        <v>1</v>
      </c>
      <c r="HT13" s="20">
        <v>0</v>
      </c>
      <c r="HX13" s="20">
        <v>15.97</v>
      </c>
      <c r="HY13" s="20">
        <v>6</v>
      </c>
      <c r="IB13" s="20">
        <v>9</v>
      </c>
      <c r="IC13" s="20" t="s">
        <v>11</v>
      </c>
      <c r="ID13" s="20" t="s">
        <v>22</v>
      </c>
      <c r="IE13" s="33">
        <v>5</v>
      </c>
      <c r="IF13" s="20">
        <v>22</v>
      </c>
      <c r="IG13" s="20">
        <v>13</v>
      </c>
      <c r="IH13" s="20" t="s">
        <v>183</v>
      </c>
      <c r="II13" s="20" t="s">
        <v>343</v>
      </c>
      <c r="IJ13" s="20">
        <v>15</v>
      </c>
      <c r="IK13" s="20">
        <v>8</v>
      </c>
      <c r="IL13" s="20">
        <v>16</v>
      </c>
      <c r="IM13" s="20">
        <v>9</v>
      </c>
      <c r="IN13" s="20" t="s">
        <v>162</v>
      </c>
      <c r="IO13" s="34">
        <v>0</v>
      </c>
      <c r="IP13" s="20">
        <v>6</v>
      </c>
      <c r="IQ13" s="20">
        <v>0</v>
      </c>
      <c r="IR13" s="20" t="s">
        <v>116</v>
      </c>
      <c r="IS13" s="20" t="s">
        <v>134</v>
      </c>
      <c r="IT13" s="20">
        <v>19</v>
      </c>
      <c r="IU13" s="20">
        <v>12</v>
      </c>
      <c r="IV13" s="20">
        <v>5</v>
      </c>
      <c r="IW13" s="20">
        <v>10</v>
      </c>
      <c r="IX13" s="20" t="s">
        <v>160</v>
      </c>
      <c r="IZ13" s="20">
        <v>1</v>
      </c>
      <c r="JA13" s="20">
        <v>1</v>
      </c>
      <c r="JB13" s="20">
        <v>1</v>
      </c>
      <c r="JC13" s="20">
        <v>0</v>
      </c>
      <c r="JD13" s="20">
        <v>0</v>
      </c>
      <c r="JE13" s="20">
        <v>1</v>
      </c>
      <c r="JF13" s="20">
        <v>1</v>
      </c>
      <c r="JG13" s="20">
        <v>1</v>
      </c>
      <c r="JK13" s="20">
        <v>59.09</v>
      </c>
      <c r="JL13" s="20">
        <v>4</v>
      </c>
      <c r="JO13" s="20">
        <v>9</v>
      </c>
      <c r="JP13" s="20" t="s">
        <v>12</v>
      </c>
      <c r="JQ13" s="20" t="s">
        <v>16</v>
      </c>
      <c r="JR13" s="33">
        <v>2</v>
      </c>
      <c r="JS13" s="20">
        <v>9</v>
      </c>
      <c r="JT13" s="20">
        <v>4</v>
      </c>
      <c r="JU13" s="20" t="s">
        <v>197</v>
      </c>
      <c r="JV13" s="20" t="s">
        <v>123</v>
      </c>
      <c r="JW13" s="20">
        <v>22</v>
      </c>
      <c r="JX13" s="20">
        <v>12</v>
      </c>
      <c r="JY13" s="20">
        <v>10</v>
      </c>
      <c r="JZ13" s="20">
        <v>14</v>
      </c>
      <c r="KA13" s="20" t="s">
        <v>347</v>
      </c>
      <c r="KB13" s="34">
        <v>0</v>
      </c>
      <c r="KC13" s="20">
        <v>10</v>
      </c>
      <c r="KD13" s="20">
        <v>1</v>
      </c>
      <c r="KE13" s="20" t="s">
        <v>348</v>
      </c>
      <c r="KF13" s="20" t="s">
        <v>142</v>
      </c>
      <c r="KG13" s="20">
        <v>18</v>
      </c>
      <c r="KH13" s="20">
        <v>20</v>
      </c>
      <c r="KI13" s="20">
        <v>5</v>
      </c>
      <c r="KJ13" s="20">
        <v>18</v>
      </c>
      <c r="KK13" s="20" t="s">
        <v>349</v>
      </c>
      <c r="KM13" s="20">
        <v>1</v>
      </c>
      <c r="KN13" s="20">
        <v>1</v>
      </c>
      <c r="KO13" s="20">
        <v>1</v>
      </c>
      <c r="KP13" s="20">
        <v>1</v>
      </c>
      <c r="KQ13" s="20">
        <v>0</v>
      </c>
      <c r="KR13" s="20">
        <v>1</v>
      </c>
      <c r="KS13" s="20">
        <v>1</v>
      </c>
      <c r="KT13" s="20">
        <v>0</v>
      </c>
      <c r="KX13" s="20">
        <v>34.44</v>
      </c>
      <c r="KY13" s="20">
        <v>4</v>
      </c>
      <c r="LB13" s="20">
        <v>9</v>
      </c>
      <c r="LC13" s="20" t="s">
        <v>23</v>
      </c>
      <c r="LD13" s="20" t="s">
        <v>13</v>
      </c>
      <c r="LE13" s="33">
        <v>4</v>
      </c>
      <c r="LF13" s="20">
        <v>13</v>
      </c>
      <c r="LG13" s="20">
        <v>6</v>
      </c>
      <c r="LH13" s="20" t="s">
        <v>350</v>
      </c>
      <c r="LI13" s="20" t="s">
        <v>117</v>
      </c>
      <c r="LJ13" s="20">
        <v>28</v>
      </c>
      <c r="LK13" s="20">
        <v>28</v>
      </c>
      <c r="LL13" s="20">
        <v>7</v>
      </c>
      <c r="LM13" s="20">
        <v>4</v>
      </c>
      <c r="LN13" s="20" t="s">
        <v>351</v>
      </c>
      <c r="LO13" s="34">
        <v>0</v>
      </c>
      <c r="LP13" s="20">
        <v>13</v>
      </c>
      <c r="LQ13" s="20">
        <v>3</v>
      </c>
      <c r="LR13" s="20" t="s">
        <v>158</v>
      </c>
      <c r="LS13" s="20" t="s">
        <v>203</v>
      </c>
      <c r="LT13" s="20">
        <v>10</v>
      </c>
      <c r="LU13" s="20">
        <v>21</v>
      </c>
      <c r="LV13" s="20">
        <v>9</v>
      </c>
      <c r="LW13" s="20">
        <v>15</v>
      </c>
      <c r="LX13" s="20" t="s">
        <v>352</v>
      </c>
      <c r="LZ13" s="20">
        <v>1</v>
      </c>
      <c r="MA13" s="20">
        <v>1</v>
      </c>
      <c r="MB13" s="20">
        <v>0</v>
      </c>
      <c r="MC13" s="20">
        <v>1</v>
      </c>
      <c r="MD13" s="20">
        <v>1</v>
      </c>
      <c r="ME13" s="20">
        <v>0</v>
      </c>
      <c r="MF13" s="20">
        <v>1</v>
      </c>
      <c r="MG13" s="20">
        <v>0</v>
      </c>
      <c r="MK13" s="20">
        <v>23.08</v>
      </c>
      <c r="ML13" s="20">
        <v>18</v>
      </c>
      <c r="MO13" s="20">
        <v>9</v>
      </c>
      <c r="MP13" s="20" t="s">
        <v>20</v>
      </c>
      <c r="MQ13" s="20" t="s">
        <v>14</v>
      </c>
      <c r="MR13" s="32">
        <v>1</v>
      </c>
      <c r="MS13" s="20">
        <v>8</v>
      </c>
      <c r="MT13" s="20">
        <v>2</v>
      </c>
      <c r="MU13" s="20" t="s">
        <v>131</v>
      </c>
      <c r="MV13" s="20" t="s">
        <v>142</v>
      </c>
      <c r="MW13" s="20">
        <v>23</v>
      </c>
      <c r="MX13" s="20">
        <v>17</v>
      </c>
      <c r="MY13" s="20">
        <v>8</v>
      </c>
      <c r="MZ13" s="20">
        <v>19</v>
      </c>
      <c r="NA13" s="20" t="s">
        <v>222</v>
      </c>
      <c r="NB13" s="32">
        <v>1</v>
      </c>
      <c r="NC13" s="20">
        <v>17</v>
      </c>
      <c r="ND13" s="20">
        <v>6</v>
      </c>
      <c r="NE13" s="20" t="s">
        <v>243</v>
      </c>
      <c r="NF13" s="20" t="s">
        <v>283</v>
      </c>
      <c r="NG13" s="20">
        <v>31</v>
      </c>
      <c r="NH13" s="20">
        <v>23</v>
      </c>
      <c r="NI13" s="20">
        <v>6</v>
      </c>
      <c r="NJ13" s="20">
        <v>17</v>
      </c>
      <c r="NK13" s="20" t="s">
        <v>224</v>
      </c>
      <c r="NM13" s="32">
        <v>1</v>
      </c>
      <c r="NN13" s="32">
        <v>1</v>
      </c>
      <c r="NO13" s="32">
        <v>0</v>
      </c>
      <c r="NP13" s="32">
        <v>1</v>
      </c>
      <c r="NQ13" s="32">
        <v>1</v>
      </c>
      <c r="NR13" s="32">
        <v>0</v>
      </c>
      <c r="NS13" s="32">
        <v>1</v>
      </c>
      <c r="NT13" s="32">
        <v>0</v>
      </c>
      <c r="NX13" s="32">
        <v>10.29</v>
      </c>
      <c r="NY13" s="32">
        <v>8</v>
      </c>
      <c r="OB13" s="20">
        <v>9</v>
      </c>
      <c r="OC13" s="20" t="s">
        <v>15</v>
      </c>
      <c r="OD13" s="20" t="s">
        <v>8</v>
      </c>
      <c r="OE13" s="32">
        <v>0</v>
      </c>
      <c r="OF13" s="20">
        <v>6</v>
      </c>
      <c r="OG13" s="20">
        <v>2</v>
      </c>
      <c r="OH13" s="20" t="s">
        <v>209</v>
      </c>
      <c r="OI13" s="20" t="s">
        <v>129</v>
      </c>
      <c r="OJ13" s="20">
        <v>18</v>
      </c>
      <c r="OK13" s="20">
        <v>14</v>
      </c>
      <c r="OL13" s="20">
        <v>11</v>
      </c>
      <c r="OM13" s="20">
        <v>15</v>
      </c>
      <c r="ON13" s="20" t="s">
        <v>186</v>
      </c>
      <c r="OO13" s="32">
        <v>0</v>
      </c>
      <c r="OP13" s="20">
        <v>5</v>
      </c>
      <c r="OQ13" s="20">
        <v>0</v>
      </c>
      <c r="OR13" s="20" t="s">
        <v>116</v>
      </c>
      <c r="OS13" s="20" t="s">
        <v>219</v>
      </c>
      <c r="OT13" s="20">
        <v>22</v>
      </c>
      <c r="OU13" s="20">
        <v>26</v>
      </c>
      <c r="OV13" s="20">
        <v>3</v>
      </c>
      <c r="OW13" s="20">
        <v>15</v>
      </c>
      <c r="OX13" s="20" t="s">
        <v>187</v>
      </c>
      <c r="OZ13" s="32">
        <v>1</v>
      </c>
      <c r="PA13" s="32">
        <v>1</v>
      </c>
      <c r="PB13" s="32">
        <v>1</v>
      </c>
      <c r="PC13" s="32">
        <v>0</v>
      </c>
      <c r="PD13" s="32">
        <v>0</v>
      </c>
      <c r="PE13" s="32">
        <v>1</v>
      </c>
      <c r="PF13" s="32">
        <v>0</v>
      </c>
      <c r="PG13" s="32">
        <v>1</v>
      </c>
      <c r="PK13" s="32">
        <v>33.33</v>
      </c>
      <c r="PL13" s="32">
        <v>4</v>
      </c>
      <c r="PO13" s="20">
        <v>9</v>
      </c>
      <c r="PP13" s="20" t="s">
        <v>7</v>
      </c>
      <c r="PQ13" s="20" t="s">
        <v>17</v>
      </c>
      <c r="PR13" s="34">
        <v>1</v>
      </c>
      <c r="PS13" s="20">
        <v>6</v>
      </c>
      <c r="PT13" s="20">
        <v>1</v>
      </c>
      <c r="PU13" s="20" t="s">
        <v>272</v>
      </c>
      <c r="PV13" s="20" t="s">
        <v>129</v>
      </c>
      <c r="PW13" s="20">
        <v>29</v>
      </c>
      <c r="PX13" s="20">
        <v>18</v>
      </c>
      <c r="PY13" s="20">
        <v>8</v>
      </c>
      <c r="PZ13" s="20">
        <v>22</v>
      </c>
      <c r="QA13" s="20" t="s">
        <v>346</v>
      </c>
      <c r="QB13" s="33">
        <v>2</v>
      </c>
      <c r="QC13" s="20">
        <v>16</v>
      </c>
      <c r="QD13" s="20">
        <v>8</v>
      </c>
      <c r="QE13" s="20" t="s">
        <v>125</v>
      </c>
      <c r="QF13" s="20" t="s">
        <v>161</v>
      </c>
      <c r="QG13" s="20">
        <v>32</v>
      </c>
      <c r="QH13" s="20">
        <v>20</v>
      </c>
      <c r="QI13" s="20">
        <v>10</v>
      </c>
      <c r="QJ13" s="20">
        <v>16</v>
      </c>
      <c r="QK13" s="20" t="s">
        <v>345</v>
      </c>
      <c r="QM13" s="20">
        <v>1</v>
      </c>
      <c r="QN13" s="20">
        <v>1</v>
      </c>
      <c r="QO13" s="20">
        <v>0</v>
      </c>
      <c r="QP13" s="20">
        <v>1</v>
      </c>
      <c r="QQ13" s="20">
        <v>1</v>
      </c>
      <c r="QR13" s="20">
        <v>1</v>
      </c>
      <c r="QS13" s="20">
        <v>1</v>
      </c>
      <c r="QT13" s="20">
        <v>0</v>
      </c>
      <c r="QX13" s="20">
        <v>33.33</v>
      </c>
      <c r="QY13" s="20">
        <v>3</v>
      </c>
      <c r="RB13" s="20">
        <v>9</v>
      </c>
      <c r="RC13" s="20" t="s">
        <v>21</v>
      </c>
      <c r="RD13" s="20" t="s">
        <v>18</v>
      </c>
      <c r="RE13" s="34">
        <v>0</v>
      </c>
      <c r="RF13" s="20">
        <v>9</v>
      </c>
      <c r="RG13" s="20">
        <v>3</v>
      </c>
      <c r="RH13" s="20" t="s">
        <v>209</v>
      </c>
      <c r="RI13" s="20" t="s">
        <v>117</v>
      </c>
      <c r="RJ13" s="20">
        <v>22</v>
      </c>
      <c r="RK13" s="20">
        <v>9</v>
      </c>
      <c r="RL13" s="20">
        <v>3</v>
      </c>
      <c r="RM13" s="20">
        <v>13</v>
      </c>
      <c r="RN13" s="20" t="s">
        <v>229</v>
      </c>
      <c r="RO13" s="33">
        <v>3</v>
      </c>
      <c r="RP13" s="20">
        <v>13</v>
      </c>
      <c r="RQ13" s="20">
        <v>7</v>
      </c>
      <c r="RR13" s="20" t="s">
        <v>353</v>
      </c>
      <c r="RS13" s="20" t="s">
        <v>120</v>
      </c>
      <c r="RT13" s="20">
        <v>20</v>
      </c>
      <c r="RU13" s="20">
        <v>15</v>
      </c>
      <c r="RV13" s="20">
        <v>8</v>
      </c>
      <c r="RW13" s="20">
        <v>15</v>
      </c>
      <c r="RX13" s="20" t="s">
        <v>241</v>
      </c>
      <c r="RZ13" s="20">
        <v>1</v>
      </c>
      <c r="SA13" s="20">
        <v>1</v>
      </c>
      <c r="SB13" s="20">
        <v>1</v>
      </c>
      <c r="SC13" s="20">
        <v>0</v>
      </c>
      <c r="SD13" s="20">
        <v>1</v>
      </c>
      <c r="SE13" s="20">
        <v>1</v>
      </c>
      <c r="SF13" s="20">
        <v>0</v>
      </c>
      <c r="SG13" s="20">
        <v>1</v>
      </c>
      <c r="SK13" s="20">
        <v>20.51</v>
      </c>
      <c r="SL13" s="20">
        <v>2</v>
      </c>
      <c r="SO13" s="20">
        <v>9</v>
      </c>
      <c r="SP13" s="20" t="s">
        <v>5</v>
      </c>
      <c r="SQ13" s="20" t="s">
        <v>19</v>
      </c>
      <c r="SR13" s="34">
        <v>1</v>
      </c>
      <c r="SS13" s="20">
        <v>7</v>
      </c>
      <c r="ST13" s="20">
        <v>5</v>
      </c>
      <c r="SU13" s="20" t="s">
        <v>354</v>
      </c>
      <c r="SV13" s="20" t="s">
        <v>126</v>
      </c>
      <c r="SW13" s="20">
        <v>22</v>
      </c>
      <c r="SX13" s="20">
        <v>12</v>
      </c>
      <c r="SY13" s="20">
        <v>4</v>
      </c>
      <c r="SZ13" s="20">
        <v>11</v>
      </c>
      <c r="TA13" s="20" t="s">
        <v>355</v>
      </c>
      <c r="TB13" s="33">
        <v>3</v>
      </c>
      <c r="TC13" s="20">
        <v>14</v>
      </c>
      <c r="TD13" s="20">
        <v>5</v>
      </c>
      <c r="TE13" s="20" t="s">
        <v>297</v>
      </c>
      <c r="TF13" s="20" t="s">
        <v>258</v>
      </c>
      <c r="TG13" s="20">
        <v>17</v>
      </c>
      <c r="TH13" s="20">
        <v>17</v>
      </c>
      <c r="TI13" s="20">
        <v>14</v>
      </c>
      <c r="TJ13" s="20">
        <v>9</v>
      </c>
      <c r="TK13" s="20" t="s">
        <v>356</v>
      </c>
      <c r="TM13" s="20">
        <v>0</v>
      </c>
      <c r="TN13" s="20">
        <v>0</v>
      </c>
      <c r="TO13" s="20">
        <v>1</v>
      </c>
      <c r="TP13" s="20">
        <v>0</v>
      </c>
      <c r="TQ13" s="20">
        <v>1</v>
      </c>
      <c r="TR13" s="20">
        <v>1</v>
      </c>
      <c r="TS13" s="20">
        <v>1</v>
      </c>
      <c r="TT13" s="20">
        <v>1</v>
      </c>
      <c r="TX13" s="20">
        <v>35.71</v>
      </c>
      <c r="TY13" s="20">
        <v>5</v>
      </c>
      <c r="UB13" s="20">
        <v>9</v>
      </c>
      <c r="UC13" s="20" t="s">
        <v>12</v>
      </c>
      <c r="UD13" s="20" t="s">
        <v>16</v>
      </c>
      <c r="UE13" s="34">
        <v>0</v>
      </c>
      <c r="UF13" s="20">
        <v>10</v>
      </c>
      <c r="UG13" s="20">
        <v>1</v>
      </c>
      <c r="UH13" s="20" t="s">
        <v>348</v>
      </c>
      <c r="UI13" s="20" t="s">
        <v>142</v>
      </c>
      <c r="UJ13" s="20">
        <v>18</v>
      </c>
      <c r="UK13" s="20">
        <v>20</v>
      </c>
      <c r="UL13" s="20">
        <v>5</v>
      </c>
      <c r="UM13" s="20">
        <v>18</v>
      </c>
      <c r="UN13" s="20" t="s">
        <v>349</v>
      </c>
      <c r="UO13" s="33">
        <v>2</v>
      </c>
      <c r="UP13" s="20">
        <v>9</v>
      </c>
      <c r="UQ13" s="20">
        <v>4</v>
      </c>
      <c r="UR13" s="20" t="s">
        <v>197</v>
      </c>
      <c r="US13" s="20" t="s">
        <v>123</v>
      </c>
      <c r="UT13" s="20">
        <v>22</v>
      </c>
      <c r="UU13" s="20">
        <v>12</v>
      </c>
      <c r="UV13" s="20">
        <v>10</v>
      </c>
      <c r="UW13" s="20">
        <v>14</v>
      </c>
      <c r="UX13" s="20" t="s">
        <v>347</v>
      </c>
      <c r="UZ13" s="20">
        <v>1</v>
      </c>
      <c r="VA13" s="20">
        <v>1</v>
      </c>
      <c r="VB13" s="20">
        <v>1</v>
      </c>
      <c r="VC13" s="20">
        <v>1</v>
      </c>
      <c r="VD13" s="20">
        <v>0</v>
      </c>
      <c r="VE13" s="20">
        <v>1</v>
      </c>
      <c r="VF13" s="20">
        <v>1</v>
      </c>
      <c r="VG13" s="20">
        <v>0</v>
      </c>
      <c r="VK13" s="20">
        <v>34.44</v>
      </c>
      <c r="VL13" s="20">
        <v>4</v>
      </c>
      <c r="VO13" s="20">
        <v>9</v>
      </c>
      <c r="VP13" s="20" t="s">
        <v>20</v>
      </c>
      <c r="VQ13" s="20" t="s">
        <v>14</v>
      </c>
      <c r="VR13" s="32">
        <v>1</v>
      </c>
      <c r="VS13" s="20">
        <v>17</v>
      </c>
      <c r="VT13" s="20">
        <v>6</v>
      </c>
      <c r="VU13" s="20" t="s">
        <v>243</v>
      </c>
      <c r="VV13" s="20" t="s">
        <v>283</v>
      </c>
      <c r="VW13" s="20">
        <v>31</v>
      </c>
      <c r="VX13" s="20">
        <v>23</v>
      </c>
      <c r="VY13" s="20">
        <v>6</v>
      </c>
      <c r="VZ13" s="20">
        <v>17</v>
      </c>
      <c r="WA13" s="20" t="s">
        <v>224</v>
      </c>
      <c r="WB13" s="32">
        <v>1</v>
      </c>
      <c r="WC13" s="20">
        <v>8</v>
      </c>
      <c r="WD13" s="20">
        <v>2</v>
      </c>
      <c r="WE13" s="20" t="s">
        <v>131</v>
      </c>
      <c r="WF13" s="20" t="s">
        <v>142</v>
      </c>
      <c r="WG13" s="20">
        <v>23</v>
      </c>
      <c r="WH13" s="20">
        <v>17</v>
      </c>
      <c r="WI13" s="20">
        <v>8</v>
      </c>
      <c r="WJ13" s="20">
        <v>19</v>
      </c>
      <c r="WK13" s="20" t="s">
        <v>222</v>
      </c>
      <c r="WM13" s="32">
        <v>1</v>
      </c>
      <c r="WN13" s="32">
        <v>1</v>
      </c>
      <c r="WO13" s="32">
        <v>0</v>
      </c>
      <c r="WP13" s="32">
        <v>1</v>
      </c>
      <c r="WQ13" s="32">
        <v>1</v>
      </c>
      <c r="WR13" s="32">
        <v>0</v>
      </c>
      <c r="WS13" s="32">
        <v>1</v>
      </c>
      <c r="WT13" s="32">
        <v>0</v>
      </c>
      <c r="WX13" s="32">
        <v>10.29</v>
      </c>
      <c r="WY13" s="32">
        <v>8</v>
      </c>
      <c r="XB13" s="20">
        <v>9</v>
      </c>
      <c r="XC13" s="20" t="s">
        <v>9</v>
      </c>
      <c r="XD13" s="20" t="s">
        <v>34</v>
      </c>
      <c r="XE13" s="34">
        <v>0</v>
      </c>
      <c r="XF13" s="20">
        <v>6</v>
      </c>
      <c r="XG13" s="20">
        <v>0</v>
      </c>
      <c r="XH13" s="20" t="s">
        <v>116</v>
      </c>
      <c r="XI13" s="20" t="s">
        <v>161</v>
      </c>
      <c r="XJ13" s="20">
        <v>12</v>
      </c>
      <c r="XK13" s="20">
        <v>15</v>
      </c>
      <c r="XL13" s="20">
        <v>6</v>
      </c>
      <c r="XM13" s="20">
        <v>13</v>
      </c>
      <c r="XN13" s="20" t="s">
        <v>263</v>
      </c>
      <c r="XO13" s="33">
        <v>3</v>
      </c>
      <c r="XP13" s="20">
        <v>20</v>
      </c>
      <c r="XQ13" s="20">
        <v>6</v>
      </c>
      <c r="XR13" s="20" t="s">
        <v>237</v>
      </c>
      <c r="XS13" s="20" t="s">
        <v>161</v>
      </c>
      <c r="XT13" s="20">
        <v>18</v>
      </c>
      <c r="XU13" s="20">
        <v>33</v>
      </c>
      <c r="XV13" s="20">
        <v>8</v>
      </c>
      <c r="XW13" s="20">
        <v>8</v>
      </c>
      <c r="XX13" s="20" t="s">
        <v>265</v>
      </c>
      <c r="XZ13" s="20">
        <v>1</v>
      </c>
      <c r="YA13" s="20">
        <v>1</v>
      </c>
      <c r="YB13" s="20">
        <v>0</v>
      </c>
      <c r="YC13" s="20">
        <v>1</v>
      </c>
      <c r="YD13" s="20">
        <v>1</v>
      </c>
      <c r="YE13" s="20">
        <v>1</v>
      </c>
      <c r="YF13" s="20">
        <v>1</v>
      </c>
      <c r="YG13" s="20">
        <v>1</v>
      </c>
      <c r="YK13" s="20">
        <v>30</v>
      </c>
      <c r="YL13" s="20">
        <v>6</v>
      </c>
      <c r="YO13" s="20">
        <v>9</v>
      </c>
      <c r="YP13" s="20" t="s">
        <v>21</v>
      </c>
      <c r="YQ13" s="20" t="s">
        <v>18</v>
      </c>
      <c r="YR13" s="33">
        <v>3</v>
      </c>
      <c r="YS13" s="20">
        <v>13</v>
      </c>
      <c r="YT13" s="20">
        <v>7</v>
      </c>
      <c r="YU13" s="20" t="s">
        <v>353</v>
      </c>
      <c r="YV13" s="20" t="s">
        <v>120</v>
      </c>
      <c r="YW13" s="20">
        <v>20</v>
      </c>
      <c r="YX13" s="20">
        <v>15</v>
      </c>
      <c r="YY13" s="20">
        <v>8</v>
      </c>
      <c r="YZ13" s="20">
        <v>15</v>
      </c>
      <c r="ZA13" s="20" t="s">
        <v>241</v>
      </c>
      <c r="ZB13" s="34">
        <v>0</v>
      </c>
      <c r="ZC13" s="20">
        <v>9</v>
      </c>
      <c r="ZD13" s="20">
        <v>3</v>
      </c>
      <c r="ZE13" s="20" t="s">
        <v>209</v>
      </c>
      <c r="ZF13" s="20" t="s">
        <v>117</v>
      </c>
      <c r="ZG13" s="20">
        <v>22</v>
      </c>
      <c r="ZH13" s="20">
        <v>9</v>
      </c>
      <c r="ZI13" s="20">
        <v>3</v>
      </c>
      <c r="ZJ13" s="20">
        <v>13</v>
      </c>
      <c r="ZK13" s="20" t="s">
        <v>229</v>
      </c>
      <c r="ZM13" s="20">
        <v>1</v>
      </c>
      <c r="ZN13" s="20">
        <v>1</v>
      </c>
      <c r="ZO13" s="20">
        <v>1</v>
      </c>
      <c r="ZP13" s="20">
        <v>0</v>
      </c>
      <c r="ZQ13" s="20">
        <v>1</v>
      </c>
      <c r="ZR13" s="20">
        <v>1</v>
      </c>
      <c r="ZS13" s="20">
        <v>0</v>
      </c>
      <c r="ZT13" s="20">
        <v>1</v>
      </c>
      <c r="ZX13" s="20">
        <v>20.51</v>
      </c>
      <c r="ZY13" s="20">
        <v>2</v>
      </c>
      <c r="AAB13" s="20">
        <v>9</v>
      </c>
      <c r="AAC13" s="20" t="s">
        <v>11</v>
      </c>
      <c r="AAD13" s="20" t="s">
        <v>22</v>
      </c>
      <c r="AAE13" s="34">
        <v>0</v>
      </c>
      <c r="AAF13" s="20">
        <v>6</v>
      </c>
      <c r="AAG13" s="20">
        <v>0</v>
      </c>
      <c r="AAH13" s="20" t="s">
        <v>116</v>
      </c>
      <c r="AAI13" s="20" t="s">
        <v>134</v>
      </c>
      <c r="AAJ13" s="20">
        <v>19</v>
      </c>
      <c r="AAK13" s="20">
        <v>12</v>
      </c>
      <c r="AAL13" s="20">
        <v>5</v>
      </c>
      <c r="AAM13" s="20">
        <v>10</v>
      </c>
      <c r="AAN13" s="20" t="s">
        <v>160</v>
      </c>
      <c r="AAO13" s="33">
        <v>5</v>
      </c>
      <c r="AAP13" s="20">
        <v>22</v>
      </c>
      <c r="AAQ13" s="20">
        <v>13</v>
      </c>
      <c r="AAR13" s="20" t="s">
        <v>183</v>
      </c>
      <c r="AAS13" s="20" t="s">
        <v>343</v>
      </c>
      <c r="AAT13" s="20">
        <v>15</v>
      </c>
      <c r="AAU13" s="20">
        <v>8</v>
      </c>
      <c r="AAV13" s="20">
        <v>16</v>
      </c>
      <c r="AAW13" s="20">
        <v>9</v>
      </c>
      <c r="AAX13" s="20" t="s">
        <v>162</v>
      </c>
      <c r="AAZ13" s="20">
        <v>1</v>
      </c>
      <c r="ABA13" s="20">
        <v>1</v>
      </c>
      <c r="ABB13" s="20">
        <v>1</v>
      </c>
      <c r="ABC13" s="20">
        <v>0</v>
      </c>
      <c r="ABD13" s="20">
        <v>0</v>
      </c>
      <c r="ABE13" s="20">
        <v>1</v>
      </c>
      <c r="ABF13" s="20">
        <v>1</v>
      </c>
      <c r="ABG13" s="20">
        <v>1</v>
      </c>
      <c r="ABK13" s="20">
        <v>59.09</v>
      </c>
      <c r="ABL13" s="20">
        <v>4</v>
      </c>
      <c r="ABO13" s="20">
        <v>9</v>
      </c>
      <c r="ABP13" s="20" t="s">
        <v>23</v>
      </c>
      <c r="ABQ13" s="20" t="s">
        <v>13</v>
      </c>
      <c r="ABR13" s="34">
        <v>0</v>
      </c>
      <c r="ABS13" s="20">
        <v>13</v>
      </c>
      <c r="ABT13" s="20">
        <v>3</v>
      </c>
      <c r="ABU13" s="20" t="s">
        <v>158</v>
      </c>
      <c r="ABV13" s="20" t="s">
        <v>203</v>
      </c>
      <c r="ABW13" s="20">
        <v>10</v>
      </c>
      <c r="ABX13" s="20">
        <v>21</v>
      </c>
      <c r="ABY13" s="20">
        <v>9</v>
      </c>
      <c r="ABZ13" s="20">
        <v>15</v>
      </c>
      <c r="ACA13" s="20" t="s">
        <v>352</v>
      </c>
      <c r="ACB13" s="33">
        <v>4</v>
      </c>
      <c r="ACC13" s="20">
        <v>13</v>
      </c>
      <c r="ACD13" s="20">
        <v>6</v>
      </c>
      <c r="ACE13" s="20" t="s">
        <v>350</v>
      </c>
      <c r="ACF13" s="20" t="s">
        <v>117</v>
      </c>
      <c r="ACG13" s="20">
        <v>28</v>
      </c>
      <c r="ACH13" s="20">
        <v>28</v>
      </c>
      <c r="ACI13" s="20">
        <v>7</v>
      </c>
      <c r="ACJ13" s="20">
        <v>4</v>
      </c>
      <c r="ACK13" s="20" t="s">
        <v>351</v>
      </c>
      <c r="ACM13" s="20">
        <v>1</v>
      </c>
      <c r="ACN13" s="20">
        <v>1</v>
      </c>
      <c r="ACO13" s="20">
        <v>0</v>
      </c>
      <c r="ACP13" s="20">
        <v>1</v>
      </c>
      <c r="ACQ13" s="20">
        <v>1</v>
      </c>
      <c r="ACR13" s="20">
        <v>0</v>
      </c>
      <c r="ACS13" s="20">
        <v>1</v>
      </c>
      <c r="ACT13" s="20">
        <v>0</v>
      </c>
      <c r="ACX13" s="20">
        <v>23.08</v>
      </c>
      <c r="ACY13" s="20">
        <v>18</v>
      </c>
    </row>
    <row r="14" spans="1:779" x14ac:dyDescent="0.3">
      <c r="A14" s="27">
        <f>E14/G14</f>
        <v>0.33333333333333331</v>
      </c>
      <c r="B14" s="20">
        <v>10</v>
      </c>
      <c r="C14" s="20" t="s">
        <v>22</v>
      </c>
      <c r="D14" s="20" t="s">
        <v>5</v>
      </c>
      <c r="E14" s="29">
        <v>2</v>
      </c>
      <c r="F14" s="20">
        <v>14</v>
      </c>
      <c r="G14" s="30">
        <v>6</v>
      </c>
      <c r="H14" s="27">
        <v>0.42859999999999998</v>
      </c>
      <c r="I14" s="28">
        <v>0.89</v>
      </c>
      <c r="J14" s="20">
        <v>18</v>
      </c>
      <c r="K14" s="20">
        <v>7</v>
      </c>
      <c r="L14" s="20">
        <v>17</v>
      </c>
      <c r="M14" s="30">
        <v>11</v>
      </c>
      <c r="N14" s="27">
        <v>0.71399999999999997</v>
      </c>
      <c r="O14" s="31">
        <v>0</v>
      </c>
      <c r="P14" s="20">
        <v>6</v>
      </c>
      <c r="Q14" s="30">
        <v>0</v>
      </c>
      <c r="R14" s="27">
        <v>0</v>
      </c>
      <c r="S14" s="28">
        <v>0.72</v>
      </c>
      <c r="T14" s="20">
        <v>17</v>
      </c>
      <c r="U14" s="20">
        <v>7</v>
      </c>
      <c r="V14" s="20">
        <v>10</v>
      </c>
      <c r="W14" s="30">
        <v>7</v>
      </c>
      <c r="X14" s="27">
        <v>0.28599999999999998</v>
      </c>
      <c r="Z14" s="20">
        <v>1</v>
      </c>
      <c r="AA14" s="20">
        <v>1</v>
      </c>
      <c r="AB14" s="20">
        <v>1</v>
      </c>
      <c r="AC14" s="20">
        <v>1</v>
      </c>
      <c r="AD14" s="20">
        <v>1</v>
      </c>
      <c r="AE14" s="20">
        <v>1</v>
      </c>
      <c r="AF14" s="20">
        <v>0</v>
      </c>
      <c r="AG14" s="20">
        <v>1</v>
      </c>
      <c r="AK14" s="20">
        <v>42.86</v>
      </c>
      <c r="AL14" s="20">
        <v>1</v>
      </c>
      <c r="AM14" s="20"/>
      <c r="AN14" s="20"/>
      <c r="AO14" s="20">
        <v>10</v>
      </c>
      <c r="AP14" s="20" t="s">
        <v>6</v>
      </c>
      <c r="AQ14" s="20" t="s">
        <v>15</v>
      </c>
      <c r="AR14" s="33">
        <v>3</v>
      </c>
      <c r="AS14" s="30">
        <v>17</v>
      </c>
      <c r="AT14" s="30">
        <v>11</v>
      </c>
      <c r="AU14" s="27">
        <v>0.64710000000000001</v>
      </c>
      <c r="AV14" s="28">
        <v>0.89</v>
      </c>
      <c r="AW14" s="20">
        <v>23</v>
      </c>
      <c r="AX14" s="20">
        <v>3</v>
      </c>
      <c r="AY14" s="30">
        <v>6</v>
      </c>
      <c r="AZ14" s="20">
        <v>10</v>
      </c>
      <c r="BA14" s="27">
        <v>0.52500000000000002</v>
      </c>
      <c r="BB14" s="34">
        <v>1</v>
      </c>
      <c r="BC14" s="20">
        <v>8</v>
      </c>
      <c r="BD14" s="20">
        <v>5</v>
      </c>
      <c r="BE14" s="20" t="s">
        <v>169</v>
      </c>
      <c r="BF14" s="20" t="s">
        <v>136</v>
      </c>
      <c r="BG14" s="20">
        <v>16</v>
      </c>
      <c r="BH14" s="20">
        <v>7</v>
      </c>
      <c r="BI14" s="20">
        <v>5</v>
      </c>
      <c r="BJ14" s="20">
        <v>17</v>
      </c>
      <c r="BK14" s="20" t="s">
        <v>357</v>
      </c>
      <c r="BM14" s="20">
        <v>1</v>
      </c>
      <c r="BN14" s="20">
        <v>1</v>
      </c>
      <c r="BO14" s="20">
        <v>1</v>
      </c>
      <c r="BP14" s="20">
        <v>1</v>
      </c>
      <c r="BQ14" s="20">
        <v>0</v>
      </c>
      <c r="BR14" s="20">
        <v>1</v>
      </c>
      <c r="BS14" s="20">
        <v>1</v>
      </c>
      <c r="BT14" s="20">
        <v>1</v>
      </c>
      <c r="BX14" s="20">
        <v>2.21</v>
      </c>
      <c r="BY14" s="20">
        <v>7</v>
      </c>
      <c r="BZ14" s="20"/>
      <c r="CA14" s="20"/>
      <c r="CB14" s="20">
        <v>10</v>
      </c>
      <c r="CC14" s="20" t="s">
        <v>16</v>
      </c>
      <c r="CD14" s="20" t="s">
        <v>7</v>
      </c>
      <c r="CE14" s="32">
        <v>1</v>
      </c>
      <c r="CF14" s="20">
        <v>12</v>
      </c>
      <c r="CG14" s="20">
        <v>3</v>
      </c>
      <c r="CH14" s="20" t="s">
        <v>131</v>
      </c>
      <c r="CI14" s="20" t="s">
        <v>168</v>
      </c>
      <c r="CJ14" s="20">
        <v>21</v>
      </c>
      <c r="CK14" s="20">
        <v>9</v>
      </c>
      <c r="CL14" s="20">
        <v>14</v>
      </c>
      <c r="CM14" s="20">
        <v>16</v>
      </c>
      <c r="CN14" s="20" t="s">
        <v>155</v>
      </c>
      <c r="CO14" s="32">
        <v>1</v>
      </c>
      <c r="CP14" s="20">
        <v>7</v>
      </c>
      <c r="CQ14" s="20">
        <v>3</v>
      </c>
      <c r="CR14" s="20" t="s">
        <v>207</v>
      </c>
      <c r="CS14" s="20" t="s">
        <v>171</v>
      </c>
      <c r="CT14" s="20">
        <v>26</v>
      </c>
      <c r="CU14" s="20">
        <v>18</v>
      </c>
      <c r="CV14" s="20">
        <v>12</v>
      </c>
      <c r="CW14" s="20">
        <v>8</v>
      </c>
      <c r="CX14" s="20" t="s">
        <v>152</v>
      </c>
      <c r="CZ14" s="32">
        <v>1</v>
      </c>
      <c r="DA14" s="32">
        <v>0</v>
      </c>
      <c r="DB14" s="32">
        <v>1</v>
      </c>
      <c r="DC14" s="32">
        <v>0</v>
      </c>
      <c r="DD14" s="32">
        <v>0</v>
      </c>
      <c r="DE14" s="32">
        <v>1</v>
      </c>
      <c r="DF14" s="32">
        <v>0</v>
      </c>
      <c r="DG14" s="32">
        <v>1</v>
      </c>
      <c r="DK14" s="32">
        <v>17.86</v>
      </c>
      <c r="DL14" s="32">
        <v>5</v>
      </c>
      <c r="DO14" s="20">
        <v>10</v>
      </c>
      <c r="DP14" s="20" t="s">
        <v>8</v>
      </c>
      <c r="DQ14" s="20" t="s">
        <v>11</v>
      </c>
      <c r="DR14" s="33">
        <v>2</v>
      </c>
      <c r="DS14" s="20">
        <v>11</v>
      </c>
      <c r="DT14" s="20">
        <v>5</v>
      </c>
      <c r="DU14" s="20" t="s">
        <v>358</v>
      </c>
      <c r="DV14" s="20" t="s">
        <v>129</v>
      </c>
      <c r="DW14" s="20">
        <v>9</v>
      </c>
      <c r="DX14" s="20">
        <v>13</v>
      </c>
      <c r="DY14" s="20">
        <v>7</v>
      </c>
      <c r="DZ14" s="20">
        <v>8</v>
      </c>
      <c r="EA14" s="20" t="s">
        <v>359</v>
      </c>
      <c r="EB14" s="34">
        <v>1</v>
      </c>
      <c r="EC14" s="20">
        <v>6</v>
      </c>
      <c r="ED14" s="20">
        <v>3</v>
      </c>
      <c r="EE14" s="20" t="s">
        <v>125</v>
      </c>
      <c r="EF14" s="20" t="s">
        <v>123</v>
      </c>
      <c r="EG14" s="20">
        <v>11</v>
      </c>
      <c r="EH14" s="20">
        <v>16</v>
      </c>
      <c r="EI14" s="20">
        <v>8</v>
      </c>
      <c r="EJ14" s="20">
        <v>4</v>
      </c>
      <c r="EK14" s="20" t="s">
        <v>360</v>
      </c>
      <c r="EM14" s="20">
        <v>1</v>
      </c>
      <c r="EN14" s="20">
        <v>0</v>
      </c>
      <c r="EO14" s="20">
        <v>1</v>
      </c>
      <c r="EP14" s="20">
        <v>0</v>
      </c>
      <c r="EQ14" s="20">
        <v>0</v>
      </c>
      <c r="ER14" s="20">
        <v>0</v>
      </c>
      <c r="ES14" s="20">
        <v>0</v>
      </c>
      <c r="ET14" s="20">
        <v>1</v>
      </c>
      <c r="EX14" s="20">
        <v>4.55</v>
      </c>
      <c r="EY14" s="20">
        <v>2</v>
      </c>
      <c r="FB14" s="20">
        <v>10</v>
      </c>
      <c r="FC14" s="20" t="s">
        <v>14</v>
      </c>
      <c r="FD14" s="20" t="s">
        <v>9</v>
      </c>
      <c r="FE14" s="33">
        <v>3</v>
      </c>
      <c r="FF14" s="20">
        <v>23</v>
      </c>
      <c r="FG14" s="20">
        <v>9</v>
      </c>
      <c r="FH14" s="20" t="s">
        <v>316</v>
      </c>
      <c r="FI14" s="20" t="s">
        <v>176</v>
      </c>
      <c r="FJ14" s="20">
        <v>26</v>
      </c>
      <c r="FK14" s="20">
        <v>22</v>
      </c>
      <c r="FL14" s="20">
        <v>12</v>
      </c>
      <c r="FM14" s="20">
        <v>15</v>
      </c>
      <c r="FN14" s="20" t="s">
        <v>357</v>
      </c>
      <c r="FO14" s="34">
        <v>1</v>
      </c>
      <c r="FP14" s="20">
        <v>11</v>
      </c>
      <c r="FQ14" s="20">
        <v>3</v>
      </c>
      <c r="FR14" s="20" t="s">
        <v>128</v>
      </c>
      <c r="FS14" s="20" t="s">
        <v>154</v>
      </c>
      <c r="FT14" s="20">
        <v>25</v>
      </c>
      <c r="FU14" s="20">
        <v>15</v>
      </c>
      <c r="FV14" s="20">
        <v>15</v>
      </c>
      <c r="FW14" s="20">
        <v>8</v>
      </c>
      <c r="FX14" s="20" t="s">
        <v>361</v>
      </c>
      <c r="FZ14" s="20">
        <v>1</v>
      </c>
      <c r="GA14" s="20">
        <v>1</v>
      </c>
      <c r="GB14" s="20">
        <v>0</v>
      </c>
      <c r="GC14" s="20">
        <v>1</v>
      </c>
      <c r="GD14" s="20">
        <v>1</v>
      </c>
      <c r="GE14" s="20">
        <v>0</v>
      </c>
      <c r="GF14" s="20">
        <v>0</v>
      </c>
      <c r="GG14" s="20">
        <v>0</v>
      </c>
      <c r="GK14" s="20">
        <v>11.86</v>
      </c>
      <c r="GL14" s="20">
        <v>1</v>
      </c>
      <c r="GO14" s="20">
        <v>10</v>
      </c>
      <c r="GP14" s="20" t="s">
        <v>13</v>
      </c>
      <c r="GQ14" s="20" t="s">
        <v>10</v>
      </c>
      <c r="GR14" s="33">
        <v>3</v>
      </c>
      <c r="GS14" s="20">
        <v>16</v>
      </c>
      <c r="GT14" s="20">
        <v>8</v>
      </c>
      <c r="GU14" s="20" t="s">
        <v>125</v>
      </c>
      <c r="GV14" s="20" t="s">
        <v>161</v>
      </c>
      <c r="GW14" s="20">
        <v>16</v>
      </c>
      <c r="GX14" s="20">
        <v>20</v>
      </c>
      <c r="GY14" s="20">
        <v>7</v>
      </c>
      <c r="GZ14" s="20">
        <v>11</v>
      </c>
      <c r="HA14" s="20" t="s">
        <v>362</v>
      </c>
      <c r="HB14" s="34">
        <v>2</v>
      </c>
      <c r="HC14" s="20">
        <v>20</v>
      </c>
      <c r="HD14" s="20">
        <v>5</v>
      </c>
      <c r="HE14" s="20" t="s">
        <v>131</v>
      </c>
      <c r="HF14" s="20" t="s">
        <v>280</v>
      </c>
      <c r="HG14" s="20">
        <v>21</v>
      </c>
      <c r="HH14" s="20">
        <v>23</v>
      </c>
      <c r="HI14" s="20">
        <v>4</v>
      </c>
      <c r="HJ14" s="20">
        <v>11</v>
      </c>
      <c r="HK14" s="20" t="s">
        <v>363</v>
      </c>
      <c r="HM14" s="20">
        <v>1</v>
      </c>
      <c r="HN14" s="20">
        <v>1</v>
      </c>
      <c r="HO14" s="20">
        <v>1</v>
      </c>
      <c r="HP14" s="20">
        <v>0</v>
      </c>
      <c r="HQ14" s="20">
        <v>0</v>
      </c>
      <c r="HR14" s="20">
        <v>1</v>
      </c>
      <c r="HS14" s="20">
        <v>1</v>
      </c>
      <c r="HT14" s="20">
        <v>1</v>
      </c>
      <c r="HX14" s="20">
        <v>25</v>
      </c>
      <c r="HY14" s="20">
        <v>5</v>
      </c>
      <c r="IB14" s="20">
        <v>10</v>
      </c>
      <c r="IC14" s="20" t="s">
        <v>8</v>
      </c>
      <c r="ID14" s="20" t="s">
        <v>11</v>
      </c>
      <c r="IE14" s="34">
        <v>1</v>
      </c>
      <c r="IF14" s="20">
        <v>6</v>
      </c>
      <c r="IG14" s="20">
        <v>3</v>
      </c>
      <c r="IH14" s="20" t="s">
        <v>125</v>
      </c>
      <c r="II14" s="20" t="s">
        <v>123</v>
      </c>
      <c r="IJ14" s="20">
        <v>11</v>
      </c>
      <c r="IK14" s="20">
        <v>16</v>
      </c>
      <c r="IL14" s="20">
        <v>8</v>
      </c>
      <c r="IM14" s="20">
        <v>4</v>
      </c>
      <c r="IN14" s="20" t="s">
        <v>360</v>
      </c>
      <c r="IO14" s="33">
        <v>2</v>
      </c>
      <c r="IP14" s="20">
        <v>11</v>
      </c>
      <c r="IQ14" s="20">
        <v>5</v>
      </c>
      <c r="IR14" s="20" t="s">
        <v>358</v>
      </c>
      <c r="IS14" s="20" t="s">
        <v>129</v>
      </c>
      <c r="IT14" s="20">
        <v>9</v>
      </c>
      <c r="IU14" s="20">
        <v>13</v>
      </c>
      <c r="IV14" s="20">
        <v>7</v>
      </c>
      <c r="IW14" s="20">
        <v>8</v>
      </c>
      <c r="IX14" s="20" t="s">
        <v>359</v>
      </c>
      <c r="IZ14" s="20">
        <v>1</v>
      </c>
      <c r="JA14" s="20">
        <v>0</v>
      </c>
      <c r="JB14" s="20">
        <v>1</v>
      </c>
      <c r="JC14" s="20">
        <v>0</v>
      </c>
      <c r="JD14" s="20">
        <v>0</v>
      </c>
      <c r="JE14" s="20">
        <v>0</v>
      </c>
      <c r="JF14" s="20">
        <v>0</v>
      </c>
      <c r="JG14" s="20">
        <v>1</v>
      </c>
      <c r="JK14" s="20">
        <v>4.55</v>
      </c>
      <c r="JL14" s="20">
        <v>2</v>
      </c>
      <c r="JO14" s="20">
        <v>10</v>
      </c>
      <c r="JP14" s="20" t="s">
        <v>34</v>
      </c>
      <c r="JQ14" s="20" t="s">
        <v>12</v>
      </c>
      <c r="JR14" s="34">
        <v>0</v>
      </c>
      <c r="JS14" s="20">
        <v>13</v>
      </c>
      <c r="JT14" s="20">
        <v>5</v>
      </c>
      <c r="JU14" s="20" t="s">
        <v>202</v>
      </c>
      <c r="JV14" s="20" t="s">
        <v>144</v>
      </c>
      <c r="JW14" s="20">
        <v>13</v>
      </c>
      <c r="JX14" s="20">
        <v>24</v>
      </c>
      <c r="JY14" s="20">
        <v>5</v>
      </c>
      <c r="JZ14" s="20">
        <v>20</v>
      </c>
      <c r="KA14" s="20" t="s">
        <v>364</v>
      </c>
      <c r="KB14" s="33">
        <v>1</v>
      </c>
      <c r="KC14" s="20">
        <v>9</v>
      </c>
      <c r="KD14" s="20">
        <v>6</v>
      </c>
      <c r="KE14" s="20" t="s">
        <v>192</v>
      </c>
      <c r="KF14" s="20" t="s">
        <v>117</v>
      </c>
      <c r="KG14" s="20">
        <v>25</v>
      </c>
      <c r="KH14" s="20">
        <v>14</v>
      </c>
      <c r="KI14" s="20">
        <v>7</v>
      </c>
      <c r="KJ14" s="20">
        <v>4</v>
      </c>
      <c r="KK14" s="20" t="s">
        <v>365</v>
      </c>
      <c r="KM14" s="20">
        <v>1</v>
      </c>
      <c r="KN14" s="20">
        <v>1</v>
      </c>
      <c r="KO14" s="20">
        <v>0</v>
      </c>
      <c r="KP14" s="20">
        <v>1</v>
      </c>
      <c r="KQ14" s="20">
        <v>0</v>
      </c>
      <c r="KR14" s="20">
        <v>1</v>
      </c>
      <c r="KS14" s="20">
        <v>1</v>
      </c>
      <c r="KT14" s="20">
        <v>0</v>
      </c>
      <c r="KX14" s="20">
        <v>28.21</v>
      </c>
      <c r="KY14" s="20">
        <v>12</v>
      </c>
      <c r="LB14" s="20">
        <v>10</v>
      </c>
      <c r="LC14" s="20" t="s">
        <v>13</v>
      </c>
      <c r="LD14" s="20" t="s">
        <v>10</v>
      </c>
      <c r="LE14" s="34">
        <v>2</v>
      </c>
      <c r="LF14" s="20">
        <v>20</v>
      </c>
      <c r="LG14" s="20">
        <v>5</v>
      </c>
      <c r="LH14" s="20" t="s">
        <v>131</v>
      </c>
      <c r="LI14" s="20" t="s">
        <v>280</v>
      </c>
      <c r="LJ14" s="20">
        <v>21</v>
      </c>
      <c r="LK14" s="20">
        <v>23</v>
      </c>
      <c r="LL14" s="20">
        <v>4</v>
      </c>
      <c r="LM14" s="20">
        <v>11</v>
      </c>
      <c r="LN14" s="20" t="s">
        <v>363</v>
      </c>
      <c r="LO14" s="33">
        <v>3</v>
      </c>
      <c r="LP14" s="20">
        <v>16</v>
      </c>
      <c r="LQ14" s="20">
        <v>8</v>
      </c>
      <c r="LR14" s="20" t="s">
        <v>125</v>
      </c>
      <c r="LS14" s="20" t="s">
        <v>161</v>
      </c>
      <c r="LT14" s="20">
        <v>16</v>
      </c>
      <c r="LU14" s="20">
        <v>20</v>
      </c>
      <c r="LV14" s="20">
        <v>7</v>
      </c>
      <c r="LW14" s="20">
        <v>11</v>
      </c>
      <c r="LX14" s="20" t="s">
        <v>362</v>
      </c>
      <c r="LZ14" s="20">
        <v>1</v>
      </c>
      <c r="MA14" s="20">
        <v>1</v>
      </c>
      <c r="MB14" s="20">
        <v>1</v>
      </c>
      <c r="MC14" s="20">
        <v>0</v>
      </c>
      <c r="MD14" s="20">
        <v>0</v>
      </c>
      <c r="ME14" s="20">
        <v>1</v>
      </c>
      <c r="MF14" s="20">
        <v>1</v>
      </c>
      <c r="MG14" s="20">
        <v>1</v>
      </c>
      <c r="MK14" s="20">
        <v>25</v>
      </c>
      <c r="ML14" s="20">
        <v>5</v>
      </c>
      <c r="MO14" s="20">
        <v>10</v>
      </c>
      <c r="MP14" s="20" t="s">
        <v>14</v>
      </c>
      <c r="MQ14" s="20" t="s">
        <v>9</v>
      </c>
      <c r="MR14" s="34">
        <v>1</v>
      </c>
      <c r="MS14" s="20">
        <v>11</v>
      </c>
      <c r="MT14" s="20">
        <v>3</v>
      </c>
      <c r="MU14" s="20" t="s">
        <v>128</v>
      </c>
      <c r="MV14" s="20" t="s">
        <v>154</v>
      </c>
      <c r="MW14" s="20">
        <v>25</v>
      </c>
      <c r="MX14" s="20">
        <v>15</v>
      </c>
      <c r="MY14" s="20">
        <v>15</v>
      </c>
      <c r="MZ14" s="20">
        <v>8</v>
      </c>
      <c r="NA14" s="20" t="s">
        <v>361</v>
      </c>
      <c r="NB14" s="33">
        <v>3</v>
      </c>
      <c r="NC14" s="20">
        <v>23</v>
      </c>
      <c r="ND14" s="20">
        <v>9</v>
      </c>
      <c r="NE14" s="20" t="s">
        <v>316</v>
      </c>
      <c r="NF14" s="20" t="s">
        <v>176</v>
      </c>
      <c r="NG14" s="20">
        <v>26</v>
      </c>
      <c r="NH14" s="20">
        <v>22</v>
      </c>
      <c r="NI14" s="20">
        <v>12</v>
      </c>
      <c r="NJ14" s="20">
        <v>15</v>
      </c>
      <c r="NK14" s="20" t="s">
        <v>357</v>
      </c>
      <c r="NM14" s="20">
        <v>1</v>
      </c>
      <c r="NN14" s="20">
        <v>1</v>
      </c>
      <c r="NO14" s="20">
        <v>0</v>
      </c>
      <c r="NP14" s="20">
        <v>1</v>
      </c>
      <c r="NQ14" s="20">
        <v>1</v>
      </c>
      <c r="NR14" s="20">
        <v>0</v>
      </c>
      <c r="NS14" s="20">
        <v>0</v>
      </c>
      <c r="NT14" s="20">
        <v>0</v>
      </c>
      <c r="NX14" s="20">
        <v>11.86</v>
      </c>
      <c r="NY14" s="20">
        <v>1</v>
      </c>
      <c r="OB14" s="20">
        <v>10</v>
      </c>
      <c r="OC14" s="20" t="s">
        <v>6</v>
      </c>
      <c r="OD14" s="20" t="s">
        <v>15</v>
      </c>
      <c r="OE14" s="34">
        <v>1</v>
      </c>
      <c r="OF14" s="20">
        <v>8</v>
      </c>
      <c r="OG14" s="20">
        <v>5</v>
      </c>
      <c r="OH14" s="20" t="s">
        <v>169</v>
      </c>
      <c r="OI14" s="20" t="s">
        <v>136</v>
      </c>
      <c r="OJ14" s="20">
        <v>16</v>
      </c>
      <c r="OK14" s="20">
        <v>7</v>
      </c>
      <c r="OL14" s="20">
        <v>5</v>
      </c>
      <c r="OM14" s="20">
        <v>17</v>
      </c>
      <c r="ON14" s="20" t="s">
        <v>357</v>
      </c>
      <c r="OO14" s="33">
        <v>3</v>
      </c>
      <c r="OP14" s="20">
        <v>17</v>
      </c>
      <c r="OQ14" s="20">
        <v>11</v>
      </c>
      <c r="OR14" s="20" t="s">
        <v>366</v>
      </c>
      <c r="OS14" s="20" t="s">
        <v>343</v>
      </c>
      <c r="OT14" s="20">
        <v>23</v>
      </c>
      <c r="OU14" s="20">
        <v>3</v>
      </c>
      <c r="OV14" s="20">
        <v>6</v>
      </c>
      <c r="OW14" s="20">
        <v>10</v>
      </c>
      <c r="OX14" s="20" t="s">
        <v>361</v>
      </c>
      <c r="OZ14" s="20">
        <v>1</v>
      </c>
      <c r="PA14" s="20">
        <v>1</v>
      </c>
      <c r="PB14" s="20">
        <v>1</v>
      </c>
      <c r="PC14" s="20">
        <v>1</v>
      </c>
      <c r="PD14" s="20">
        <v>0</v>
      </c>
      <c r="PE14" s="20">
        <v>1</v>
      </c>
      <c r="PF14" s="20">
        <v>1</v>
      </c>
      <c r="PG14" s="20">
        <v>1</v>
      </c>
      <c r="PK14" s="20">
        <v>2.21</v>
      </c>
      <c r="PL14" s="20">
        <v>7</v>
      </c>
      <c r="PO14" s="20">
        <v>10</v>
      </c>
      <c r="PP14" s="20" t="s">
        <v>17</v>
      </c>
      <c r="PQ14" s="20" t="s">
        <v>23</v>
      </c>
      <c r="PR14" s="33">
        <v>3</v>
      </c>
      <c r="PS14" s="20">
        <v>14</v>
      </c>
      <c r="PT14" s="20">
        <v>6</v>
      </c>
      <c r="PU14" s="20" t="s">
        <v>207</v>
      </c>
      <c r="PV14" s="20" t="s">
        <v>168</v>
      </c>
      <c r="PW14" s="20">
        <v>24</v>
      </c>
      <c r="PX14" s="20">
        <v>12</v>
      </c>
      <c r="PY14" s="20">
        <v>5</v>
      </c>
      <c r="PZ14" s="20">
        <v>10</v>
      </c>
      <c r="QA14" s="20" t="s">
        <v>367</v>
      </c>
      <c r="QB14" s="34">
        <v>0</v>
      </c>
      <c r="QC14" s="20">
        <v>10</v>
      </c>
      <c r="QD14" s="20">
        <v>5</v>
      </c>
      <c r="QE14" s="20" t="s">
        <v>125</v>
      </c>
      <c r="QF14" s="20" t="s">
        <v>151</v>
      </c>
      <c r="QG14" s="20">
        <v>19</v>
      </c>
      <c r="QH14" s="20">
        <v>8</v>
      </c>
      <c r="QI14" s="20">
        <v>10</v>
      </c>
      <c r="QJ14" s="20">
        <v>12</v>
      </c>
      <c r="QK14" s="20" t="s">
        <v>368</v>
      </c>
      <c r="QM14" s="20">
        <v>1</v>
      </c>
      <c r="QN14" s="20">
        <v>0</v>
      </c>
      <c r="QO14" s="20">
        <v>1</v>
      </c>
      <c r="QP14" s="20">
        <v>1</v>
      </c>
      <c r="QQ14" s="20">
        <v>1</v>
      </c>
      <c r="QR14" s="20">
        <v>0</v>
      </c>
      <c r="QS14" s="20">
        <v>1</v>
      </c>
      <c r="QT14" s="20">
        <v>1</v>
      </c>
      <c r="QX14" s="20">
        <v>7.14</v>
      </c>
      <c r="QY14" s="20">
        <v>5</v>
      </c>
      <c r="RB14" s="20">
        <v>10</v>
      </c>
      <c r="RC14" s="20" t="s">
        <v>18</v>
      </c>
      <c r="RD14" s="20" t="s">
        <v>20</v>
      </c>
      <c r="RE14" s="32">
        <v>1</v>
      </c>
      <c r="RF14" s="20">
        <v>10</v>
      </c>
      <c r="RG14" s="20">
        <v>4</v>
      </c>
      <c r="RH14" s="20" t="s">
        <v>133</v>
      </c>
      <c r="RI14" s="20" t="s">
        <v>203</v>
      </c>
      <c r="RJ14" s="20">
        <v>16</v>
      </c>
      <c r="RK14" s="20">
        <v>22</v>
      </c>
      <c r="RL14" s="20">
        <v>11</v>
      </c>
      <c r="RM14" s="20">
        <v>17</v>
      </c>
      <c r="RN14" s="20" t="s">
        <v>369</v>
      </c>
      <c r="RO14" s="32">
        <v>1</v>
      </c>
      <c r="RP14" s="20">
        <v>9</v>
      </c>
      <c r="RQ14" s="20">
        <v>5</v>
      </c>
      <c r="RR14" s="20" t="s">
        <v>370</v>
      </c>
      <c r="RS14" s="20" t="s">
        <v>371</v>
      </c>
      <c r="RT14" s="20">
        <v>23</v>
      </c>
      <c r="RU14" s="20">
        <v>18</v>
      </c>
      <c r="RV14" s="20">
        <v>12</v>
      </c>
      <c r="RW14" s="20">
        <v>12</v>
      </c>
      <c r="RX14" s="20" t="s">
        <v>372</v>
      </c>
      <c r="RZ14" s="32">
        <v>0</v>
      </c>
      <c r="SA14" s="32">
        <v>0</v>
      </c>
      <c r="SB14" s="32">
        <v>1</v>
      </c>
      <c r="SC14" s="32">
        <v>0</v>
      </c>
      <c r="SD14" s="32">
        <v>1</v>
      </c>
      <c r="SE14" s="32">
        <v>0</v>
      </c>
      <c r="SF14" s="32">
        <v>0</v>
      </c>
      <c r="SG14" s="32">
        <v>1</v>
      </c>
      <c r="SK14" s="32">
        <v>15.56</v>
      </c>
      <c r="SL14" s="32">
        <v>7</v>
      </c>
      <c r="SO14" s="20">
        <v>10</v>
      </c>
      <c r="SP14" s="20" t="s">
        <v>19</v>
      </c>
      <c r="SQ14" s="20" t="s">
        <v>21</v>
      </c>
      <c r="SR14" s="33">
        <v>1</v>
      </c>
      <c r="SS14" s="20">
        <v>12</v>
      </c>
      <c r="ST14" s="20">
        <v>1</v>
      </c>
      <c r="SU14" s="20" t="s">
        <v>185</v>
      </c>
      <c r="SV14" s="20" t="s">
        <v>373</v>
      </c>
      <c r="SW14" s="20">
        <v>18</v>
      </c>
      <c r="SX14" s="20">
        <v>28</v>
      </c>
      <c r="SY14" s="20">
        <v>6</v>
      </c>
      <c r="SZ14" s="20">
        <v>6</v>
      </c>
      <c r="TA14" s="20" t="s">
        <v>374</v>
      </c>
      <c r="TB14" s="34">
        <v>0</v>
      </c>
      <c r="TC14" s="20">
        <v>6</v>
      </c>
      <c r="TD14" s="20">
        <v>2</v>
      </c>
      <c r="TE14" s="20" t="s">
        <v>209</v>
      </c>
      <c r="TF14" s="20" t="s">
        <v>123</v>
      </c>
      <c r="TG14" s="20">
        <v>17</v>
      </c>
      <c r="TH14" s="20">
        <v>24</v>
      </c>
      <c r="TI14" s="20">
        <v>6</v>
      </c>
      <c r="TJ14" s="20">
        <v>8</v>
      </c>
      <c r="TK14" s="20" t="s">
        <v>375</v>
      </c>
      <c r="TM14" s="20">
        <v>0</v>
      </c>
      <c r="TN14" s="20">
        <v>0</v>
      </c>
      <c r="TO14" s="20">
        <v>0</v>
      </c>
      <c r="TP14" s="20">
        <v>1</v>
      </c>
      <c r="TQ14" s="20">
        <v>1</v>
      </c>
      <c r="TR14" s="20">
        <v>0</v>
      </c>
      <c r="TS14" s="20">
        <v>1</v>
      </c>
      <c r="TT14" s="20">
        <v>0</v>
      </c>
      <c r="TX14" s="20">
        <v>25</v>
      </c>
      <c r="TY14" s="20">
        <v>1</v>
      </c>
      <c r="UB14" s="20">
        <v>10</v>
      </c>
      <c r="UC14" s="20" t="s">
        <v>16</v>
      </c>
      <c r="UD14" s="20" t="s">
        <v>7</v>
      </c>
      <c r="UE14" s="32">
        <v>1</v>
      </c>
      <c r="UF14" s="20">
        <v>7</v>
      </c>
      <c r="UG14" s="20">
        <v>3</v>
      </c>
      <c r="UH14" s="20" t="s">
        <v>207</v>
      </c>
      <c r="UI14" s="20" t="s">
        <v>171</v>
      </c>
      <c r="UJ14" s="20">
        <v>26</v>
      </c>
      <c r="UK14" s="20">
        <v>18</v>
      </c>
      <c r="UL14" s="20">
        <v>12</v>
      </c>
      <c r="UM14" s="20">
        <v>8</v>
      </c>
      <c r="UN14" s="20" t="s">
        <v>152</v>
      </c>
      <c r="UO14" s="32">
        <v>1</v>
      </c>
      <c r="UP14" s="20">
        <v>12</v>
      </c>
      <c r="UQ14" s="20">
        <v>3</v>
      </c>
      <c r="UR14" s="20" t="s">
        <v>131</v>
      </c>
      <c r="US14" s="20" t="s">
        <v>168</v>
      </c>
      <c r="UT14" s="20">
        <v>21</v>
      </c>
      <c r="UU14" s="20">
        <v>9</v>
      </c>
      <c r="UV14" s="20">
        <v>14</v>
      </c>
      <c r="UW14" s="20">
        <v>16</v>
      </c>
      <c r="UX14" s="20" t="s">
        <v>155</v>
      </c>
      <c r="UZ14" s="32">
        <v>1</v>
      </c>
      <c r="VA14" s="32">
        <v>0</v>
      </c>
      <c r="VB14" s="32">
        <v>1</v>
      </c>
      <c r="VC14" s="32">
        <v>0</v>
      </c>
      <c r="VD14" s="32">
        <v>0</v>
      </c>
      <c r="VE14" s="32">
        <v>1</v>
      </c>
      <c r="VF14" s="32">
        <v>0</v>
      </c>
      <c r="VG14" s="32">
        <v>1</v>
      </c>
      <c r="VK14" s="32">
        <v>17.86</v>
      </c>
      <c r="VL14" s="32">
        <v>5</v>
      </c>
      <c r="VO14" s="20">
        <v>10</v>
      </c>
      <c r="VP14" s="20" t="s">
        <v>18</v>
      </c>
      <c r="VQ14" s="20" t="s">
        <v>20</v>
      </c>
      <c r="VR14" s="32">
        <v>1</v>
      </c>
      <c r="VS14" s="20">
        <v>9</v>
      </c>
      <c r="VT14" s="20">
        <v>5</v>
      </c>
      <c r="VU14" s="20" t="s">
        <v>370</v>
      </c>
      <c r="VV14" s="20" t="s">
        <v>371</v>
      </c>
      <c r="VW14" s="20">
        <v>23</v>
      </c>
      <c r="VX14" s="20">
        <v>18</v>
      </c>
      <c r="VY14" s="20">
        <v>12</v>
      </c>
      <c r="VZ14" s="20">
        <v>12</v>
      </c>
      <c r="WA14" s="20" t="s">
        <v>372</v>
      </c>
      <c r="WB14" s="32">
        <v>1</v>
      </c>
      <c r="WC14" s="20">
        <v>10</v>
      </c>
      <c r="WD14" s="20">
        <v>4</v>
      </c>
      <c r="WE14" s="20" t="s">
        <v>133</v>
      </c>
      <c r="WF14" s="20" t="s">
        <v>203</v>
      </c>
      <c r="WG14" s="20">
        <v>16</v>
      </c>
      <c r="WH14" s="20">
        <v>22</v>
      </c>
      <c r="WI14" s="20">
        <v>11</v>
      </c>
      <c r="WJ14" s="20">
        <v>17</v>
      </c>
      <c r="WK14" s="20" t="s">
        <v>369</v>
      </c>
      <c r="WM14" s="32">
        <v>0</v>
      </c>
      <c r="WN14" s="32">
        <v>0</v>
      </c>
      <c r="WO14" s="32">
        <v>1</v>
      </c>
      <c r="WP14" s="32">
        <v>0</v>
      </c>
      <c r="WQ14" s="32">
        <v>1</v>
      </c>
      <c r="WR14" s="32">
        <v>0</v>
      </c>
      <c r="WS14" s="32">
        <v>0</v>
      </c>
      <c r="WT14" s="32">
        <v>1</v>
      </c>
      <c r="WX14" s="32">
        <v>15.56</v>
      </c>
      <c r="WY14" s="32">
        <v>7</v>
      </c>
      <c r="XB14" s="20">
        <v>10</v>
      </c>
      <c r="XC14" s="20" t="s">
        <v>34</v>
      </c>
      <c r="XD14" s="20" t="s">
        <v>12</v>
      </c>
      <c r="XE14" s="33">
        <v>1</v>
      </c>
      <c r="XF14" s="20">
        <v>9</v>
      </c>
      <c r="XG14" s="20">
        <v>6</v>
      </c>
      <c r="XH14" s="20" t="s">
        <v>192</v>
      </c>
      <c r="XI14" s="20" t="s">
        <v>117</v>
      </c>
      <c r="XJ14" s="20">
        <v>25</v>
      </c>
      <c r="XK14" s="20">
        <v>14</v>
      </c>
      <c r="XL14" s="20">
        <v>7</v>
      </c>
      <c r="XM14" s="20">
        <v>4</v>
      </c>
      <c r="XN14" s="20" t="s">
        <v>365</v>
      </c>
      <c r="XO14" s="34">
        <v>0</v>
      </c>
      <c r="XP14" s="20">
        <v>13</v>
      </c>
      <c r="XQ14" s="20">
        <v>5</v>
      </c>
      <c r="XR14" s="20" t="s">
        <v>202</v>
      </c>
      <c r="XS14" s="20" t="s">
        <v>144</v>
      </c>
      <c r="XT14" s="20">
        <v>13</v>
      </c>
      <c r="XU14" s="20">
        <v>24</v>
      </c>
      <c r="XV14" s="20">
        <v>5</v>
      </c>
      <c r="XW14" s="20">
        <v>20</v>
      </c>
      <c r="XX14" s="20" t="s">
        <v>364</v>
      </c>
      <c r="XZ14" s="20">
        <v>1</v>
      </c>
      <c r="YA14" s="20">
        <v>1</v>
      </c>
      <c r="YB14" s="20">
        <v>0</v>
      </c>
      <c r="YC14" s="20">
        <v>1</v>
      </c>
      <c r="YD14" s="20">
        <v>0</v>
      </c>
      <c r="YE14" s="20">
        <v>1</v>
      </c>
      <c r="YF14" s="20">
        <v>1</v>
      </c>
      <c r="YG14" s="20">
        <v>0</v>
      </c>
      <c r="YK14" s="20">
        <v>28.21</v>
      </c>
      <c r="YL14" s="20">
        <v>12</v>
      </c>
      <c r="YO14" s="20">
        <v>10</v>
      </c>
      <c r="YP14" s="20" t="s">
        <v>19</v>
      </c>
      <c r="YQ14" s="20" t="s">
        <v>21</v>
      </c>
      <c r="YR14" s="34">
        <v>0</v>
      </c>
      <c r="YS14" s="20">
        <v>6</v>
      </c>
      <c r="YT14" s="20">
        <v>2</v>
      </c>
      <c r="YU14" s="20" t="s">
        <v>209</v>
      </c>
      <c r="YV14" s="20" t="s">
        <v>123</v>
      </c>
      <c r="YW14" s="20">
        <v>17</v>
      </c>
      <c r="YX14" s="20">
        <v>24</v>
      </c>
      <c r="YY14" s="20">
        <v>6</v>
      </c>
      <c r="YZ14" s="20">
        <v>8</v>
      </c>
      <c r="ZA14" s="20" t="s">
        <v>375</v>
      </c>
      <c r="ZB14" s="33">
        <v>1</v>
      </c>
      <c r="ZC14" s="20">
        <v>12</v>
      </c>
      <c r="ZD14" s="20">
        <v>1</v>
      </c>
      <c r="ZE14" s="20" t="s">
        <v>185</v>
      </c>
      <c r="ZF14" s="20" t="s">
        <v>373</v>
      </c>
      <c r="ZG14" s="20">
        <v>18</v>
      </c>
      <c r="ZH14" s="20">
        <v>28</v>
      </c>
      <c r="ZI14" s="20">
        <v>6</v>
      </c>
      <c r="ZJ14" s="20">
        <v>6</v>
      </c>
      <c r="ZK14" s="20" t="s">
        <v>374</v>
      </c>
      <c r="ZM14" s="20">
        <v>0</v>
      </c>
      <c r="ZN14" s="20">
        <v>0</v>
      </c>
      <c r="ZO14" s="20">
        <v>0</v>
      </c>
      <c r="ZP14" s="20">
        <v>1</v>
      </c>
      <c r="ZQ14" s="20">
        <v>1</v>
      </c>
      <c r="ZR14" s="20">
        <v>0</v>
      </c>
      <c r="ZS14" s="20">
        <v>1</v>
      </c>
      <c r="ZT14" s="20">
        <v>0</v>
      </c>
      <c r="ZX14" s="20">
        <v>25</v>
      </c>
      <c r="ZY14" s="20">
        <v>1</v>
      </c>
      <c r="AAB14" s="20">
        <v>10</v>
      </c>
      <c r="AAC14" s="20" t="s">
        <v>22</v>
      </c>
      <c r="AAD14" s="20" t="s">
        <v>5</v>
      </c>
      <c r="AAE14" s="34">
        <v>0</v>
      </c>
      <c r="AAF14" s="20">
        <v>6</v>
      </c>
      <c r="AAG14" s="20">
        <v>0</v>
      </c>
      <c r="AAH14" s="20" t="s">
        <v>116</v>
      </c>
      <c r="AAI14" s="20" t="s">
        <v>203</v>
      </c>
      <c r="AAJ14" s="20">
        <v>17</v>
      </c>
      <c r="AAK14" s="20">
        <v>7</v>
      </c>
      <c r="AAL14" s="20">
        <v>10</v>
      </c>
      <c r="AAM14" s="20">
        <v>7</v>
      </c>
      <c r="AAN14" s="20" t="s">
        <v>376</v>
      </c>
      <c r="AAO14" s="33">
        <v>2</v>
      </c>
      <c r="AAP14" s="20">
        <v>14</v>
      </c>
      <c r="AAQ14" s="20">
        <v>6</v>
      </c>
      <c r="AAR14" s="20" t="s">
        <v>207</v>
      </c>
      <c r="AAS14" s="20" t="s">
        <v>343</v>
      </c>
      <c r="AAT14" s="20">
        <v>18</v>
      </c>
      <c r="AAU14" s="20">
        <v>7</v>
      </c>
      <c r="AAV14" s="20">
        <v>17</v>
      </c>
      <c r="AAW14" s="20">
        <v>11</v>
      </c>
      <c r="AAX14" s="20" t="s">
        <v>377</v>
      </c>
      <c r="AAZ14" s="20">
        <v>1</v>
      </c>
      <c r="ABA14" s="20">
        <v>1</v>
      </c>
      <c r="ABB14" s="20">
        <v>1</v>
      </c>
      <c r="ABC14" s="20">
        <v>1</v>
      </c>
      <c r="ABD14" s="20">
        <v>1</v>
      </c>
      <c r="ABE14" s="20">
        <v>1</v>
      </c>
      <c r="ABF14" s="20">
        <v>0</v>
      </c>
      <c r="ABG14" s="20">
        <v>1</v>
      </c>
      <c r="ABK14" s="20">
        <v>42.86</v>
      </c>
      <c r="ABL14" s="20">
        <v>1</v>
      </c>
      <c r="ABO14" s="20">
        <v>10</v>
      </c>
      <c r="ABP14" s="20" t="s">
        <v>17</v>
      </c>
      <c r="ABQ14" s="20" t="s">
        <v>23</v>
      </c>
      <c r="ABR14" s="34">
        <v>0</v>
      </c>
      <c r="ABS14" s="20">
        <v>10</v>
      </c>
      <c r="ABT14" s="20">
        <v>5</v>
      </c>
      <c r="ABU14" s="20" t="s">
        <v>125</v>
      </c>
      <c r="ABV14" s="20" t="s">
        <v>151</v>
      </c>
      <c r="ABW14" s="20">
        <v>19</v>
      </c>
      <c r="ABX14" s="20">
        <v>8</v>
      </c>
      <c r="ABY14" s="20">
        <v>10</v>
      </c>
      <c r="ABZ14" s="20">
        <v>12</v>
      </c>
      <c r="ACA14" s="20" t="s">
        <v>368</v>
      </c>
      <c r="ACB14" s="33">
        <v>3</v>
      </c>
      <c r="ACC14" s="20">
        <v>14</v>
      </c>
      <c r="ACD14" s="20">
        <v>6</v>
      </c>
      <c r="ACE14" s="20" t="s">
        <v>207</v>
      </c>
      <c r="ACF14" s="20" t="s">
        <v>168</v>
      </c>
      <c r="ACG14" s="20">
        <v>24</v>
      </c>
      <c r="ACH14" s="20">
        <v>12</v>
      </c>
      <c r="ACI14" s="20">
        <v>5</v>
      </c>
      <c r="ACJ14" s="20">
        <v>10</v>
      </c>
      <c r="ACK14" s="20" t="s">
        <v>367</v>
      </c>
      <c r="ACM14" s="20">
        <v>1</v>
      </c>
      <c r="ACN14" s="20">
        <v>0</v>
      </c>
      <c r="ACO14" s="20">
        <v>1</v>
      </c>
      <c r="ACP14" s="20">
        <v>1</v>
      </c>
      <c r="ACQ14" s="20">
        <v>1</v>
      </c>
      <c r="ACR14" s="20">
        <v>0</v>
      </c>
      <c r="ACS14" s="20">
        <v>1</v>
      </c>
      <c r="ACT14" s="20">
        <v>1</v>
      </c>
      <c r="ACX14" s="20">
        <v>7.14</v>
      </c>
      <c r="ACY14" s="20">
        <v>5</v>
      </c>
    </row>
    <row r="15" spans="1:779" x14ac:dyDescent="0.3">
      <c r="A15" s="27">
        <f>E15/G15</f>
        <v>0.33333333333333331</v>
      </c>
      <c r="B15" s="20">
        <v>11</v>
      </c>
      <c r="C15" s="20" t="s">
        <v>5</v>
      </c>
      <c r="D15" s="20" t="s">
        <v>8</v>
      </c>
      <c r="E15" s="29">
        <v>3</v>
      </c>
      <c r="F15" s="20">
        <v>20</v>
      </c>
      <c r="G15" s="30">
        <v>9</v>
      </c>
      <c r="H15" s="27">
        <v>0.45</v>
      </c>
      <c r="I15" s="28">
        <v>0.87</v>
      </c>
      <c r="J15" s="20">
        <v>13</v>
      </c>
      <c r="K15" s="20">
        <v>10</v>
      </c>
      <c r="L15" s="20">
        <v>8</v>
      </c>
      <c r="M15" s="30">
        <v>9</v>
      </c>
      <c r="N15" s="27">
        <v>0.64300000000000002</v>
      </c>
      <c r="O15" s="31">
        <v>0</v>
      </c>
      <c r="P15" s="20">
        <v>5</v>
      </c>
      <c r="Q15" s="30">
        <v>2</v>
      </c>
      <c r="R15" s="27">
        <v>0.4</v>
      </c>
      <c r="S15" s="28">
        <v>0.73</v>
      </c>
      <c r="T15" s="20">
        <v>14</v>
      </c>
      <c r="U15" s="20">
        <v>7</v>
      </c>
      <c r="V15" s="20">
        <v>6</v>
      </c>
      <c r="W15" s="30">
        <v>7</v>
      </c>
      <c r="X15" s="27">
        <v>0.35699999999999998</v>
      </c>
      <c r="Z15" s="20">
        <v>1</v>
      </c>
      <c r="AA15" s="20">
        <v>1</v>
      </c>
      <c r="AB15" s="20">
        <v>1</v>
      </c>
      <c r="AC15" s="20">
        <v>0</v>
      </c>
      <c r="AD15" s="20">
        <v>1</v>
      </c>
      <c r="AE15" s="20">
        <v>1</v>
      </c>
      <c r="AF15" s="20">
        <v>0</v>
      </c>
      <c r="AG15" s="20">
        <v>1</v>
      </c>
      <c r="AK15" s="20">
        <v>5</v>
      </c>
      <c r="AL15" s="20">
        <v>1</v>
      </c>
      <c r="AM15" s="20"/>
      <c r="AN15" s="20"/>
      <c r="AO15" s="20">
        <v>11</v>
      </c>
      <c r="AP15" s="20" t="s">
        <v>11</v>
      </c>
      <c r="AQ15" s="20" t="s">
        <v>6</v>
      </c>
      <c r="AR15" s="34">
        <v>2</v>
      </c>
      <c r="AS15" s="30">
        <v>28</v>
      </c>
      <c r="AT15" s="30">
        <v>10</v>
      </c>
      <c r="AU15" s="27">
        <v>0.35709999999999997</v>
      </c>
      <c r="AV15" s="28">
        <v>0.89</v>
      </c>
      <c r="AW15" s="20">
        <v>8</v>
      </c>
      <c r="AX15" s="20">
        <v>4</v>
      </c>
      <c r="AY15" s="30">
        <v>9</v>
      </c>
      <c r="AZ15" s="20">
        <v>11</v>
      </c>
      <c r="BA15" s="27">
        <v>0.54600000000000004</v>
      </c>
      <c r="BB15" s="33">
        <v>3</v>
      </c>
      <c r="BC15" s="20">
        <v>14</v>
      </c>
      <c r="BD15" s="20">
        <v>5</v>
      </c>
      <c r="BE15" s="20" t="s">
        <v>297</v>
      </c>
      <c r="BF15" s="20" t="s">
        <v>179</v>
      </c>
      <c r="BG15" s="20">
        <v>18</v>
      </c>
      <c r="BH15" s="20">
        <v>12</v>
      </c>
      <c r="BI15" s="20">
        <v>11</v>
      </c>
      <c r="BJ15" s="20">
        <v>3</v>
      </c>
      <c r="BK15" s="20" t="s">
        <v>378</v>
      </c>
      <c r="BM15" s="20">
        <v>0</v>
      </c>
      <c r="BN15" s="20">
        <v>0</v>
      </c>
      <c r="BO15" s="20">
        <v>0</v>
      </c>
      <c r="BP15" s="20">
        <v>1</v>
      </c>
      <c r="BQ15" s="20">
        <v>1</v>
      </c>
      <c r="BR15" s="20">
        <v>1</v>
      </c>
      <c r="BS15" s="20">
        <v>1</v>
      </c>
      <c r="BT15" s="20">
        <v>0</v>
      </c>
      <c r="BX15" s="20">
        <v>0</v>
      </c>
      <c r="BY15" s="20">
        <v>10</v>
      </c>
      <c r="BZ15" s="20"/>
      <c r="CA15" s="20"/>
      <c r="CB15" s="20">
        <v>11</v>
      </c>
      <c r="CC15" s="20" t="s">
        <v>7</v>
      </c>
      <c r="CD15" s="20" t="s">
        <v>34</v>
      </c>
      <c r="CE15" s="33">
        <v>1</v>
      </c>
      <c r="CF15" s="20">
        <v>15</v>
      </c>
      <c r="CG15" s="20">
        <v>3</v>
      </c>
      <c r="CH15" s="20" t="s">
        <v>141</v>
      </c>
      <c r="CI15" s="20" t="s">
        <v>168</v>
      </c>
      <c r="CJ15" s="20">
        <v>23</v>
      </c>
      <c r="CK15" s="20">
        <v>29</v>
      </c>
      <c r="CL15" s="20">
        <v>9</v>
      </c>
      <c r="CM15" s="20">
        <v>7</v>
      </c>
      <c r="CN15" s="20" t="s">
        <v>203</v>
      </c>
      <c r="CO15" s="34">
        <v>0</v>
      </c>
      <c r="CP15" s="20">
        <v>9</v>
      </c>
      <c r="CQ15" s="20">
        <v>2</v>
      </c>
      <c r="CR15" s="20" t="s">
        <v>146</v>
      </c>
      <c r="CS15" s="20" t="s">
        <v>379</v>
      </c>
      <c r="CT15" s="20">
        <v>20</v>
      </c>
      <c r="CU15" s="20">
        <v>28</v>
      </c>
      <c r="CV15" s="20">
        <v>4</v>
      </c>
      <c r="CW15" s="20">
        <v>12</v>
      </c>
      <c r="CX15" s="20" t="s">
        <v>380</v>
      </c>
      <c r="CZ15" s="20">
        <v>1</v>
      </c>
      <c r="DA15" s="20">
        <v>0</v>
      </c>
      <c r="DB15" s="20">
        <v>1</v>
      </c>
      <c r="DC15" s="20">
        <v>1</v>
      </c>
      <c r="DD15" s="20">
        <v>1</v>
      </c>
      <c r="DE15" s="20">
        <v>1</v>
      </c>
      <c r="DF15" s="20">
        <v>1</v>
      </c>
      <c r="DG15" s="20">
        <v>1</v>
      </c>
      <c r="DK15" s="20">
        <v>2.2200000000000002</v>
      </c>
      <c r="DL15" s="20">
        <v>3</v>
      </c>
      <c r="DO15" s="20">
        <v>11</v>
      </c>
      <c r="DP15" s="20" t="s">
        <v>5</v>
      </c>
      <c r="DQ15" s="20" t="s">
        <v>8</v>
      </c>
      <c r="DR15" s="34">
        <v>0</v>
      </c>
      <c r="DS15" s="20">
        <v>5</v>
      </c>
      <c r="DT15" s="20">
        <v>2</v>
      </c>
      <c r="DU15" s="20" t="s">
        <v>133</v>
      </c>
      <c r="DV15" s="20" t="s">
        <v>142</v>
      </c>
      <c r="DW15" s="20">
        <v>14</v>
      </c>
      <c r="DX15" s="20">
        <v>7</v>
      </c>
      <c r="DY15" s="20">
        <v>6</v>
      </c>
      <c r="DZ15" s="20">
        <v>7</v>
      </c>
      <c r="EA15" s="20" t="s">
        <v>381</v>
      </c>
      <c r="EB15" s="33">
        <v>3</v>
      </c>
      <c r="EC15" s="20">
        <v>20</v>
      </c>
      <c r="ED15" s="20">
        <v>9</v>
      </c>
      <c r="EE15" s="20" t="s">
        <v>382</v>
      </c>
      <c r="EF15" s="20" t="s">
        <v>136</v>
      </c>
      <c r="EG15" s="20">
        <v>13</v>
      </c>
      <c r="EH15" s="20">
        <v>10</v>
      </c>
      <c r="EI15" s="20">
        <v>8</v>
      </c>
      <c r="EJ15" s="20">
        <v>9</v>
      </c>
      <c r="EK15" s="20" t="s">
        <v>383</v>
      </c>
      <c r="EM15" s="20">
        <v>1</v>
      </c>
      <c r="EN15" s="20">
        <v>1</v>
      </c>
      <c r="EO15" s="20">
        <v>1</v>
      </c>
      <c r="EP15" s="20">
        <v>0</v>
      </c>
      <c r="EQ15" s="20">
        <v>1</v>
      </c>
      <c r="ER15" s="20">
        <v>1</v>
      </c>
      <c r="ES15" s="20">
        <v>0</v>
      </c>
      <c r="ET15" s="20">
        <v>1</v>
      </c>
      <c r="EX15" s="20">
        <v>5</v>
      </c>
      <c r="EY15" s="20">
        <v>1</v>
      </c>
      <c r="FB15" s="20">
        <v>11</v>
      </c>
      <c r="FC15" s="20" t="s">
        <v>9</v>
      </c>
      <c r="FD15" s="20" t="s">
        <v>18</v>
      </c>
      <c r="FE15" s="33">
        <v>2</v>
      </c>
      <c r="FF15" s="20">
        <v>8</v>
      </c>
      <c r="FG15" s="20">
        <v>2</v>
      </c>
      <c r="FH15" s="20" t="s">
        <v>131</v>
      </c>
      <c r="FI15" s="20" t="s">
        <v>280</v>
      </c>
      <c r="FJ15" s="20">
        <v>16</v>
      </c>
      <c r="FK15" s="20">
        <v>22</v>
      </c>
      <c r="FL15" s="20">
        <v>6</v>
      </c>
      <c r="FM15" s="20">
        <v>10</v>
      </c>
      <c r="FN15" s="20" t="s">
        <v>384</v>
      </c>
      <c r="FO15" s="34">
        <v>1</v>
      </c>
      <c r="FP15" s="20">
        <v>5</v>
      </c>
      <c r="FQ15" s="20">
        <v>1</v>
      </c>
      <c r="FR15" s="20" t="s">
        <v>141</v>
      </c>
      <c r="FS15" s="20" t="s">
        <v>203</v>
      </c>
      <c r="FT15" s="20">
        <v>18</v>
      </c>
      <c r="FU15" s="20">
        <v>25</v>
      </c>
      <c r="FV15" s="20">
        <v>14</v>
      </c>
      <c r="FW15" s="20">
        <v>9</v>
      </c>
      <c r="FX15" s="20" t="s">
        <v>385</v>
      </c>
      <c r="FZ15" s="20">
        <v>1</v>
      </c>
      <c r="GA15" s="20">
        <v>1</v>
      </c>
      <c r="GB15" s="20">
        <v>0</v>
      </c>
      <c r="GC15" s="20">
        <v>0</v>
      </c>
      <c r="GD15" s="20">
        <v>0</v>
      </c>
      <c r="GE15" s="20">
        <v>0</v>
      </c>
      <c r="GF15" s="20">
        <v>0</v>
      </c>
      <c r="GG15" s="20">
        <v>0</v>
      </c>
      <c r="GK15" s="20">
        <v>5</v>
      </c>
      <c r="GL15" s="20">
        <v>2</v>
      </c>
      <c r="GO15" s="20">
        <v>11</v>
      </c>
      <c r="GP15" s="20" t="s">
        <v>10</v>
      </c>
      <c r="GQ15" s="20" t="s">
        <v>17</v>
      </c>
      <c r="GR15" s="34">
        <v>1</v>
      </c>
      <c r="GS15" s="20">
        <v>17</v>
      </c>
      <c r="GT15" s="20">
        <v>3</v>
      </c>
      <c r="GU15" s="20" t="s">
        <v>221</v>
      </c>
      <c r="GV15" s="20" t="s">
        <v>161</v>
      </c>
      <c r="GW15" s="20">
        <v>18</v>
      </c>
      <c r="GX15" s="20">
        <v>13</v>
      </c>
      <c r="GY15" s="20">
        <v>13</v>
      </c>
      <c r="GZ15" s="20">
        <v>12</v>
      </c>
      <c r="HA15" s="20" t="s">
        <v>386</v>
      </c>
      <c r="HB15" s="33">
        <v>5</v>
      </c>
      <c r="HC15" s="20">
        <v>9</v>
      </c>
      <c r="HD15" s="20">
        <v>5</v>
      </c>
      <c r="HE15" s="20" t="s">
        <v>370</v>
      </c>
      <c r="HF15" s="20" t="s">
        <v>219</v>
      </c>
      <c r="HG15" s="20">
        <v>24</v>
      </c>
      <c r="HH15" s="20">
        <v>18</v>
      </c>
      <c r="HI15" s="20">
        <v>4</v>
      </c>
      <c r="HJ15" s="20">
        <v>8</v>
      </c>
      <c r="HK15" s="20" t="s">
        <v>387</v>
      </c>
      <c r="HM15" s="20">
        <v>1</v>
      </c>
      <c r="HN15" s="20">
        <v>1</v>
      </c>
      <c r="HO15" s="20">
        <v>0</v>
      </c>
      <c r="HP15" s="20">
        <v>1</v>
      </c>
      <c r="HQ15" s="20">
        <v>1</v>
      </c>
      <c r="HR15" s="20">
        <v>0</v>
      </c>
      <c r="HS15" s="20">
        <v>1</v>
      </c>
      <c r="HT15" s="20">
        <v>0</v>
      </c>
      <c r="HX15" s="20">
        <v>37.909999999999997</v>
      </c>
      <c r="HY15" s="20">
        <v>6</v>
      </c>
      <c r="IB15" s="20">
        <v>11</v>
      </c>
      <c r="IC15" s="20" t="s">
        <v>11</v>
      </c>
      <c r="ID15" s="20" t="s">
        <v>6</v>
      </c>
      <c r="IE15" s="33">
        <v>3</v>
      </c>
      <c r="IF15" s="20">
        <v>14</v>
      </c>
      <c r="IG15" s="20">
        <v>5</v>
      </c>
      <c r="IH15" s="20" t="s">
        <v>297</v>
      </c>
      <c r="II15" s="20" t="s">
        <v>179</v>
      </c>
      <c r="IJ15" s="20">
        <v>18</v>
      </c>
      <c r="IK15" s="20">
        <v>12</v>
      </c>
      <c r="IL15" s="20">
        <v>11</v>
      </c>
      <c r="IM15" s="20">
        <v>3</v>
      </c>
      <c r="IN15" s="20" t="s">
        <v>378</v>
      </c>
      <c r="IO15" s="34">
        <v>2</v>
      </c>
      <c r="IP15" s="20">
        <v>28</v>
      </c>
      <c r="IQ15" s="20">
        <v>10</v>
      </c>
      <c r="IR15" s="20" t="s">
        <v>297</v>
      </c>
      <c r="IS15" s="20" t="s">
        <v>343</v>
      </c>
      <c r="IT15" s="20">
        <v>8</v>
      </c>
      <c r="IU15" s="20">
        <v>4</v>
      </c>
      <c r="IV15" s="20">
        <v>9</v>
      </c>
      <c r="IW15" s="20">
        <v>11</v>
      </c>
      <c r="IX15" s="20" t="s">
        <v>388</v>
      </c>
      <c r="IZ15" s="20">
        <v>0</v>
      </c>
      <c r="JA15" s="20">
        <v>0</v>
      </c>
      <c r="JB15" s="20">
        <v>0</v>
      </c>
      <c r="JC15" s="20">
        <v>1</v>
      </c>
      <c r="JD15" s="20">
        <v>1</v>
      </c>
      <c r="JE15" s="20">
        <v>1</v>
      </c>
      <c r="JF15" s="20">
        <v>1</v>
      </c>
      <c r="JG15" s="20">
        <v>0</v>
      </c>
      <c r="JK15" s="20">
        <v>0</v>
      </c>
      <c r="JL15" s="20">
        <v>10</v>
      </c>
      <c r="JO15" s="20">
        <v>11</v>
      </c>
      <c r="JP15" s="20" t="s">
        <v>12</v>
      </c>
      <c r="JQ15" s="20" t="s">
        <v>14</v>
      </c>
      <c r="JR15" s="34">
        <v>0</v>
      </c>
      <c r="JS15" s="20">
        <v>12</v>
      </c>
      <c r="JT15" s="20">
        <v>5</v>
      </c>
      <c r="JU15" s="20" t="s">
        <v>254</v>
      </c>
      <c r="JV15" s="20" t="s">
        <v>142</v>
      </c>
      <c r="JW15" s="20">
        <v>28</v>
      </c>
      <c r="JX15" s="20">
        <v>21</v>
      </c>
      <c r="JY15" s="20">
        <v>10</v>
      </c>
      <c r="JZ15" s="20">
        <v>12</v>
      </c>
      <c r="KA15" s="20" t="s">
        <v>172</v>
      </c>
      <c r="KB15" s="33">
        <v>1</v>
      </c>
      <c r="KC15" s="20">
        <v>7</v>
      </c>
      <c r="KD15" s="20">
        <v>2</v>
      </c>
      <c r="KE15" s="20" t="s">
        <v>170</v>
      </c>
      <c r="KF15" s="20" t="s">
        <v>139</v>
      </c>
      <c r="KG15" s="20">
        <v>19</v>
      </c>
      <c r="KH15" s="20">
        <v>18</v>
      </c>
      <c r="KI15" s="20">
        <v>6</v>
      </c>
      <c r="KJ15" s="20">
        <v>15</v>
      </c>
      <c r="KK15" s="20" t="s">
        <v>174</v>
      </c>
      <c r="KM15" s="20">
        <v>0</v>
      </c>
      <c r="KN15" s="20">
        <v>0</v>
      </c>
      <c r="KO15" s="20">
        <v>0</v>
      </c>
      <c r="KP15" s="20">
        <v>0</v>
      </c>
      <c r="KQ15" s="20">
        <v>0</v>
      </c>
      <c r="KR15" s="20">
        <v>0</v>
      </c>
      <c r="KS15" s="20">
        <v>0</v>
      </c>
      <c r="KT15" s="20">
        <v>0</v>
      </c>
      <c r="KX15" s="20">
        <v>13.1</v>
      </c>
      <c r="KY15" s="20">
        <v>9</v>
      </c>
      <c r="LB15" s="20">
        <v>11</v>
      </c>
      <c r="LC15" s="20" t="s">
        <v>15</v>
      </c>
      <c r="LD15" s="20" t="s">
        <v>13</v>
      </c>
      <c r="LE15" s="34">
        <v>0</v>
      </c>
      <c r="LF15" s="20">
        <v>11</v>
      </c>
      <c r="LG15" s="20">
        <v>6</v>
      </c>
      <c r="LH15" s="20" t="s">
        <v>389</v>
      </c>
      <c r="LI15" s="20" t="s">
        <v>161</v>
      </c>
      <c r="LJ15" s="20">
        <v>19</v>
      </c>
      <c r="LK15" s="20">
        <v>24</v>
      </c>
      <c r="LL15" s="20">
        <v>7</v>
      </c>
      <c r="LM15" s="20">
        <v>6</v>
      </c>
      <c r="LN15" s="20" t="s">
        <v>216</v>
      </c>
      <c r="LO15" s="33">
        <v>2</v>
      </c>
      <c r="LP15" s="20">
        <v>8</v>
      </c>
      <c r="LQ15" s="20">
        <v>4</v>
      </c>
      <c r="LR15" s="20" t="s">
        <v>125</v>
      </c>
      <c r="LS15" s="20" t="s">
        <v>154</v>
      </c>
      <c r="LT15" s="20">
        <v>23</v>
      </c>
      <c r="LU15" s="20">
        <v>14</v>
      </c>
      <c r="LV15" s="20">
        <v>8</v>
      </c>
      <c r="LW15" s="20">
        <v>12</v>
      </c>
      <c r="LX15" s="20" t="s">
        <v>217</v>
      </c>
      <c r="LZ15" s="20">
        <v>0</v>
      </c>
      <c r="MA15" s="20">
        <v>0</v>
      </c>
      <c r="MB15" s="20">
        <v>0</v>
      </c>
      <c r="MC15" s="20">
        <v>1</v>
      </c>
      <c r="MD15" s="20">
        <v>0</v>
      </c>
      <c r="ME15" s="20">
        <v>1</v>
      </c>
      <c r="MF15" s="20">
        <v>0</v>
      </c>
      <c r="MG15" s="20">
        <v>0</v>
      </c>
      <c r="MK15" s="20">
        <v>4.55</v>
      </c>
      <c r="ML15" s="20">
        <v>4</v>
      </c>
      <c r="MO15" s="20">
        <v>11</v>
      </c>
      <c r="MP15" s="20" t="s">
        <v>12</v>
      </c>
      <c r="MQ15" s="20" t="s">
        <v>14</v>
      </c>
      <c r="MR15" s="33">
        <v>1</v>
      </c>
      <c r="MS15" s="20">
        <v>7</v>
      </c>
      <c r="MT15" s="20">
        <v>2</v>
      </c>
      <c r="MU15" s="20" t="s">
        <v>170</v>
      </c>
      <c r="MV15" s="20" t="s">
        <v>139</v>
      </c>
      <c r="MW15" s="20">
        <v>19</v>
      </c>
      <c r="MX15" s="20">
        <v>18</v>
      </c>
      <c r="MY15" s="20">
        <v>6</v>
      </c>
      <c r="MZ15" s="20">
        <v>15</v>
      </c>
      <c r="NA15" s="20" t="s">
        <v>174</v>
      </c>
      <c r="NB15" s="34">
        <v>0</v>
      </c>
      <c r="NC15" s="20">
        <v>12</v>
      </c>
      <c r="ND15" s="20">
        <v>5</v>
      </c>
      <c r="NE15" s="20" t="s">
        <v>254</v>
      </c>
      <c r="NF15" s="20" t="s">
        <v>142</v>
      </c>
      <c r="NG15" s="20">
        <v>28</v>
      </c>
      <c r="NH15" s="20">
        <v>21</v>
      </c>
      <c r="NI15" s="20">
        <v>10</v>
      </c>
      <c r="NJ15" s="20">
        <v>12</v>
      </c>
      <c r="NK15" s="20" t="s">
        <v>172</v>
      </c>
      <c r="NM15" s="20">
        <v>0</v>
      </c>
      <c r="NN15" s="20">
        <v>0</v>
      </c>
      <c r="NO15" s="20">
        <v>0</v>
      </c>
      <c r="NP15" s="20">
        <v>0</v>
      </c>
      <c r="NQ15" s="20">
        <v>0</v>
      </c>
      <c r="NR15" s="20">
        <v>0</v>
      </c>
      <c r="NS15" s="20">
        <v>0</v>
      </c>
      <c r="NT15" s="20">
        <v>0</v>
      </c>
      <c r="NX15" s="20">
        <v>13.1</v>
      </c>
      <c r="NY15" s="20">
        <v>9</v>
      </c>
      <c r="OB15" s="20">
        <v>11</v>
      </c>
      <c r="OC15" s="20" t="s">
        <v>15</v>
      </c>
      <c r="OD15" s="20" t="s">
        <v>13</v>
      </c>
      <c r="OE15" s="33">
        <v>2</v>
      </c>
      <c r="OF15" s="20">
        <v>8</v>
      </c>
      <c r="OG15" s="20">
        <v>4</v>
      </c>
      <c r="OH15" s="20" t="s">
        <v>125</v>
      </c>
      <c r="OI15" s="20" t="s">
        <v>154</v>
      </c>
      <c r="OJ15" s="20">
        <v>23</v>
      </c>
      <c r="OK15" s="20">
        <v>14</v>
      </c>
      <c r="OL15" s="20">
        <v>8</v>
      </c>
      <c r="OM15" s="20">
        <v>12</v>
      </c>
      <c r="ON15" s="20" t="s">
        <v>217</v>
      </c>
      <c r="OO15" s="34">
        <v>0</v>
      </c>
      <c r="OP15" s="20">
        <v>11</v>
      </c>
      <c r="OQ15" s="20">
        <v>6</v>
      </c>
      <c r="OR15" s="20" t="s">
        <v>389</v>
      </c>
      <c r="OS15" s="20" t="s">
        <v>161</v>
      </c>
      <c r="OT15" s="20">
        <v>19</v>
      </c>
      <c r="OU15" s="20">
        <v>24</v>
      </c>
      <c r="OV15" s="20">
        <v>7</v>
      </c>
      <c r="OW15" s="20">
        <v>6</v>
      </c>
      <c r="OX15" s="20" t="s">
        <v>216</v>
      </c>
      <c r="OZ15" s="20">
        <v>0</v>
      </c>
      <c r="PA15" s="20">
        <v>0</v>
      </c>
      <c r="PB15" s="20">
        <v>0</v>
      </c>
      <c r="PC15" s="20">
        <v>1</v>
      </c>
      <c r="PD15" s="20">
        <v>0</v>
      </c>
      <c r="PE15" s="20">
        <v>1</v>
      </c>
      <c r="PF15" s="20">
        <v>0</v>
      </c>
      <c r="PG15" s="20">
        <v>0</v>
      </c>
      <c r="PK15" s="20">
        <v>4.55</v>
      </c>
      <c r="PL15" s="20">
        <v>4</v>
      </c>
      <c r="PO15" s="20">
        <v>11</v>
      </c>
      <c r="PP15" s="20" t="s">
        <v>10</v>
      </c>
      <c r="PQ15" s="20" t="s">
        <v>17</v>
      </c>
      <c r="PR15" s="33">
        <v>5</v>
      </c>
      <c r="PS15" s="20">
        <v>9</v>
      </c>
      <c r="PT15" s="20">
        <v>5</v>
      </c>
      <c r="PU15" s="20" t="s">
        <v>370</v>
      </c>
      <c r="PV15" s="20" t="s">
        <v>219</v>
      </c>
      <c r="PW15" s="20">
        <v>24</v>
      </c>
      <c r="PX15" s="20">
        <v>18</v>
      </c>
      <c r="PY15" s="20">
        <v>4</v>
      </c>
      <c r="PZ15" s="20">
        <v>8</v>
      </c>
      <c r="QA15" s="20" t="s">
        <v>387</v>
      </c>
      <c r="QB15" s="34">
        <v>1</v>
      </c>
      <c r="QC15" s="20">
        <v>17</v>
      </c>
      <c r="QD15" s="20">
        <v>3</v>
      </c>
      <c r="QE15" s="20" t="s">
        <v>221</v>
      </c>
      <c r="QF15" s="20" t="s">
        <v>161</v>
      </c>
      <c r="QG15" s="20">
        <v>18</v>
      </c>
      <c r="QH15" s="20">
        <v>13</v>
      </c>
      <c r="QI15" s="20">
        <v>13</v>
      </c>
      <c r="QJ15" s="20">
        <v>12</v>
      </c>
      <c r="QK15" s="20" t="s">
        <v>386</v>
      </c>
      <c r="QM15" s="20">
        <v>1</v>
      </c>
      <c r="QN15" s="20">
        <v>1</v>
      </c>
      <c r="QO15" s="20">
        <v>0</v>
      </c>
      <c r="QP15" s="20">
        <v>1</v>
      </c>
      <c r="QQ15" s="20">
        <v>1</v>
      </c>
      <c r="QR15" s="20">
        <v>0</v>
      </c>
      <c r="QS15" s="20">
        <v>1</v>
      </c>
      <c r="QT15" s="20">
        <v>0</v>
      </c>
      <c r="QX15" s="20">
        <v>37.909999999999997</v>
      </c>
      <c r="QY15" s="20">
        <v>6</v>
      </c>
      <c r="RB15" s="20">
        <v>11</v>
      </c>
      <c r="RC15" s="20" t="s">
        <v>9</v>
      </c>
      <c r="RD15" s="20" t="s">
        <v>18</v>
      </c>
      <c r="RE15" s="34">
        <v>1</v>
      </c>
      <c r="RF15" s="20">
        <v>5</v>
      </c>
      <c r="RG15" s="20">
        <v>1</v>
      </c>
      <c r="RH15" s="20" t="s">
        <v>141</v>
      </c>
      <c r="RI15" s="20" t="s">
        <v>203</v>
      </c>
      <c r="RJ15" s="20">
        <v>18</v>
      </c>
      <c r="RK15" s="20">
        <v>25</v>
      </c>
      <c r="RL15" s="20">
        <v>14</v>
      </c>
      <c r="RM15" s="20">
        <v>9</v>
      </c>
      <c r="RN15" s="20" t="s">
        <v>385</v>
      </c>
      <c r="RO15" s="33">
        <v>2</v>
      </c>
      <c r="RP15" s="20">
        <v>8</v>
      </c>
      <c r="RQ15" s="20">
        <v>2</v>
      </c>
      <c r="RR15" s="20" t="s">
        <v>131</v>
      </c>
      <c r="RS15" s="20" t="s">
        <v>280</v>
      </c>
      <c r="RT15" s="20">
        <v>16</v>
      </c>
      <c r="RU15" s="20">
        <v>22</v>
      </c>
      <c r="RV15" s="20">
        <v>6</v>
      </c>
      <c r="RW15" s="20">
        <v>10</v>
      </c>
      <c r="RX15" s="20" t="s">
        <v>384</v>
      </c>
      <c r="RZ15" s="20">
        <v>1</v>
      </c>
      <c r="SA15" s="20">
        <v>1</v>
      </c>
      <c r="SB15" s="20">
        <v>0</v>
      </c>
      <c r="SC15" s="20">
        <v>0</v>
      </c>
      <c r="SD15" s="20">
        <v>0</v>
      </c>
      <c r="SE15" s="20">
        <v>0</v>
      </c>
      <c r="SF15" s="20">
        <v>0</v>
      </c>
      <c r="SG15" s="20">
        <v>0</v>
      </c>
      <c r="SK15" s="20">
        <v>5</v>
      </c>
      <c r="SL15" s="20">
        <v>2</v>
      </c>
      <c r="SO15" s="20">
        <v>11</v>
      </c>
      <c r="SP15" s="20" t="s">
        <v>19</v>
      </c>
      <c r="SQ15" s="20" t="s">
        <v>22</v>
      </c>
      <c r="SR15" s="33">
        <v>3</v>
      </c>
      <c r="SS15" s="20">
        <v>16</v>
      </c>
      <c r="ST15" s="20">
        <v>7</v>
      </c>
      <c r="SU15" s="20" t="s">
        <v>303</v>
      </c>
      <c r="SV15" s="20" t="s">
        <v>117</v>
      </c>
      <c r="SW15" s="20">
        <v>23</v>
      </c>
      <c r="SX15" s="20">
        <v>19</v>
      </c>
      <c r="SY15" s="20">
        <v>12</v>
      </c>
      <c r="SZ15" s="20">
        <v>9</v>
      </c>
      <c r="TA15" s="20" t="s">
        <v>390</v>
      </c>
      <c r="TB15" s="34">
        <v>1</v>
      </c>
      <c r="TC15" s="20">
        <v>10</v>
      </c>
      <c r="TD15" s="20">
        <v>4</v>
      </c>
      <c r="TE15" s="20" t="s">
        <v>133</v>
      </c>
      <c r="TF15" s="20" t="s">
        <v>176</v>
      </c>
      <c r="TG15" s="20">
        <v>12</v>
      </c>
      <c r="TH15" s="20">
        <v>18</v>
      </c>
      <c r="TI15" s="20">
        <v>10</v>
      </c>
      <c r="TJ15" s="20">
        <v>8</v>
      </c>
      <c r="TK15" s="20" t="s">
        <v>391</v>
      </c>
      <c r="TM15" s="20">
        <v>1</v>
      </c>
      <c r="TN15" s="20">
        <v>1</v>
      </c>
      <c r="TO15" s="20">
        <v>0</v>
      </c>
      <c r="TP15" s="20">
        <v>1</v>
      </c>
      <c r="TQ15" s="20">
        <v>1</v>
      </c>
      <c r="TR15" s="20">
        <v>1</v>
      </c>
      <c r="TS15" s="20">
        <v>0</v>
      </c>
      <c r="TT15" s="20">
        <v>0</v>
      </c>
      <c r="TX15" s="20">
        <v>3.75</v>
      </c>
      <c r="TY15" s="20">
        <v>11</v>
      </c>
      <c r="UB15" s="20">
        <v>11</v>
      </c>
      <c r="UC15" s="20" t="s">
        <v>23</v>
      </c>
      <c r="UD15" s="20" t="s">
        <v>16</v>
      </c>
      <c r="UE15" s="32">
        <v>1</v>
      </c>
      <c r="UF15" s="20">
        <v>9</v>
      </c>
      <c r="UG15" s="20">
        <v>5</v>
      </c>
      <c r="UH15" s="20" t="s">
        <v>370</v>
      </c>
      <c r="UI15" s="20" t="s">
        <v>139</v>
      </c>
      <c r="UJ15" s="20">
        <v>25</v>
      </c>
      <c r="UK15" s="20">
        <v>23</v>
      </c>
      <c r="UL15" s="20">
        <v>3</v>
      </c>
      <c r="UM15" s="20">
        <v>11</v>
      </c>
      <c r="UN15" s="20" t="s">
        <v>196</v>
      </c>
      <c r="UO15" s="32">
        <v>1</v>
      </c>
      <c r="UP15" s="20">
        <v>15</v>
      </c>
      <c r="UQ15" s="20">
        <v>5</v>
      </c>
      <c r="UR15" s="20" t="s">
        <v>209</v>
      </c>
      <c r="US15" s="20" t="s">
        <v>123</v>
      </c>
      <c r="UT15" s="20">
        <v>14</v>
      </c>
      <c r="UU15" s="20">
        <v>23</v>
      </c>
      <c r="UV15" s="20">
        <v>2</v>
      </c>
      <c r="UW15" s="20">
        <v>14</v>
      </c>
      <c r="UX15" s="20" t="s">
        <v>195</v>
      </c>
      <c r="UZ15" s="32">
        <v>0</v>
      </c>
      <c r="VA15" s="32">
        <v>0</v>
      </c>
      <c r="VB15" s="32">
        <v>1</v>
      </c>
      <c r="VC15" s="32">
        <v>0</v>
      </c>
      <c r="VD15" s="32">
        <v>0</v>
      </c>
      <c r="VE15" s="32">
        <v>0</v>
      </c>
      <c r="VF15" s="32">
        <v>0</v>
      </c>
      <c r="VG15" s="32">
        <v>1</v>
      </c>
      <c r="VK15" s="32">
        <v>22.22</v>
      </c>
      <c r="VL15" s="32">
        <v>11</v>
      </c>
      <c r="VO15" s="20">
        <v>11</v>
      </c>
      <c r="VP15" s="20" t="s">
        <v>21</v>
      </c>
      <c r="VQ15" s="20" t="s">
        <v>20</v>
      </c>
      <c r="VR15" s="34">
        <v>1</v>
      </c>
      <c r="VS15" s="20">
        <v>8</v>
      </c>
      <c r="VT15" s="20">
        <v>2</v>
      </c>
      <c r="VU15" s="20" t="s">
        <v>131</v>
      </c>
      <c r="VV15" s="20" t="s">
        <v>154</v>
      </c>
      <c r="VW15" s="20">
        <v>8</v>
      </c>
      <c r="VX15" s="20">
        <v>28</v>
      </c>
      <c r="VY15" s="20">
        <v>6</v>
      </c>
      <c r="VZ15" s="20">
        <v>8</v>
      </c>
      <c r="WA15" s="20" t="s">
        <v>362</v>
      </c>
      <c r="WB15" s="33">
        <v>2</v>
      </c>
      <c r="WC15" s="20">
        <v>7</v>
      </c>
      <c r="WD15" s="20">
        <v>2</v>
      </c>
      <c r="WE15" s="20" t="s">
        <v>170</v>
      </c>
      <c r="WF15" s="20" t="s">
        <v>307</v>
      </c>
      <c r="WG15" s="20">
        <v>10</v>
      </c>
      <c r="WH15" s="20">
        <v>23</v>
      </c>
      <c r="WI15" s="20">
        <v>3</v>
      </c>
      <c r="WJ15" s="20">
        <v>2</v>
      </c>
      <c r="WK15" s="20" t="s">
        <v>363</v>
      </c>
      <c r="WM15" s="20">
        <v>0</v>
      </c>
      <c r="WN15" s="20">
        <v>1</v>
      </c>
      <c r="WO15" s="20">
        <v>0</v>
      </c>
      <c r="WP15" s="20">
        <v>1</v>
      </c>
      <c r="WQ15" s="20">
        <v>0</v>
      </c>
      <c r="WR15" s="20">
        <v>0</v>
      </c>
      <c r="WS15" s="20">
        <v>1</v>
      </c>
      <c r="WT15" s="20">
        <v>0</v>
      </c>
      <c r="WX15" s="20">
        <v>3.57</v>
      </c>
      <c r="WY15" s="20">
        <v>2</v>
      </c>
      <c r="XB15" s="20">
        <v>11</v>
      </c>
      <c r="XC15" s="20" t="s">
        <v>7</v>
      </c>
      <c r="XD15" s="20" t="s">
        <v>34</v>
      </c>
      <c r="XE15" s="34">
        <v>0</v>
      </c>
      <c r="XF15" s="20">
        <v>9</v>
      </c>
      <c r="XG15" s="20">
        <v>2</v>
      </c>
      <c r="XH15" s="20" t="s">
        <v>146</v>
      </c>
      <c r="XI15" s="20" t="s">
        <v>379</v>
      </c>
      <c r="XJ15" s="20">
        <v>20</v>
      </c>
      <c r="XK15" s="20">
        <v>28</v>
      </c>
      <c r="XL15" s="20">
        <v>4</v>
      </c>
      <c r="XM15" s="20">
        <v>12</v>
      </c>
      <c r="XN15" s="20" t="s">
        <v>380</v>
      </c>
      <c r="XO15" s="33">
        <v>1</v>
      </c>
      <c r="XP15" s="20">
        <v>15</v>
      </c>
      <c r="XQ15" s="20">
        <v>3</v>
      </c>
      <c r="XR15" s="20" t="s">
        <v>141</v>
      </c>
      <c r="XS15" s="20" t="s">
        <v>168</v>
      </c>
      <c r="XT15" s="20">
        <v>23</v>
      </c>
      <c r="XU15" s="20">
        <v>29</v>
      </c>
      <c r="XV15" s="20">
        <v>9</v>
      </c>
      <c r="XW15" s="20">
        <v>7</v>
      </c>
      <c r="XX15" s="20" t="s">
        <v>203</v>
      </c>
      <c r="XZ15" s="20">
        <v>1</v>
      </c>
      <c r="YA15" s="20">
        <v>0</v>
      </c>
      <c r="YB15" s="20">
        <v>1</v>
      </c>
      <c r="YC15" s="20">
        <v>1</v>
      </c>
      <c r="YD15" s="20">
        <v>1</v>
      </c>
      <c r="YE15" s="20">
        <v>1</v>
      </c>
      <c r="YF15" s="20">
        <v>1</v>
      </c>
      <c r="YG15" s="20">
        <v>1</v>
      </c>
      <c r="YK15" s="20">
        <v>2.2200000000000002</v>
      </c>
      <c r="YL15" s="20">
        <v>3</v>
      </c>
      <c r="YO15" s="20">
        <v>11</v>
      </c>
      <c r="YP15" s="20" t="s">
        <v>21</v>
      </c>
      <c r="YQ15" s="20" t="s">
        <v>20</v>
      </c>
      <c r="YR15" s="33">
        <v>2</v>
      </c>
      <c r="YS15" s="20">
        <v>7</v>
      </c>
      <c r="YT15" s="20">
        <v>2</v>
      </c>
      <c r="YU15" s="20" t="s">
        <v>170</v>
      </c>
      <c r="YV15" s="20" t="s">
        <v>307</v>
      </c>
      <c r="YW15" s="20">
        <v>10</v>
      </c>
      <c r="YX15" s="20">
        <v>23</v>
      </c>
      <c r="YY15" s="20">
        <v>3</v>
      </c>
      <c r="YZ15" s="20">
        <v>2</v>
      </c>
      <c r="ZA15" s="20" t="s">
        <v>363</v>
      </c>
      <c r="ZB15" s="34">
        <v>1</v>
      </c>
      <c r="ZC15" s="20">
        <v>8</v>
      </c>
      <c r="ZD15" s="20">
        <v>2</v>
      </c>
      <c r="ZE15" s="20" t="s">
        <v>131</v>
      </c>
      <c r="ZF15" s="20" t="s">
        <v>154</v>
      </c>
      <c r="ZG15" s="20">
        <v>8</v>
      </c>
      <c r="ZH15" s="20">
        <v>28</v>
      </c>
      <c r="ZI15" s="20">
        <v>6</v>
      </c>
      <c r="ZJ15" s="20">
        <v>8</v>
      </c>
      <c r="ZK15" s="20" t="s">
        <v>362</v>
      </c>
      <c r="ZM15" s="20">
        <v>0</v>
      </c>
      <c r="ZN15" s="20">
        <v>1</v>
      </c>
      <c r="ZO15" s="20">
        <v>0</v>
      </c>
      <c r="ZP15" s="20">
        <v>1</v>
      </c>
      <c r="ZQ15" s="20">
        <v>0</v>
      </c>
      <c r="ZR15" s="20">
        <v>0</v>
      </c>
      <c r="ZS15" s="20">
        <v>1</v>
      </c>
      <c r="ZT15" s="20">
        <v>0</v>
      </c>
      <c r="ZX15" s="20">
        <v>3.57</v>
      </c>
      <c r="ZY15" s="20">
        <v>2</v>
      </c>
      <c r="AAB15" s="20">
        <v>11</v>
      </c>
      <c r="AAC15" s="20" t="s">
        <v>19</v>
      </c>
      <c r="AAD15" s="20" t="s">
        <v>22</v>
      </c>
      <c r="AAE15" s="34">
        <v>1</v>
      </c>
      <c r="AAF15" s="20">
        <v>10</v>
      </c>
      <c r="AAG15" s="20">
        <v>4</v>
      </c>
      <c r="AAH15" s="20" t="s">
        <v>133</v>
      </c>
      <c r="AAI15" s="20" t="s">
        <v>176</v>
      </c>
      <c r="AAJ15" s="20">
        <v>12</v>
      </c>
      <c r="AAK15" s="20">
        <v>18</v>
      </c>
      <c r="AAL15" s="20">
        <v>10</v>
      </c>
      <c r="AAM15" s="20">
        <v>8</v>
      </c>
      <c r="AAN15" s="20" t="s">
        <v>391</v>
      </c>
      <c r="AAO15" s="33">
        <v>3</v>
      </c>
      <c r="AAP15" s="20">
        <v>16</v>
      </c>
      <c r="AAQ15" s="20">
        <v>7</v>
      </c>
      <c r="AAR15" s="20" t="s">
        <v>303</v>
      </c>
      <c r="AAS15" s="20" t="s">
        <v>117</v>
      </c>
      <c r="AAT15" s="20">
        <v>23</v>
      </c>
      <c r="AAU15" s="20">
        <v>19</v>
      </c>
      <c r="AAV15" s="20">
        <v>12</v>
      </c>
      <c r="AAW15" s="20">
        <v>9</v>
      </c>
      <c r="AAX15" s="20" t="s">
        <v>390</v>
      </c>
      <c r="AAZ15" s="20">
        <v>1</v>
      </c>
      <c r="ABA15" s="20">
        <v>1</v>
      </c>
      <c r="ABB15" s="20">
        <v>0</v>
      </c>
      <c r="ABC15" s="20">
        <v>1</v>
      </c>
      <c r="ABD15" s="20">
        <v>1</v>
      </c>
      <c r="ABE15" s="20">
        <v>1</v>
      </c>
      <c r="ABF15" s="20">
        <v>0</v>
      </c>
      <c r="ABG15" s="20">
        <v>0</v>
      </c>
      <c r="ABK15" s="20">
        <v>3.75</v>
      </c>
      <c r="ABL15" s="20">
        <v>11</v>
      </c>
      <c r="ABO15" s="20">
        <v>11</v>
      </c>
      <c r="ABP15" s="20" t="s">
        <v>23</v>
      </c>
      <c r="ABQ15" s="20" t="s">
        <v>16</v>
      </c>
      <c r="ABR15" s="32">
        <v>1</v>
      </c>
      <c r="ABS15" s="20">
        <v>15</v>
      </c>
      <c r="ABT15" s="20">
        <v>5</v>
      </c>
      <c r="ABU15" s="20" t="s">
        <v>209</v>
      </c>
      <c r="ABV15" s="20" t="s">
        <v>123</v>
      </c>
      <c r="ABW15" s="20">
        <v>14</v>
      </c>
      <c r="ABX15" s="20">
        <v>23</v>
      </c>
      <c r="ABY15" s="20">
        <v>2</v>
      </c>
      <c r="ABZ15" s="20">
        <v>14</v>
      </c>
      <c r="ACA15" s="20" t="s">
        <v>195</v>
      </c>
      <c r="ACB15" s="32">
        <v>1</v>
      </c>
      <c r="ACC15" s="20">
        <v>9</v>
      </c>
      <c r="ACD15" s="20">
        <v>5</v>
      </c>
      <c r="ACE15" s="20" t="s">
        <v>370</v>
      </c>
      <c r="ACF15" s="20" t="s">
        <v>139</v>
      </c>
      <c r="ACG15" s="20">
        <v>25</v>
      </c>
      <c r="ACH15" s="20">
        <v>23</v>
      </c>
      <c r="ACI15" s="20">
        <v>3</v>
      </c>
      <c r="ACJ15" s="20">
        <v>11</v>
      </c>
      <c r="ACK15" s="20" t="s">
        <v>196</v>
      </c>
      <c r="ACM15" s="32">
        <v>0</v>
      </c>
      <c r="ACN15" s="32">
        <v>0</v>
      </c>
      <c r="ACO15" s="32">
        <v>1</v>
      </c>
      <c r="ACP15" s="32">
        <v>0</v>
      </c>
      <c r="ACQ15" s="32">
        <v>0</v>
      </c>
      <c r="ACR15" s="32">
        <v>0</v>
      </c>
      <c r="ACS15" s="32">
        <v>0</v>
      </c>
      <c r="ACT15" s="32">
        <v>1</v>
      </c>
      <c r="ACX15" s="32">
        <v>22.22</v>
      </c>
      <c r="ACY15" s="32">
        <v>11</v>
      </c>
    </row>
    <row r="16" spans="1:779" x14ac:dyDescent="0.3">
      <c r="A16" s="27">
        <f>E16/G16</f>
        <v>0.5714285714285714</v>
      </c>
      <c r="B16" s="20">
        <v>12</v>
      </c>
      <c r="C16" s="20" t="s">
        <v>6</v>
      </c>
      <c r="D16" s="20" t="s">
        <v>5</v>
      </c>
      <c r="E16" s="29">
        <v>4</v>
      </c>
      <c r="F16" s="20">
        <v>18</v>
      </c>
      <c r="G16" s="30">
        <v>7</v>
      </c>
      <c r="H16" s="27">
        <v>0.38890000000000002</v>
      </c>
      <c r="I16" s="28">
        <v>0.87</v>
      </c>
      <c r="J16" s="20">
        <v>14</v>
      </c>
      <c r="K16" s="20">
        <v>7</v>
      </c>
      <c r="L16" s="20">
        <v>12</v>
      </c>
      <c r="M16" s="30">
        <v>15</v>
      </c>
      <c r="N16" s="27">
        <v>0.58599999999999997</v>
      </c>
      <c r="O16" s="31">
        <v>0</v>
      </c>
      <c r="P16" s="20">
        <v>13</v>
      </c>
      <c r="Q16" s="30">
        <v>7</v>
      </c>
      <c r="R16" s="27">
        <v>0.53849999999999998</v>
      </c>
      <c r="S16" s="28">
        <v>0.83</v>
      </c>
      <c r="T16" s="20">
        <v>22</v>
      </c>
      <c r="U16" s="20">
        <v>7</v>
      </c>
      <c r="V16" s="20">
        <v>8</v>
      </c>
      <c r="W16" s="30">
        <v>7</v>
      </c>
      <c r="X16" s="27">
        <v>0.41399999999999998</v>
      </c>
      <c r="Z16" s="20">
        <v>1</v>
      </c>
      <c r="AA16" s="20">
        <v>0</v>
      </c>
      <c r="AB16" s="20">
        <v>1</v>
      </c>
      <c r="AC16" s="20">
        <v>0</v>
      </c>
      <c r="AD16" s="20">
        <v>1</v>
      </c>
      <c r="AE16" s="20">
        <v>1</v>
      </c>
      <c r="AF16" s="20">
        <v>0</v>
      </c>
      <c r="AG16" s="20">
        <v>1</v>
      </c>
      <c r="AK16" s="20">
        <v>14.96</v>
      </c>
      <c r="AL16" s="20">
        <v>8</v>
      </c>
      <c r="AM16" s="20"/>
      <c r="AN16" s="20"/>
      <c r="AO16" s="20">
        <v>12</v>
      </c>
      <c r="AP16" s="20" t="s">
        <v>6</v>
      </c>
      <c r="AQ16" s="20" t="s">
        <v>5</v>
      </c>
      <c r="AR16" s="34">
        <v>0</v>
      </c>
      <c r="AS16" s="30">
        <v>13</v>
      </c>
      <c r="AT16" s="30">
        <v>7</v>
      </c>
      <c r="AU16" s="27">
        <v>0.53849999999999998</v>
      </c>
      <c r="AV16" s="28">
        <v>0.83</v>
      </c>
      <c r="AW16" s="20">
        <v>22</v>
      </c>
      <c r="AX16" s="20">
        <v>7</v>
      </c>
      <c r="AY16" s="30">
        <v>8</v>
      </c>
      <c r="AZ16" s="20">
        <v>7</v>
      </c>
      <c r="BA16" s="27">
        <v>0.41399999999999998</v>
      </c>
      <c r="BB16" s="33">
        <v>4</v>
      </c>
      <c r="BC16" s="20">
        <v>18</v>
      </c>
      <c r="BD16" s="20">
        <v>7</v>
      </c>
      <c r="BE16" s="20" t="s">
        <v>261</v>
      </c>
      <c r="BF16" s="20" t="s">
        <v>136</v>
      </c>
      <c r="BG16" s="20">
        <v>14</v>
      </c>
      <c r="BH16" s="20">
        <v>7</v>
      </c>
      <c r="BI16" s="20">
        <v>12</v>
      </c>
      <c r="BJ16" s="20">
        <v>15</v>
      </c>
      <c r="BK16" s="20" t="s">
        <v>392</v>
      </c>
      <c r="BM16" s="20">
        <v>1</v>
      </c>
      <c r="BN16" s="20">
        <v>0</v>
      </c>
      <c r="BO16" s="20">
        <v>1</v>
      </c>
      <c r="BP16" s="20">
        <v>0</v>
      </c>
      <c r="BQ16" s="20">
        <v>1</v>
      </c>
      <c r="BR16" s="20">
        <v>1</v>
      </c>
      <c r="BS16" s="20">
        <v>0</v>
      </c>
      <c r="BT16" s="20">
        <v>1</v>
      </c>
      <c r="BX16" s="20">
        <v>14.96</v>
      </c>
      <c r="BY16" s="20">
        <v>8</v>
      </c>
      <c r="BZ16" s="20"/>
      <c r="CA16" s="20"/>
      <c r="CB16" s="20">
        <v>12</v>
      </c>
      <c r="CC16" s="20" t="s">
        <v>14</v>
      </c>
      <c r="CD16" s="20" t="s">
        <v>7</v>
      </c>
      <c r="CE16" s="33">
        <v>1</v>
      </c>
      <c r="CF16" s="20">
        <v>11</v>
      </c>
      <c r="CG16" s="20">
        <v>4</v>
      </c>
      <c r="CH16" s="20" t="s">
        <v>249</v>
      </c>
      <c r="CI16" s="20" t="s">
        <v>168</v>
      </c>
      <c r="CJ16" s="20">
        <v>22</v>
      </c>
      <c r="CK16" s="20">
        <v>16</v>
      </c>
      <c r="CL16" s="20">
        <v>10</v>
      </c>
      <c r="CM16" s="20">
        <v>8</v>
      </c>
      <c r="CN16" s="20" t="s">
        <v>393</v>
      </c>
      <c r="CO16" s="34">
        <v>0</v>
      </c>
      <c r="CP16" s="20">
        <v>6</v>
      </c>
      <c r="CQ16" s="20">
        <v>3</v>
      </c>
      <c r="CR16" s="20" t="s">
        <v>125</v>
      </c>
      <c r="CS16" s="20" t="s">
        <v>176</v>
      </c>
      <c r="CT16" s="20">
        <v>17</v>
      </c>
      <c r="CU16" s="20">
        <v>18</v>
      </c>
      <c r="CV16" s="20">
        <v>17</v>
      </c>
      <c r="CW16" s="20">
        <v>11</v>
      </c>
      <c r="CX16" s="20" t="s">
        <v>394</v>
      </c>
      <c r="CZ16" s="20">
        <v>1</v>
      </c>
      <c r="DA16" s="20">
        <v>0</v>
      </c>
      <c r="DB16" s="20">
        <v>1</v>
      </c>
      <c r="DC16" s="20">
        <v>1</v>
      </c>
      <c r="DD16" s="20">
        <v>0</v>
      </c>
      <c r="DE16" s="20">
        <v>0</v>
      </c>
      <c r="DF16" s="20">
        <v>1</v>
      </c>
      <c r="DG16" s="20">
        <v>1</v>
      </c>
      <c r="DK16" s="20">
        <v>13.64</v>
      </c>
      <c r="DL16" s="20">
        <v>5</v>
      </c>
      <c r="DO16" s="20">
        <v>12</v>
      </c>
      <c r="DP16" s="20" t="s">
        <v>8</v>
      </c>
      <c r="DQ16" s="20" t="s">
        <v>19</v>
      </c>
      <c r="DR16" s="32">
        <v>1</v>
      </c>
      <c r="DS16" s="20">
        <v>12</v>
      </c>
      <c r="DT16" s="20">
        <v>5</v>
      </c>
      <c r="DU16" s="20" t="s">
        <v>254</v>
      </c>
      <c r="DV16" s="20" t="s">
        <v>154</v>
      </c>
      <c r="DW16" s="20">
        <v>17</v>
      </c>
      <c r="DX16" s="20">
        <v>16</v>
      </c>
      <c r="DY16" s="20">
        <v>7</v>
      </c>
      <c r="DZ16" s="20">
        <v>13</v>
      </c>
      <c r="EA16" s="20" t="s">
        <v>299</v>
      </c>
      <c r="EB16" s="32">
        <v>1</v>
      </c>
      <c r="EC16" s="20">
        <v>17</v>
      </c>
      <c r="ED16" s="20">
        <v>7</v>
      </c>
      <c r="EE16" s="20" t="s">
        <v>166</v>
      </c>
      <c r="EF16" s="20" t="s">
        <v>126</v>
      </c>
      <c r="EG16" s="20">
        <v>25</v>
      </c>
      <c r="EH16" s="20">
        <v>27</v>
      </c>
      <c r="EI16" s="20">
        <v>6</v>
      </c>
      <c r="EJ16" s="20">
        <v>10</v>
      </c>
      <c r="EK16" s="20" t="s">
        <v>300</v>
      </c>
      <c r="EM16" s="32">
        <v>1</v>
      </c>
      <c r="EN16" s="32">
        <v>0</v>
      </c>
      <c r="EO16" s="32">
        <v>0</v>
      </c>
      <c r="EP16" s="32">
        <v>1</v>
      </c>
      <c r="EQ16" s="32">
        <v>1</v>
      </c>
      <c r="ER16" s="32">
        <v>0</v>
      </c>
      <c r="ES16" s="32">
        <v>1</v>
      </c>
      <c r="ET16" s="32">
        <v>0</v>
      </c>
      <c r="EX16" s="32">
        <v>0.49</v>
      </c>
      <c r="EY16" s="32">
        <v>8</v>
      </c>
      <c r="FB16" s="20">
        <v>12</v>
      </c>
      <c r="FC16" s="20" t="s">
        <v>20</v>
      </c>
      <c r="FD16" s="20" t="s">
        <v>9</v>
      </c>
      <c r="FE16" s="34">
        <v>0</v>
      </c>
      <c r="FF16" s="20">
        <v>11</v>
      </c>
      <c r="FG16" s="20">
        <v>6</v>
      </c>
      <c r="FH16" s="20" t="s">
        <v>389</v>
      </c>
      <c r="FI16" s="20" t="s">
        <v>176</v>
      </c>
      <c r="FJ16" s="20">
        <v>22</v>
      </c>
      <c r="FK16" s="20">
        <v>20</v>
      </c>
      <c r="FL16" s="20">
        <v>11</v>
      </c>
      <c r="FM16" s="20">
        <v>18</v>
      </c>
      <c r="FN16" s="20" t="s">
        <v>159</v>
      </c>
      <c r="FO16" s="33">
        <v>2</v>
      </c>
      <c r="FP16" s="20">
        <v>8</v>
      </c>
      <c r="FQ16" s="20">
        <v>1</v>
      </c>
      <c r="FR16" s="20" t="s">
        <v>122</v>
      </c>
      <c r="FS16" s="20" t="s">
        <v>373</v>
      </c>
      <c r="FT16" s="20">
        <v>27</v>
      </c>
      <c r="FU16" s="20">
        <v>18</v>
      </c>
      <c r="FV16" s="20">
        <v>5</v>
      </c>
      <c r="FW16" s="20">
        <v>15</v>
      </c>
      <c r="FX16" s="20" t="s">
        <v>157</v>
      </c>
      <c r="FZ16" s="20">
        <v>0</v>
      </c>
      <c r="GA16" s="20">
        <v>0</v>
      </c>
      <c r="GB16" s="20">
        <v>0</v>
      </c>
      <c r="GC16" s="20">
        <v>1</v>
      </c>
      <c r="GD16" s="20">
        <v>0</v>
      </c>
      <c r="GE16" s="20">
        <v>0</v>
      </c>
      <c r="GF16" s="20">
        <v>1</v>
      </c>
      <c r="GG16" s="20">
        <v>0</v>
      </c>
      <c r="GK16" s="20">
        <v>42.05</v>
      </c>
      <c r="GL16" s="20">
        <v>5</v>
      </c>
      <c r="GO16" s="20">
        <v>12</v>
      </c>
      <c r="GP16" s="20" t="s">
        <v>16</v>
      </c>
      <c r="GQ16" s="20" t="s">
        <v>10</v>
      </c>
      <c r="GR16" s="34">
        <v>0</v>
      </c>
      <c r="GS16" s="20">
        <v>6</v>
      </c>
      <c r="GT16" s="20">
        <v>4</v>
      </c>
      <c r="GU16" s="20" t="s">
        <v>192</v>
      </c>
      <c r="GV16" s="20" t="s">
        <v>129</v>
      </c>
      <c r="GW16" s="20">
        <v>22</v>
      </c>
      <c r="GX16" s="20">
        <v>11</v>
      </c>
      <c r="GY16" s="20">
        <v>8</v>
      </c>
      <c r="GZ16" s="20">
        <v>13</v>
      </c>
      <c r="HA16" s="20" t="s">
        <v>218</v>
      </c>
      <c r="HB16" s="33">
        <v>2</v>
      </c>
      <c r="HC16" s="20">
        <v>5</v>
      </c>
      <c r="HD16" s="20">
        <v>2</v>
      </c>
      <c r="HE16" s="20" t="s">
        <v>133</v>
      </c>
      <c r="HF16" s="20" t="s">
        <v>156</v>
      </c>
      <c r="HG16" s="20">
        <v>30</v>
      </c>
      <c r="HH16" s="20">
        <v>16</v>
      </c>
      <c r="HI16" s="20">
        <v>11</v>
      </c>
      <c r="HJ16" s="20">
        <v>15</v>
      </c>
      <c r="HK16" s="20" t="s">
        <v>220</v>
      </c>
      <c r="HM16" s="20">
        <v>0</v>
      </c>
      <c r="HN16" s="20">
        <v>0</v>
      </c>
      <c r="HO16" s="20">
        <v>0</v>
      </c>
      <c r="HP16" s="20">
        <v>1</v>
      </c>
      <c r="HQ16" s="20">
        <v>1</v>
      </c>
      <c r="HR16" s="20">
        <v>1</v>
      </c>
      <c r="HS16" s="20">
        <v>0</v>
      </c>
      <c r="HT16" s="20">
        <v>0</v>
      </c>
      <c r="HX16" s="20">
        <v>26.67</v>
      </c>
      <c r="HY16" s="20">
        <v>8</v>
      </c>
      <c r="IB16" s="20">
        <v>12</v>
      </c>
      <c r="IC16" s="20" t="s">
        <v>13</v>
      </c>
      <c r="ID16" s="20" t="s">
        <v>11</v>
      </c>
      <c r="IE16" s="34">
        <v>0</v>
      </c>
      <c r="IF16" s="20">
        <v>13</v>
      </c>
      <c r="IG16" s="20">
        <v>5</v>
      </c>
      <c r="IH16" s="20" t="s">
        <v>202</v>
      </c>
      <c r="II16" s="20" t="s">
        <v>280</v>
      </c>
      <c r="IJ16" s="20">
        <v>14</v>
      </c>
      <c r="IK16" s="20">
        <v>18</v>
      </c>
      <c r="IL16" s="20">
        <v>8</v>
      </c>
      <c r="IM16" s="20">
        <v>8</v>
      </c>
      <c r="IN16" s="20" t="s">
        <v>395</v>
      </c>
      <c r="IO16" s="33">
        <v>2</v>
      </c>
      <c r="IP16" s="20">
        <v>14</v>
      </c>
      <c r="IQ16" s="20">
        <v>7</v>
      </c>
      <c r="IR16" s="20" t="s">
        <v>125</v>
      </c>
      <c r="IS16" s="20" t="s">
        <v>161</v>
      </c>
      <c r="IT16" s="20">
        <v>16</v>
      </c>
      <c r="IU16" s="20">
        <v>13</v>
      </c>
      <c r="IV16" s="20">
        <v>13</v>
      </c>
      <c r="IW16" s="20">
        <v>7</v>
      </c>
      <c r="IX16" s="20" t="s">
        <v>396</v>
      </c>
      <c r="IZ16" s="20">
        <v>1</v>
      </c>
      <c r="JA16" s="20">
        <v>1</v>
      </c>
      <c r="JB16" s="20">
        <v>1</v>
      </c>
      <c r="JC16" s="20">
        <v>1</v>
      </c>
      <c r="JD16" s="20">
        <v>0</v>
      </c>
      <c r="JE16" s="20">
        <v>1</v>
      </c>
      <c r="JF16" s="20">
        <v>1</v>
      </c>
      <c r="JG16" s="20">
        <v>1</v>
      </c>
      <c r="JK16" s="20">
        <v>11.54</v>
      </c>
      <c r="JL16" s="20">
        <v>2</v>
      </c>
      <c r="JO16" s="20">
        <v>12</v>
      </c>
      <c r="JP16" s="20" t="s">
        <v>18</v>
      </c>
      <c r="JQ16" s="20" t="s">
        <v>12</v>
      </c>
      <c r="JR16" s="34">
        <v>0</v>
      </c>
      <c r="JS16" s="20">
        <v>14</v>
      </c>
      <c r="JT16" s="20">
        <v>5</v>
      </c>
      <c r="JU16" s="20" t="s">
        <v>297</v>
      </c>
      <c r="JV16" s="20" t="s">
        <v>144</v>
      </c>
      <c r="JW16" s="20">
        <v>14</v>
      </c>
      <c r="JX16" s="20">
        <v>11</v>
      </c>
      <c r="JY16" s="20">
        <v>11</v>
      </c>
      <c r="JZ16" s="20">
        <v>13</v>
      </c>
      <c r="KA16" s="20" t="s">
        <v>257</v>
      </c>
      <c r="KB16" s="33">
        <v>2</v>
      </c>
      <c r="KC16" s="20">
        <v>7</v>
      </c>
      <c r="KD16" s="20">
        <v>3</v>
      </c>
      <c r="KE16" s="20" t="s">
        <v>207</v>
      </c>
      <c r="KF16" s="20" t="s">
        <v>139</v>
      </c>
      <c r="KG16" s="20">
        <v>21</v>
      </c>
      <c r="KH16" s="20">
        <v>12</v>
      </c>
      <c r="KI16" s="20">
        <v>12</v>
      </c>
      <c r="KJ16" s="20">
        <v>6</v>
      </c>
      <c r="KK16" s="20" t="s">
        <v>255</v>
      </c>
      <c r="KM16" s="20">
        <v>0</v>
      </c>
      <c r="KN16" s="20">
        <v>1</v>
      </c>
      <c r="KO16" s="20">
        <v>0</v>
      </c>
      <c r="KP16" s="20">
        <v>1</v>
      </c>
      <c r="KQ16" s="20">
        <v>1</v>
      </c>
      <c r="KR16" s="20">
        <v>1</v>
      </c>
      <c r="KS16" s="20">
        <v>1</v>
      </c>
      <c r="KT16" s="20">
        <v>0</v>
      </c>
      <c r="KX16" s="20">
        <v>7.14</v>
      </c>
      <c r="KY16" s="20">
        <v>7</v>
      </c>
      <c r="LB16" s="20">
        <v>12</v>
      </c>
      <c r="LC16" s="20" t="s">
        <v>13</v>
      </c>
      <c r="LD16" s="20" t="s">
        <v>11</v>
      </c>
      <c r="LE16" s="33">
        <v>2</v>
      </c>
      <c r="LF16" s="20">
        <v>14</v>
      </c>
      <c r="LG16" s="20">
        <v>7</v>
      </c>
      <c r="LH16" s="20" t="s">
        <v>125</v>
      </c>
      <c r="LI16" s="20" t="s">
        <v>161</v>
      </c>
      <c r="LJ16" s="20">
        <v>16</v>
      </c>
      <c r="LK16" s="20">
        <v>13</v>
      </c>
      <c r="LL16" s="20">
        <v>13</v>
      </c>
      <c r="LM16" s="20">
        <v>7</v>
      </c>
      <c r="LN16" s="20" t="s">
        <v>396</v>
      </c>
      <c r="LO16" s="34">
        <v>0</v>
      </c>
      <c r="LP16" s="20">
        <v>13</v>
      </c>
      <c r="LQ16" s="20">
        <v>5</v>
      </c>
      <c r="LR16" s="20" t="s">
        <v>202</v>
      </c>
      <c r="LS16" s="20" t="s">
        <v>280</v>
      </c>
      <c r="LT16" s="20">
        <v>14</v>
      </c>
      <c r="LU16" s="20">
        <v>18</v>
      </c>
      <c r="LV16" s="20">
        <v>8</v>
      </c>
      <c r="LW16" s="20">
        <v>8</v>
      </c>
      <c r="LX16" s="20" t="s">
        <v>395</v>
      </c>
      <c r="LZ16" s="20">
        <v>1</v>
      </c>
      <c r="MA16" s="20">
        <v>1</v>
      </c>
      <c r="MB16" s="20">
        <v>1</v>
      </c>
      <c r="MC16" s="20">
        <v>1</v>
      </c>
      <c r="MD16" s="20">
        <v>0</v>
      </c>
      <c r="ME16" s="20">
        <v>1</v>
      </c>
      <c r="MF16" s="20">
        <v>1</v>
      </c>
      <c r="MG16" s="20">
        <v>1</v>
      </c>
      <c r="MK16" s="20">
        <v>11.54</v>
      </c>
      <c r="ML16" s="20">
        <v>2</v>
      </c>
      <c r="MO16" s="20">
        <v>12</v>
      </c>
      <c r="MP16" s="20" t="s">
        <v>14</v>
      </c>
      <c r="MQ16" s="20" t="s">
        <v>7</v>
      </c>
      <c r="MR16" s="34">
        <v>0</v>
      </c>
      <c r="MS16" s="20">
        <v>6</v>
      </c>
      <c r="MT16" s="20">
        <v>3</v>
      </c>
      <c r="MU16" s="20" t="s">
        <v>125</v>
      </c>
      <c r="MV16" s="20" t="s">
        <v>176</v>
      </c>
      <c r="MW16" s="20">
        <v>17</v>
      </c>
      <c r="MX16" s="20">
        <v>18</v>
      </c>
      <c r="MY16" s="20">
        <v>17</v>
      </c>
      <c r="MZ16" s="20">
        <v>11</v>
      </c>
      <c r="NA16" s="20" t="s">
        <v>394</v>
      </c>
      <c r="NB16" s="33">
        <v>1</v>
      </c>
      <c r="NC16" s="20">
        <v>11</v>
      </c>
      <c r="ND16" s="20">
        <v>4</v>
      </c>
      <c r="NE16" s="20" t="s">
        <v>249</v>
      </c>
      <c r="NF16" s="20" t="s">
        <v>168</v>
      </c>
      <c r="NG16" s="20">
        <v>22</v>
      </c>
      <c r="NH16" s="20">
        <v>16</v>
      </c>
      <c r="NI16" s="20">
        <v>10</v>
      </c>
      <c r="NJ16" s="20">
        <v>8</v>
      </c>
      <c r="NK16" s="20" t="s">
        <v>393</v>
      </c>
      <c r="NM16" s="20">
        <v>1</v>
      </c>
      <c r="NN16" s="20">
        <v>0</v>
      </c>
      <c r="NO16" s="20">
        <v>1</v>
      </c>
      <c r="NP16" s="20">
        <v>1</v>
      </c>
      <c r="NQ16" s="20">
        <v>0</v>
      </c>
      <c r="NR16" s="20">
        <v>0</v>
      </c>
      <c r="NS16" s="20">
        <v>1</v>
      </c>
      <c r="NT16" s="20">
        <v>1</v>
      </c>
      <c r="NX16" s="20">
        <v>13.64</v>
      </c>
      <c r="NY16" s="20">
        <v>5</v>
      </c>
      <c r="OB16" s="20">
        <v>12</v>
      </c>
      <c r="OC16" s="20" t="s">
        <v>17</v>
      </c>
      <c r="OD16" s="20" t="s">
        <v>15</v>
      </c>
      <c r="OE16" s="32">
        <v>1</v>
      </c>
      <c r="OF16" s="20">
        <v>18</v>
      </c>
      <c r="OG16" s="20">
        <v>7</v>
      </c>
      <c r="OH16" s="20" t="s">
        <v>261</v>
      </c>
      <c r="OI16" s="20" t="s">
        <v>258</v>
      </c>
      <c r="OJ16" s="20">
        <v>19</v>
      </c>
      <c r="OK16" s="20">
        <v>8</v>
      </c>
      <c r="OL16" s="20">
        <v>12</v>
      </c>
      <c r="OM16" s="20">
        <v>11</v>
      </c>
      <c r="ON16" s="20" t="s">
        <v>375</v>
      </c>
      <c r="OO16" s="32">
        <v>1</v>
      </c>
      <c r="OP16" s="20">
        <v>9</v>
      </c>
      <c r="OQ16" s="20">
        <v>3</v>
      </c>
      <c r="OR16" s="20" t="s">
        <v>209</v>
      </c>
      <c r="OS16" s="20" t="s">
        <v>142</v>
      </c>
      <c r="OT16" s="20">
        <v>25</v>
      </c>
      <c r="OU16" s="20">
        <v>15</v>
      </c>
      <c r="OV16" s="20">
        <v>5</v>
      </c>
      <c r="OW16" s="20">
        <v>10</v>
      </c>
      <c r="OX16" s="20" t="s">
        <v>374</v>
      </c>
      <c r="OZ16" s="32">
        <v>1</v>
      </c>
      <c r="PA16" s="32">
        <v>1</v>
      </c>
      <c r="PB16" s="32">
        <v>1</v>
      </c>
      <c r="PC16" s="32">
        <v>0</v>
      </c>
      <c r="PD16" s="32">
        <v>0</v>
      </c>
      <c r="PE16" s="32">
        <v>1</v>
      </c>
      <c r="PF16" s="32">
        <v>0</v>
      </c>
      <c r="PG16" s="32">
        <v>1</v>
      </c>
      <c r="PK16" s="32">
        <v>5.56</v>
      </c>
      <c r="PL16" s="32">
        <v>6</v>
      </c>
      <c r="PO16" s="20">
        <v>12</v>
      </c>
      <c r="PP16" s="20" t="s">
        <v>17</v>
      </c>
      <c r="PQ16" s="20" t="s">
        <v>15</v>
      </c>
      <c r="PR16" s="32">
        <v>1</v>
      </c>
      <c r="PS16" s="20">
        <v>9</v>
      </c>
      <c r="PT16" s="20">
        <v>3</v>
      </c>
      <c r="PU16" s="20" t="s">
        <v>209</v>
      </c>
      <c r="PV16" s="20" t="s">
        <v>142</v>
      </c>
      <c r="PW16" s="20">
        <v>25</v>
      </c>
      <c r="PX16" s="20">
        <v>15</v>
      </c>
      <c r="PY16" s="20">
        <v>5</v>
      </c>
      <c r="PZ16" s="20">
        <v>10</v>
      </c>
      <c r="QA16" s="20" t="s">
        <v>374</v>
      </c>
      <c r="QB16" s="32">
        <v>1</v>
      </c>
      <c r="QC16" s="20">
        <v>18</v>
      </c>
      <c r="QD16" s="20">
        <v>7</v>
      </c>
      <c r="QE16" s="20" t="s">
        <v>261</v>
      </c>
      <c r="QF16" s="20" t="s">
        <v>258</v>
      </c>
      <c r="QG16" s="20">
        <v>19</v>
      </c>
      <c r="QH16" s="20">
        <v>8</v>
      </c>
      <c r="QI16" s="20">
        <v>12</v>
      </c>
      <c r="QJ16" s="20">
        <v>11</v>
      </c>
      <c r="QK16" s="20" t="s">
        <v>375</v>
      </c>
      <c r="QM16" s="32">
        <v>1</v>
      </c>
      <c r="QN16" s="32">
        <v>1</v>
      </c>
      <c r="QO16" s="32">
        <v>1</v>
      </c>
      <c r="QP16" s="32">
        <v>0</v>
      </c>
      <c r="QQ16" s="32">
        <v>0</v>
      </c>
      <c r="QR16" s="32">
        <v>1</v>
      </c>
      <c r="QS16" s="32">
        <v>0</v>
      </c>
      <c r="QT16" s="32">
        <v>1</v>
      </c>
      <c r="QX16" s="32">
        <v>5.56</v>
      </c>
      <c r="QY16" s="32">
        <v>6</v>
      </c>
      <c r="RB16" s="20">
        <v>12</v>
      </c>
      <c r="RC16" s="20" t="s">
        <v>18</v>
      </c>
      <c r="RD16" s="20" t="s">
        <v>12</v>
      </c>
      <c r="RE16" s="33">
        <v>2</v>
      </c>
      <c r="RF16" s="20">
        <v>7</v>
      </c>
      <c r="RG16" s="20">
        <v>3</v>
      </c>
      <c r="RH16" s="20" t="s">
        <v>207</v>
      </c>
      <c r="RI16" s="20" t="s">
        <v>139</v>
      </c>
      <c r="RJ16" s="20">
        <v>21</v>
      </c>
      <c r="RK16" s="20">
        <v>12</v>
      </c>
      <c r="RL16" s="20">
        <v>12</v>
      </c>
      <c r="RM16" s="20">
        <v>6</v>
      </c>
      <c r="RN16" s="20" t="s">
        <v>255</v>
      </c>
      <c r="RO16" s="34">
        <v>0</v>
      </c>
      <c r="RP16" s="20">
        <v>14</v>
      </c>
      <c r="RQ16" s="20">
        <v>5</v>
      </c>
      <c r="RR16" s="20" t="s">
        <v>297</v>
      </c>
      <c r="RS16" s="20" t="s">
        <v>144</v>
      </c>
      <c r="RT16" s="20">
        <v>14</v>
      </c>
      <c r="RU16" s="20">
        <v>11</v>
      </c>
      <c r="RV16" s="20">
        <v>11</v>
      </c>
      <c r="RW16" s="20">
        <v>13</v>
      </c>
      <c r="RX16" s="20" t="s">
        <v>257</v>
      </c>
      <c r="RZ16" s="20">
        <v>0</v>
      </c>
      <c r="SA16" s="20">
        <v>1</v>
      </c>
      <c r="SB16" s="20">
        <v>0</v>
      </c>
      <c r="SC16" s="20">
        <v>1</v>
      </c>
      <c r="SD16" s="20">
        <v>1</v>
      </c>
      <c r="SE16" s="20">
        <v>1</v>
      </c>
      <c r="SF16" s="20">
        <v>1</v>
      </c>
      <c r="SG16" s="20">
        <v>0</v>
      </c>
      <c r="SK16" s="20">
        <v>7.14</v>
      </c>
      <c r="SL16" s="20">
        <v>7</v>
      </c>
      <c r="SO16" s="20">
        <v>12</v>
      </c>
      <c r="SP16" s="20" t="s">
        <v>8</v>
      </c>
      <c r="SQ16" s="20" t="s">
        <v>19</v>
      </c>
      <c r="SR16" s="32">
        <v>1</v>
      </c>
      <c r="SS16" s="20">
        <v>17</v>
      </c>
      <c r="ST16" s="20">
        <v>7</v>
      </c>
      <c r="SU16" s="20" t="s">
        <v>166</v>
      </c>
      <c r="SV16" s="20" t="s">
        <v>126</v>
      </c>
      <c r="SW16" s="20">
        <v>25</v>
      </c>
      <c r="SX16" s="20">
        <v>27</v>
      </c>
      <c r="SY16" s="20">
        <v>6</v>
      </c>
      <c r="SZ16" s="20">
        <v>10</v>
      </c>
      <c r="TA16" s="20" t="s">
        <v>300</v>
      </c>
      <c r="TB16" s="32">
        <v>1</v>
      </c>
      <c r="TC16" s="20">
        <v>12</v>
      </c>
      <c r="TD16" s="20">
        <v>5</v>
      </c>
      <c r="TE16" s="20" t="s">
        <v>254</v>
      </c>
      <c r="TF16" s="20" t="s">
        <v>154</v>
      </c>
      <c r="TG16" s="20">
        <v>17</v>
      </c>
      <c r="TH16" s="20">
        <v>16</v>
      </c>
      <c r="TI16" s="20">
        <v>7</v>
      </c>
      <c r="TJ16" s="20">
        <v>13</v>
      </c>
      <c r="TK16" s="20" t="s">
        <v>299</v>
      </c>
      <c r="TM16" s="32">
        <v>1</v>
      </c>
      <c r="TN16" s="32">
        <v>0</v>
      </c>
      <c r="TO16" s="32">
        <v>0</v>
      </c>
      <c r="TP16" s="32">
        <v>1</v>
      </c>
      <c r="TQ16" s="32">
        <v>1</v>
      </c>
      <c r="TR16" s="32">
        <v>0</v>
      </c>
      <c r="TS16" s="32">
        <v>1</v>
      </c>
      <c r="TT16" s="32">
        <v>0</v>
      </c>
      <c r="TX16" s="32">
        <v>0.49</v>
      </c>
      <c r="TY16" s="32">
        <v>8</v>
      </c>
      <c r="UB16" s="20">
        <v>12</v>
      </c>
      <c r="UC16" s="20" t="s">
        <v>16</v>
      </c>
      <c r="UD16" s="20" t="s">
        <v>10</v>
      </c>
      <c r="UE16" s="33">
        <v>2</v>
      </c>
      <c r="UF16" s="20">
        <v>5</v>
      </c>
      <c r="UG16" s="20">
        <v>2</v>
      </c>
      <c r="UH16" s="20" t="s">
        <v>133</v>
      </c>
      <c r="UI16" s="20" t="s">
        <v>156</v>
      </c>
      <c r="UJ16" s="20">
        <v>30</v>
      </c>
      <c r="UK16" s="20">
        <v>16</v>
      </c>
      <c r="UL16" s="20">
        <v>11</v>
      </c>
      <c r="UM16" s="20">
        <v>15</v>
      </c>
      <c r="UN16" s="20" t="s">
        <v>220</v>
      </c>
      <c r="UO16" s="34">
        <v>0</v>
      </c>
      <c r="UP16" s="20">
        <v>6</v>
      </c>
      <c r="UQ16" s="20">
        <v>4</v>
      </c>
      <c r="UR16" s="20" t="s">
        <v>192</v>
      </c>
      <c r="US16" s="20" t="s">
        <v>129</v>
      </c>
      <c r="UT16" s="20">
        <v>22</v>
      </c>
      <c r="UU16" s="20">
        <v>11</v>
      </c>
      <c r="UV16" s="20">
        <v>8</v>
      </c>
      <c r="UW16" s="20">
        <v>13</v>
      </c>
      <c r="UX16" s="20" t="s">
        <v>218</v>
      </c>
      <c r="UZ16" s="20">
        <v>0</v>
      </c>
      <c r="VA16" s="20">
        <v>0</v>
      </c>
      <c r="VB16" s="20">
        <v>0</v>
      </c>
      <c r="VC16" s="20">
        <v>1</v>
      </c>
      <c r="VD16" s="20">
        <v>1</v>
      </c>
      <c r="VE16" s="20">
        <v>1</v>
      </c>
      <c r="VF16" s="20">
        <v>0</v>
      </c>
      <c r="VG16" s="20">
        <v>0</v>
      </c>
      <c r="VK16" s="20">
        <v>26.67</v>
      </c>
      <c r="VL16" s="20">
        <v>8</v>
      </c>
      <c r="VO16" s="20">
        <v>12</v>
      </c>
      <c r="VP16" s="20" t="s">
        <v>20</v>
      </c>
      <c r="VQ16" s="20" t="s">
        <v>9</v>
      </c>
      <c r="VR16" s="33">
        <v>2</v>
      </c>
      <c r="VS16" s="20">
        <v>8</v>
      </c>
      <c r="VT16" s="20">
        <v>1</v>
      </c>
      <c r="VU16" s="20" t="s">
        <v>122</v>
      </c>
      <c r="VV16" s="20" t="s">
        <v>373</v>
      </c>
      <c r="VW16" s="20">
        <v>27</v>
      </c>
      <c r="VX16" s="20">
        <v>18</v>
      </c>
      <c r="VY16" s="20">
        <v>5</v>
      </c>
      <c r="VZ16" s="20">
        <v>15</v>
      </c>
      <c r="WA16" s="20" t="s">
        <v>157</v>
      </c>
      <c r="WB16" s="34">
        <v>0</v>
      </c>
      <c r="WC16" s="20">
        <v>11</v>
      </c>
      <c r="WD16" s="20">
        <v>6</v>
      </c>
      <c r="WE16" s="20" t="s">
        <v>389</v>
      </c>
      <c r="WF16" s="20" t="s">
        <v>176</v>
      </c>
      <c r="WG16" s="20">
        <v>22</v>
      </c>
      <c r="WH16" s="20">
        <v>20</v>
      </c>
      <c r="WI16" s="20">
        <v>11</v>
      </c>
      <c r="WJ16" s="20">
        <v>18</v>
      </c>
      <c r="WK16" s="20" t="s">
        <v>159</v>
      </c>
      <c r="WM16" s="20">
        <v>0</v>
      </c>
      <c r="WN16" s="20">
        <v>0</v>
      </c>
      <c r="WO16" s="20">
        <v>0</v>
      </c>
      <c r="WP16" s="20">
        <v>1</v>
      </c>
      <c r="WQ16" s="20">
        <v>0</v>
      </c>
      <c r="WR16" s="20">
        <v>0</v>
      </c>
      <c r="WS16" s="20">
        <v>1</v>
      </c>
      <c r="WT16" s="20">
        <v>0</v>
      </c>
      <c r="WX16" s="20">
        <v>42.05</v>
      </c>
      <c r="WY16" s="20">
        <v>5</v>
      </c>
      <c r="XB16" s="20">
        <v>12</v>
      </c>
      <c r="XC16" s="20" t="s">
        <v>34</v>
      </c>
      <c r="XD16" s="20" t="s">
        <v>23</v>
      </c>
      <c r="XE16" s="34">
        <v>0</v>
      </c>
      <c r="XF16" s="20">
        <v>13</v>
      </c>
      <c r="XG16" s="20">
        <v>2</v>
      </c>
      <c r="XH16" s="20" t="s">
        <v>205</v>
      </c>
      <c r="XI16" s="20" t="s">
        <v>154</v>
      </c>
      <c r="XJ16" s="20">
        <v>16</v>
      </c>
      <c r="XK16" s="20">
        <v>17</v>
      </c>
      <c r="XL16" s="20">
        <v>5</v>
      </c>
      <c r="XM16" s="20">
        <v>9</v>
      </c>
      <c r="XN16" s="20" t="s">
        <v>397</v>
      </c>
      <c r="XO16" s="33">
        <v>3</v>
      </c>
      <c r="XP16" s="20">
        <v>13</v>
      </c>
      <c r="XQ16" s="20">
        <v>6</v>
      </c>
      <c r="XR16" s="20" t="s">
        <v>350</v>
      </c>
      <c r="XS16" s="20" t="s">
        <v>123</v>
      </c>
      <c r="XT16" s="20">
        <v>18</v>
      </c>
      <c r="XU16" s="20">
        <v>21</v>
      </c>
      <c r="XV16" s="20">
        <v>8</v>
      </c>
      <c r="XW16" s="20">
        <v>8</v>
      </c>
      <c r="XX16" s="20" t="s">
        <v>398</v>
      </c>
      <c r="XZ16" s="20">
        <v>1</v>
      </c>
      <c r="YA16" s="20">
        <v>1</v>
      </c>
      <c r="YB16" s="20">
        <v>0</v>
      </c>
      <c r="YC16" s="20">
        <v>1</v>
      </c>
      <c r="YD16" s="20">
        <v>1</v>
      </c>
      <c r="YE16" s="20">
        <v>1</v>
      </c>
      <c r="YF16" s="20">
        <v>1</v>
      </c>
      <c r="YG16" s="20">
        <v>0</v>
      </c>
      <c r="YK16" s="20">
        <v>30.77</v>
      </c>
      <c r="YL16" s="20">
        <v>2</v>
      </c>
      <c r="YO16" s="20">
        <v>12</v>
      </c>
      <c r="YP16" s="20" t="s">
        <v>22</v>
      </c>
      <c r="YQ16" s="20" t="s">
        <v>21</v>
      </c>
      <c r="YR16" s="32">
        <v>1</v>
      </c>
      <c r="YS16" s="20">
        <v>8</v>
      </c>
      <c r="YT16" s="20">
        <v>4</v>
      </c>
      <c r="YU16" s="20" t="s">
        <v>125</v>
      </c>
      <c r="YV16" s="20" t="s">
        <v>171</v>
      </c>
      <c r="YW16" s="20">
        <v>14</v>
      </c>
      <c r="YX16" s="20">
        <v>17</v>
      </c>
      <c r="YY16" s="20">
        <v>6</v>
      </c>
      <c r="YZ16" s="20">
        <v>15</v>
      </c>
      <c r="ZA16" s="20" t="s">
        <v>311</v>
      </c>
      <c r="ZB16" s="32">
        <v>1</v>
      </c>
      <c r="ZC16" s="20">
        <v>15</v>
      </c>
      <c r="ZD16" s="20">
        <v>8</v>
      </c>
      <c r="ZE16" s="20" t="s">
        <v>223</v>
      </c>
      <c r="ZF16" s="20" t="s">
        <v>307</v>
      </c>
      <c r="ZG16" s="20">
        <v>23</v>
      </c>
      <c r="ZH16" s="20">
        <v>15</v>
      </c>
      <c r="ZI16" s="20">
        <v>9</v>
      </c>
      <c r="ZJ16" s="20">
        <v>6</v>
      </c>
      <c r="ZK16" s="20" t="s">
        <v>309</v>
      </c>
      <c r="ZM16" s="32">
        <v>1</v>
      </c>
      <c r="ZN16" s="32">
        <v>1</v>
      </c>
      <c r="ZO16" s="32">
        <v>0</v>
      </c>
      <c r="ZP16" s="32">
        <v>1</v>
      </c>
      <c r="ZQ16" s="32">
        <v>0</v>
      </c>
      <c r="ZR16" s="32">
        <v>1</v>
      </c>
      <c r="ZS16" s="32">
        <v>1</v>
      </c>
      <c r="ZT16" s="32">
        <v>0</v>
      </c>
      <c r="ZX16" s="32">
        <v>3.33</v>
      </c>
      <c r="ZY16" s="32">
        <v>9</v>
      </c>
      <c r="AAB16" s="20">
        <v>12</v>
      </c>
      <c r="AAC16" s="20" t="s">
        <v>22</v>
      </c>
      <c r="AAD16" s="20" t="s">
        <v>21</v>
      </c>
      <c r="AAE16" s="32">
        <v>1</v>
      </c>
      <c r="AAF16" s="20">
        <v>15</v>
      </c>
      <c r="AAG16" s="20">
        <v>8</v>
      </c>
      <c r="AAH16" s="20" t="s">
        <v>223</v>
      </c>
      <c r="AAI16" s="20" t="s">
        <v>307</v>
      </c>
      <c r="AAJ16" s="20">
        <v>23</v>
      </c>
      <c r="AAK16" s="20">
        <v>15</v>
      </c>
      <c r="AAL16" s="20">
        <v>9</v>
      </c>
      <c r="AAM16" s="20">
        <v>6</v>
      </c>
      <c r="AAN16" s="20" t="s">
        <v>309</v>
      </c>
      <c r="AAO16" s="32">
        <v>1</v>
      </c>
      <c r="AAP16" s="20">
        <v>8</v>
      </c>
      <c r="AAQ16" s="20">
        <v>4</v>
      </c>
      <c r="AAR16" s="20" t="s">
        <v>125</v>
      </c>
      <c r="AAS16" s="20" t="s">
        <v>171</v>
      </c>
      <c r="AAT16" s="20">
        <v>14</v>
      </c>
      <c r="AAU16" s="20">
        <v>17</v>
      </c>
      <c r="AAV16" s="20">
        <v>6</v>
      </c>
      <c r="AAW16" s="20">
        <v>15</v>
      </c>
      <c r="AAX16" s="20" t="s">
        <v>311</v>
      </c>
      <c r="AAZ16" s="32">
        <v>1</v>
      </c>
      <c r="ABA16" s="32">
        <v>1</v>
      </c>
      <c r="ABB16" s="32">
        <v>0</v>
      </c>
      <c r="ABC16" s="32">
        <v>1</v>
      </c>
      <c r="ABD16" s="32">
        <v>0</v>
      </c>
      <c r="ABE16" s="32">
        <v>1</v>
      </c>
      <c r="ABF16" s="32">
        <v>1</v>
      </c>
      <c r="ABG16" s="32">
        <v>0</v>
      </c>
      <c r="ABK16" s="32">
        <v>3.33</v>
      </c>
      <c r="ABL16" s="32">
        <v>9</v>
      </c>
      <c r="ABO16" s="20">
        <v>12</v>
      </c>
      <c r="ABP16" s="20" t="s">
        <v>34</v>
      </c>
      <c r="ABQ16" s="20" t="s">
        <v>23</v>
      </c>
      <c r="ABR16" s="33">
        <v>3</v>
      </c>
      <c r="ABS16" s="20">
        <v>13</v>
      </c>
      <c r="ABT16" s="20">
        <v>6</v>
      </c>
      <c r="ABU16" s="20" t="s">
        <v>350</v>
      </c>
      <c r="ABV16" s="20" t="s">
        <v>123</v>
      </c>
      <c r="ABW16" s="20">
        <v>18</v>
      </c>
      <c r="ABX16" s="20">
        <v>21</v>
      </c>
      <c r="ABY16" s="20">
        <v>8</v>
      </c>
      <c r="ABZ16" s="20">
        <v>8</v>
      </c>
      <c r="ACA16" s="20" t="s">
        <v>398</v>
      </c>
      <c r="ACB16" s="34">
        <v>0</v>
      </c>
      <c r="ACC16" s="20">
        <v>13</v>
      </c>
      <c r="ACD16" s="20">
        <v>2</v>
      </c>
      <c r="ACE16" s="20" t="s">
        <v>205</v>
      </c>
      <c r="ACF16" s="20" t="s">
        <v>154</v>
      </c>
      <c r="ACG16" s="20">
        <v>16</v>
      </c>
      <c r="ACH16" s="20">
        <v>17</v>
      </c>
      <c r="ACI16" s="20">
        <v>5</v>
      </c>
      <c r="ACJ16" s="20">
        <v>9</v>
      </c>
      <c r="ACK16" s="20" t="s">
        <v>397</v>
      </c>
      <c r="ACM16" s="20">
        <v>1</v>
      </c>
      <c r="ACN16" s="20">
        <v>1</v>
      </c>
      <c r="ACO16" s="20">
        <v>0</v>
      </c>
      <c r="ACP16" s="20">
        <v>1</v>
      </c>
      <c r="ACQ16" s="20">
        <v>1</v>
      </c>
      <c r="ACR16" s="20">
        <v>1</v>
      </c>
      <c r="ACS16" s="20">
        <v>1</v>
      </c>
      <c r="ACT16" s="20">
        <v>0</v>
      </c>
      <c r="ACX16" s="20">
        <v>30.77</v>
      </c>
      <c r="ACY16" s="20">
        <v>2</v>
      </c>
    </row>
    <row r="17" spans="1:779" x14ac:dyDescent="0.3">
      <c r="A17" s="27">
        <f>E17/G17</f>
        <v>0.66666666666666663</v>
      </c>
      <c r="B17" s="20">
        <v>13</v>
      </c>
      <c r="C17" s="20" t="s">
        <v>5</v>
      </c>
      <c r="D17" s="20" t="s">
        <v>13</v>
      </c>
      <c r="E17" s="29">
        <v>4</v>
      </c>
      <c r="F17" s="20">
        <v>11</v>
      </c>
      <c r="G17" s="30">
        <v>6</v>
      </c>
      <c r="H17" s="27">
        <v>0.54549999999999998</v>
      </c>
      <c r="I17" s="28">
        <v>0.83</v>
      </c>
      <c r="J17" s="20">
        <v>15</v>
      </c>
      <c r="K17" s="20">
        <v>7</v>
      </c>
      <c r="L17" s="20">
        <v>19</v>
      </c>
      <c r="M17" s="30">
        <v>8</v>
      </c>
      <c r="N17" s="27">
        <v>0.55900000000000005</v>
      </c>
      <c r="O17" s="31">
        <v>0</v>
      </c>
      <c r="P17" s="20">
        <v>10</v>
      </c>
      <c r="Q17" s="30">
        <v>2</v>
      </c>
      <c r="R17" s="27">
        <v>0.2</v>
      </c>
      <c r="S17" s="28">
        <v>0.8</v>
      </c>
      <c r="T17" s="20">
        <v>20</v>
      </c>
      <c r="U17" s="20">
        <v>6</v>
      </c>
      <c r="V17" s="20">
        <v>7</v>
      </c>
      <c r="W17" s="30">
        <v>5</v>
      </c>
      <c r="X17" s="27">
        <v>0.441</v>
      </c>
      <c r="Z17" s="20">
        <v>1</v>
      </c>
      <c r="AA17" s="20">
        <v>1</v>
      </c>
      <c r="AB17" s="20">
        <v>1</v>
      </c>
      <c r="AC17" s="20">
        <v>0</v>
      </c>
      <c r="AD17" s="20">
        <v>1</v>
      </c>
      <c r="AE17" s="20">
        <v>1</v>
      </c>
      <c r="AF17" s="20">
        <v>0</v>
      </c>
      <c r="AG17" s="20">
        <v>1</v>
      </c>
      <c r="AK17" s="20">
        <v>34.549999999999997</v>
      </c>
      <c r="AL17" s="20">
        <v>5</v>
      </c>
      <c r="AM17" s="20"/>
      <c r="AN17" s="20"/>
      <c r="AO17" s="20">
        <v>13</v>
      </c>
      <c r="AP17" s="20" t="s">
        <v>19</v>
      </c>
      <c r="AQ17" s="20" t="s">
        <v>6</v>
      </c>
      <c r="AR17" s="33">
        <v>2</v>
      </c>
      <c r="AS17" s="30">
        <v>17</v>
      </c>
      <c r="AT17" s="30">
        <v>6</v>
      </c>
      <c r="AU17" s="27">
        <v>0.35289999999999999</v>
      </c>
      <c r="AV17" s="28">
        <v>0.81</v>
      </c>
      <c r="AW17" s="20">
        <v>17</v>
      </c>
      <c r="AX17" s="20">
        <v>17</v>
      </c>
      <c r="AY17" s="30">
        <v>8</v>
      </c>
      <c r="AZ17" s="20">
        <v>10</v>
      </c>
      <c r="BA17" s="27">
        <v>0.60899999999999999</v>
      </c>
      <c r="BB17" s="34">
        <v>0</v>
      </c>
      <c r="BC17" s="20">
        <v>8</v>
      </c>
      <c r="BD17" s="20">
        <v>3</v>
      </c>
      <c r="BE17" s="20" t="s">
        <v>153</v>
      </c>
      <c r="BF17" s="20" t="s">
        <v>151</v>
      </c>
      <c r="BG17" s="20">
        <v>20</v>
      </c>
      <c r="BH17" s="20">
        <v>14</v>
      </c>
      <c r="BI17" s="20">
        <v>3</v>
      </c>
      <c r="BJ17" s="20">
        <v>10</v>
      </c>
      <c r="BK17" s="20" t="s">
        <v>399</v>
      </c>
      <c r="BM17" s="20">
        <v>1</v>
      </c>
      <c r="BN17" s="20">
        <v>0</v>
      </c>
      <c r="BO17" s="20">
        <v>1</v>
      </c>
      <c r="BP17" s="20">
        <v>0</v>
      </c>
      <c r="BQ17" s="20">
        <v>1</v>
      </c>
      <c r="BR17" s="20">
        <v>1</v>
      </c>
      <c r="BS17" s="20">
        <v>1</v>
      </c>
      <c r="BT17" s="20">
        <v>1</v>
      </c>
      <c r="BX17" s="20">
        <v>2.21</v>
      </c>
      <c r="BY17" s="20">
        <v>3</v>
      </c>
      <c r="BZ17" s="20"/>
      <c r="CA17" s="20"/>
      <c r="CB17" s="20">
        <v>13</v>
      </c>
      <c r="CC17" s="20" t="s">
        <v>7</v>
      </c>
      <c r="CD17" s="20" t="s">
        <v>18</v>
      </c>
      <c r="CE17" s="33">
        <v>1</v>
      </c>
      <c r="CF17" s="20">
        <v>21</v>
      </c>
      <c r="CG17" s="20">
        <v>6</v>
      </c>
      <c r="CH17" s="20" t="s">
        <v>170</v>
      </c>
      <c r="CI17" s="20" t="s">
        <v>171</v>
      </c>
      <c r="CJ17" s="20">
        <v>15</v>
      </c>
      <c r="CK17" s="20">
        <v>14</v>
      </c>
      <c r="CL17" s="20">
        <v>12</v>
      </c>
      <c r="CM17" s="20">
        <v>14</v>
      </c>
      <c r="CN17" s="20" t="s">
        <v>296</v>
      </c>
      <c r="CO17" s="34">
        <v>0</v>
      </c>
      <c r="CP17" s="20">
        <v>5</v>
      </c>
      <c r="CQ17" s="20">
        <v>0</v>
      </c>
      <c r="CR17" s="20" t="s">
        <v>116</v>
      </c>
      <c r="CS17" s="20" t="s">
        <v>154</v>
      </c>
      <c r="CT17" s="20">
        <v>23</v>
      </c>
      <c r="CU17" s="20">
        <v>14</v>
      </c>
      <c r="CV17" s="20">
        <v>6</v>
      </c>
      <c r="CW17" s="20">
        <v>11</v>
      </c>
      <c r="CX17" s="20" t="s">
        <v>295</v>
      </c>
      <c r="CZ17" s="20">
        <v>1</v>
      </c>
      <c r="DA17" s="20">
        <v>1</v>
      </c>
      <c r="DB17" s="20">
        <v>1</v>
      </c>
      <c r="DC17" s="20">
        <v>0</v>
      </c>
      <c r="DD17" s="20">
        <v>0</v>
      </c>
      <c r="DE17" s="20">
        <v>1</v>
      </c>
      <c r="DF17" s="20">
        <v>0</v>
      </c>
      <c r="DG17" s="20">
        <v>1</v>
      </c>
      <c r="DK17" s="20">
        <v>28.57</v>
      </c>
      <c r="DL17" s="20">
        <v>8</v>
      </c>
      <c r="DO17" s="20">
        <v>13</v>
      </c>
      <c r="DP17" s="20" t="s">
        <v>22</v>
      </c>
      <c r="DQ17" s="20" t="s">
        <v>8</v>
      </c>
      <c r="DR17" s="34">
        <v>0</v>
      </c>
      <c r="DS17" s="20">
        <v>7</v>
      </c>
      <c r="DT17" s="20">
        <v>0</v>
      </c>
      <c r="DU17" s="20" t="s">
        <v>116</v>
      </c>
      <c r="DV17" s="20" t="s">
        <v>171</v>
      </c>
      <c r="DW17" s="20">
        <v>16</v>
      </c>
      <c r="DX17" s="20">
        <v>8</v>
      </c>
      <c r="DY17" s="20">
        <v>3</v>
      </c>
      <c r="DZ17" s="20">
        <v>16</v>
      </c>
      <c r="EA17" s="20" t="s">
        <v>299</v>
      </c>
      <c r="EB17" s="33">
        <v>2</v>
      </c>
      <c r="EC17" s="20">
        <v>12</v>
      </c>
      <c r="ED17" s="20">
        <v>5</v>
      </c>
      <c r="EE17" s="20" t="s">
        <v>254</v>
      </c>
      <c r="EF17" s="20" t="s">
        <v>151</v>
      </c>
      <c r="EG17" s="20">
        <v>21</v>
      </c>
      <c r="EH17" s="20">
        <v>11</v>
      </c>
      <c r="EI17" s="20">
        <v>6</v>
      </c>
      <c r="EJ17" s="20">
        <v>10</v>
      </c>
      <c r="EK17" s="20" t="s">
        <v>300</v>
      </c>
      <c r="EM17" s="20">
        <v>1</v>
      </c>
      <c r="EN17" s="20">
        <v>1</v>
      </c>
      <c r="EO17" s="20">
        <v>0</v>
      </c>
      <c r="EP17" s="20">
        <v>1</v>
      </c>
      <c r="EQ17" s="20">
        <v>1</v>
      </c>
      <c r="ER17" s="20">
        <v>1</v>
      </c>
      <c r="ES17" s="20">
        <v>1</v>
      </c>
      <c r="ET17" s="20">
        <v>0</v>
      </c>
      <c r="EX17" s="20">
        <v>41.67</v>
      </c>
      <c r="EY17" s="20">
        <v>5</v>
      </c>
      <c r="FB17" s="20">
        <v>13</v>
      </c>
      <c r="FC17" s="20" t="s">
        <v>21</v>
      </c>
      <c r="FD17" s="20" t="s">
        <v>9</v>
      </c>
      <c r="FE17" s="33">
        <v>3</v>
      </c>
      <c r="FF17" s="20">
        <v>10</v>
      </c>
      <c r="FG17" s="20">
        <v>4</v>
      </c>
      <c r="FH17" s="20" t="s">
        <v>133</v>
      </c>
      <c r="FI17" s="20" t="s">
        <v>126</v>
      </c>
      <c r="FJ17" s="20">
        <v>25</v>
      </c>
      <c r="FK17" s="20">
        <v>24</v>
      </c>
      <c r="FL17" s="20">
        <v>4</v>
      </c>
      <c r="FM17" s="20">
        <v>18</v>
      </c>
      <c r="FN17" s="20" t="s">
        <v>400</v>
      </c>
      <c r="FO17" s="34">
        <v>0</v>
      </c>
      <c r="FP17" s="20">
        <v>15</v>
      </c>
      <c r="FQ17" s="20">
        <v>3</v>
      </c>
      <c r="FR17" s="20" t="s">
        <v>141</v>
      </c>
      <c r="FS17" s="20" t="s">
        <v>171</v>
      </c>
      <c r="FT17" s="20">
        <v>21</v>
      </c>
      <c r="FU17" s="20">
        <v>16</v>
      </c>
      <c r="FV17" s="20">
        <v>12</v>
      </c>
      <c r="FW17" s="20">
        <v>16</v>
      </c>
      <c r="FX17" s="20" t="s">
        <v>401</v>
      </c>
      <c r="FZ17" s="20">
        <v>1</v>
      </c>
      <c r="GA17" s="20">
        <v>1</v>
      </c>
      <c r="GB17" s="20">
        <v>0</v>
      </c>
      <c r="GC17" s="20">
        <v>1</v>
      </c>
      <c r="GD17" s="20">
        <v>1</v>
      </c>
      <c r="GE17" s="20">
        <v>0</v>
      </c>
      <c r="GF17" s="20">
        <v>0</v>
      </c>
      <c r="GG17" s="20">
        <v>0</v>
      </c>
      <c r="GK17" s="20">
        <v>20</v>
      </c>
      <c r="GL17" s="20">
        <v>4</v>
      </c>
      <c r="GO17" s="20">
        <v>13</v>
      </c>
      <c r="GP17" s="20" t="s">
        <v>10</v>
      </c>
      <c r="GQ17" s="20" t="s">
        <v>34</v>
      </c>
      <c r="GR17" s="33">
        <v>2</v>
      </c>
      <c r="GS17" s="20">
        <v>6</v>
      </c>
      <c r="GT17" s="20">
        <v>4</v>
      </c>
      <c r="GU17" s="20" t="s">
        <v>192</v>
      </c>
      <c r="GV17" s="20" t="s">
        <v>134</v>
      </c>
      <c r="GW17" s="20">
        <v>19</v>
      </c>
      <c r="GX17" s="20">
        <v>24</v>
      </c>
      <c r="GY17" s="20">
        <v>6</v>
      </c>
      <c r="GZ17" s="20">
        <v>11</v>
      </c>
      <c r="HA17" s="20" t="s">
        <v>367</v>
      </c>
      <c r="HB17" s="34">
        <v>1</v>
      </c>
      <c r="HC17" s="20">
        <v>9</v>
      </c>
      <c r="HD17" s="20">
        <v>2</v>
      </c>
      <c r="HE17" s="20" t="s">
        <v>146</v>
      </c>
      <c r="HF17" s="20" t="s">
        <v>139</v>
      </c>
      <c r="HG17" s="20">
        <v>19</v>
      </c>
      <c r="HH17" s="20">
        <v>17</v>
      </c>
      <c r="HI17" s="20">
        <v>14</v>
      </c>
      <c r="HJ17" s="20">
        <v>10</v>
      </c>
      <c r="HK17" s="20" t="s">
        <v>368</v>
      </c>
      <c r="HM17" s="20">
        <v>1</v>
      </c>
      <c r="HN17" s="20">
        <v>1</v>
      </c>
      <c r="HO17" s="20">
        <v>1</v>
      </c>
      <c r="HP17" s="20">
        <v>0</v>
      </c>
      <c r="HQ17" s="20">
        <v>1</v>
      </c>
      <c r="HR17" s="20">
        <v>0</v>
      </c>
      <c r="HS17" s="20">
        <v>0</v>
      </c>
      <c r="HT17" s="20">
        <v>1</v>
      </c>
      <c r="HX17" s="20">
        <v>44.44</v>
      </c>
      <c r="HY17" s="20">
        <v>0</v>
      </c>
      <c r="IB17" s="20">
        <v>13</v>
      </c>
      <c r="IC17" s="20" t="s">
        <v>11</v>
      </c>
      <c r="ID17" s="20" t="s">
        <v>17</v>
      </c>
      <c r="IE17" s="33">
        <v>1</v>
      </c>
      <c r="IF17" s="20">
        <v>15</v>
      </c>
      <c r="IG17" s="20">
        <v>5</v>
      </c>
      <c r="IH17" s="20" t="s">
        <v>209</v>
      </c>
      <c r="II17" s="20" t="s">
        <v>258</v>
      </c>
      <c r="IJ17" s="20">
        <v>18</v>
      </c>
      <c r="IK17" s="20">
        <v>17</v>
      </c>
      <c r="IL17" s="20">
        <v>9</v>
      </c>
      <c r="IM17" s="20">
        <v>13</v>
      </c>
      <c r="IN17" s="20" t="s">
        <v>402</v>
      </c>
      <c r="IO17" s="34">
        <v>0</v>
      </c>
      <c r="IP17" s="20">
        <v>0</v>
      </c>
      <c r="IQ17" s="20">
        <v>0</v>
      </c>
      <c r="IR17" s="20" t="s">
        <v>403</v>
      </c>
      <c r="IS17" s="20" t="s">
        <v>123</v>
      </c>
      <c r="IT17" s="20">
        <v>28</v>
      </c>
      <c r="IU17" s="20">
        <v>10</v>
      </c>
      <c r="IV17" s="20">
        <v>9</v>
      </c>
      <c r="IW17" s="20">
        <v>11</v>
      </c>
      <c r="IX17" s="20" t="s">
        <v>404</v>
      </c>
      <c r="IZ17" s="20">
        <v>1</v>
      </c>
      <c r="JA17" s="20">
        <v>1</v>
      </c>
      <c r="JB17" s="20">
        <v>1</v>
      </c>
      <c r="JC17" s="20">
        <v>0</v>
      </c>
      <c r="JD17" s="20">
        <v>1</v>
      </c>
      <c r="JE17" s="20">
        <v>0</v>
      </c>
      <c r="JF17" s="20">
        <v>0</v>
      </c>
      <c r="JG17" s="20">
        <v>1</v>
      </c>
      <c r="JK17" s="20">
        <v>33.33</v>
      </c>
      <c r="JL17" s="20">
        <v>10</v>
      </c>
      <c r="JO17" s="20">
        <v>13</v>
      </c>
      <c r="JP17" s="20" t="s">
        <v>12</v>
      </c>
      <c r="JQ17" s="20" t="s">
        <v>20</v>
      </c>
      <c r="JR17" s="32">
        <v>2</v>
      </c>
      <c r="JS17" s="20">
        <v>12</v>
      </c>
      <c r="JT17" s="20">
        <v>7</v>
      </c>
      <c r="JU17" s="20" t="s">
        <v>405</v>
      </c>
      <c r="JV17" s="20" t="s">
        <v>147</v>
      </c>
      <c r="JW17" s="20">
        <v>23</v>
      </c>
      <c r="JX17" s="20">
        <v>17</v>
      </c>
      <c r="JY17" s="20">
        <v>7</v>
      </c>
      <c r="JZ17" s="20">
        <v>9</v>
      </c>
      <c r="KA17" s="20" t="s">
        <v>406</v>
      </c>
      <c r="KB17" s="32">
        <v>2</v>
      </c>
      <c r="KC17" s="20">
        <v>11</v>
      </c>
      <c r="KD17" s="20">
        <v>4</v>
      </c>
      <c r="KE17" s="20" t="s">
        <v>249</v>
      </c>
      <c r="KF17" s="20" t="s">
        <v>134</v>
      </c>
      <c r="KG17" s="20">
        <v>16</v>
      </c>
      <c r="KH17" s="20">
        <v>13</v>
      </c>
      <c r="KI17" s="20">
        <v>9</v>
      </c>
      <c r="KJ17" s="20">
        <v>17</v>
      </c>
      <c r="KK17" s="20" t="s">
        <v>407</v>
      </c>
      <c r="KM17" s="32">
        <v>1</v>
      </c>
      <c r="KN17" s="32">
        <v>1</v>
      </c>
      <c r="KO17" s="32">
        <v>0</v>
      </c>
      <c r="KP17" s="32">
        <v>1</v>
      </c>
      <c r="KQ17" s="32">
        <v>1</v>
      </c>
      <c r="KR17" s="32">
        <v>0</v>
      </c>
      <c r="KS17" s="32">
        <v>1</v>
      </c>
      <c r="KT17" s="32">
        <v>0</v>
      </c>
      <c r="KX17" s="32">
        <v>21.97</v>
      </c>
      <c r="KY17" s="32">
        <v>7</v>
      </c>
      <c r="LB17" s="20">
        <v>13</v>
      </c>
      <c r="LC17" s="20" t="s">
        <v>5</v>
      </c>
      <c r="LD17" s="20" t="s">
        <v>13</v>
      </c>
      <c r="LE17" s="34">
        <v>0</v>
      </c>
      <c r="LF17" s="20">
        <v>10</v>
      </c>
      <c r="LG17" s="20">
        <v>2</v>
      </c>
      <c r="LH17" s="20" t="s">
        <v>141</v>
      </c>
      <c r="LI17" s="20" t="s">
        <v>144</v>
      </c>
      <c r="LJ17" s="20">
        <v>20</v>
      </c>
      <c r="LK17" s="20">
        <v>6</v>
      </c>
      <c r="LL17" s="20">
        <v>7</v>
      </c>
      <c r="LM17" s="20">
        <v>5</v>
      </c>
      <c r="LN17" s="20" t="s">
        <v>384</v>
      </c>
      <c r="LO17" s="33">
        <v>4</v>
      </c>
      <c r="LP17" s="20">
        <v>11</v>
      </c>
      <c r="LQ17" s="20">
        <v>6</v>
      </c>
      <c r="LR17" s="20" t="s">
        <v>389</v>
      </c>
      <c r="LS17" s="20" t="s">
        <v>230</v>
      </c>
      <c r="LT17" s="20">
        <v>15</v>
      </c>
      <c r="LU17" s="20">
        <v>7</v>
      </c>
      <c r="LV17" s="20">
        <v>19</v>
      </c>
      <c r="LW17" s="20">
        <v>8</v>
      </c>
      <c r="LX17" s="20" t="s">
        <v>385</v>
      </c>
      <c r="LZ17" s="20">
        <v>1</v>
      </c>
      <c r="MA17" s="20">
        <v>1</v>
      </c>
      <c r="MB17" s="20">
        <v>1</v>
      </c>
      <c r="MC17" s="20">
        <v>0</v>
      </c>
      <c r="MD17" s="20">
        <v>1</v>
      </c>
      <c r="ME17" s="20">
        <v>1</v>
      </c>
      <c r="MF17" s="20">
        <v>0</v>
      </c>
      <c r="MG17" s="20">
        <v>1</v>
      </c>
      <c r="MK17" s="20">
        <v>34.549999999999997</v>
      </c>
      <c r="ML17" s="20">
        <v>5</v>
      </c>
      <c r="MO17" s="20">
        <v>13</v>
      </c>
      <c r="MP17" s="20" t="s">
        <v>23</v>
      </c>
      <c r="MQ17" s="20" t="s">
        <v>14</v>
      </c>
      <c r="MR17" s="33">
        <v>1</v>
      </c>
      <c r="MS17" s="20">
        <v>11</v>
      </c>
      <c r="MT17" s="20">
        <v>5</v>
      </c>
      <c r="MU17" s="20" t="s">
        <v>358</v>
      </c>
      <c r="MV17" s="20" t="s">
        <v>142</v>
      </c>
      <c r="MW17" s="20">
        <v>21</v>
      </c>
      <c r="MX17" s="20">
        <v>24</v>
      </c>
      <c r="MY17" s="20">
        <v>10</v>
      </c>
      <c r="MZ17" s="20">
        <v>7</v>
      </c>
      <c r="NA17" s="20" t="s">
        <v>408</v>
      </c>
      <c r="NB17" s="34">
        <v>0</v>
      </c>
      <c r="NC17" s="20">
        <v>14</v>
      </c>
      <c r="ND17" s="20">
        <v>1</v>
      </c>
      <c r="NE17" s="20" t="s">
        <v>409</v>
      </c>
      <c r="NF17" s="20" t="s">
        <v>161</v>
      </c>
      <c r="NG17" s="20">
        <v>11</v>
      </c>
      <c r="NH17" s="20">
        <v>21</v>
      </c>
      <c r="NI17" s="20">
        <v>9</v>
      </c>
      <c r="NJ17" s="20">
        <v>5</v>
      </c>
      <c r="NK17" s="20" t="s">
        <v>410</v>
      </c>
      <c r="NM17" s="20">
        <v>1</v>
      </c>
      <c r="NN17" s="20">
        <v>1</v>
      </c>
      <c r="NO17" s="20">
        <v>0</v>
      </c>
      <c r="NP17" s="20">
        <v>1</v>
      </c>
      <c r="NQ17" s="20">
        <v>1</v>
      </c>
      <c r="NR17" s="20">
        <v>1</v>
      </c>
      <c r="NS17" s="20">
        <v>0</v>
      </c>
      <c r="NT17" s="20">
        <v>0</v>
      </c>
      <c r="NX17" s="20">
        <v>38.31</v>
      </c>
      <c r="NY17" s="20">
        <v>10</v>
      </c>
      <c r="OB17" s="20">
        <v>13</v>
      </c>
      <c r="OC17" s="20" t="s">
        <v>15</v>
      </c>
      <c r="OD17" s="20" t="s">
        <v>16</v>
      </c>
      <c r="OE17" s="34">
        <v>0</v>
      </c>
      <c r="OF17" s="20">
        <v>8</v>
      </c>
      <c r="OG17" s="20">
        <v>5</v>
      </c>
      <c r="OH17" s="20" t="s">
        <v>169</v>
      </c>
      <c r="OI17" s="20" t="s">
        <v>258</v>
      </c>
      <c r="OJ17" s="20">
        <v>17</v>
      </c>
      <c r="OK17" s="20">
        <v>10</v>
      </c>
      <c r="OL17" s="20">
        <v>4</v>
      </c>
      <c r="OM17" s="20">
        <v>11</v>
      </c>
      <c r="ON17" s="20" t="s">
        <v>317</v>
      </c>
      <c r="OO17" s="33">
        <v>2</v>
      </c>
      <c r="OP17" s="20">
        <v>10</v>
      </c>
      <c r="OQ17" s="20">
        <v>5</v>
      </c>
      <c r="OR17" s="20" t="s">
        <v>125</v>
      </c>
      <c r="OS17" s="20" t="s">
        <v>147</v>
      </c>
      <c r="OT17" s="20">
        <v>23</v>
      </c>
      <c r="OU17" s="20">
        <v>16</v>
      </c>
      <c r="OV17" s="20">
        <v>9</v>
      </c>
      <c r="OW17" s="20">
        <v>8</v>
      </c>
      <c r="OX17" s="20" t="s">
        <v>315</v>
      </c>
      <c r="OZ17" s="20">
        <v>1</v>
      </c>
      <c r="PA17" s="20">
        <v>0</v>
      </c>
      <c r="PB17" s="20">
        <v>0</v>
      </c>
      <c r="PC17" s="20">
        <v>1</v>
      </c>
      <c r="PD17" s="20">
        <v>1</v>
      </c>
      <c r="PE17" s="20">
        <v>1</v>
      </c>
      <c r="PF17" s="20">
        <v>1</v>
      </c>
      <c r="PG17" s="20">
        <v>0</v>
      </c>
      <c r="PK17" s="20">
        <v>12.5</v>
      </c>
      <c r="PL17" s="20">
        <v>6</v>
      </c>
      <c r="PO17" s="20">
        <v>13</v>
      </c>
      <c r="PP17" s="20" t="s">
        <v>11</v>
      </c>
      <c r="PQ17" s="20" t="s">
        <v>17</v>
      </c>
      <c r="PR17" s="34">
        <v>0</v>
      </c>
      <c r="PS17" s="20">
        <v>0</v>
      </c>
      <c r="PT17" s="20">
        <v>0</v>
      </c>
      <c r="PU17" s="20" t="s">
        <v>403</v>
      </c>
      <c r="PV17" s="20" t="s">
        <v>123</v>
      </c>
      <c r="PW17" s="20">
        <v>28</v>
      </c>
      <c r="PX17" s="20">
        <v>10</v>
      </c>
      <c r="PY17" s="20">
        <v>9</v>
      </c>
      <c r="PZ17" s="20">
        <v>11</v>
      </c>
      <c r="QA17" s="20" t="s">
        <v>404</v>
      </c>
      <c r="QB17" s="33">
        <v>1</v>
      </c>
      <c r="QC17" s="20">
        <v>15</v>
      </c>
      <c r="QD17" s="20">
        <v>5</v>
      </c>
      <c r="QE17" s="20" t="s">
        <v>209</v>
      </c>
      <c r="QF17" s="20" t="s">
        <v>258</v>
      </c>
      <c r="QG17" s="20">
        <v>18</v>
      </c>
      <c r="QH17" s="20">
        <v>17</v>
      </c>
      <c r="QI17" s="20">
        <v>9</v>
      </c>
      <c r="QJ17" s="20">
        <v>13</v>
      </c>
      <c r="QK17" s="20" t="s">
        <v>402</v>
      </c>
      <c r="QM17" s="20">
        <v>1</v>
      </c>
      <c r="QN17" s="20">
        <v>1</v>
      </c>
      <c r="QO17" s="20">
        <v>1</v>
      </c>
      <c r="QP17" s="20">
        <v>0</v>
      </c>
      <c r="QQ17" s="20">
        <v>1</v>
      </c>
      <c r="QR17" s="20">
        <v>0</v>
      </c>
      <c r="QS17" s="20">
        <v>0</v>
      </c>
      <c r="QT17" s="20">
        <v>1</v>
      </c>
      <c r="QX17" s="20">
        <v>33.33</v>
      </c>
      <c r="QY17" s="20">
        <v>10</v>
      </c>
      <c r="RB17" s="20">
        <v>13</v>
      </c>
      <c r="RC17" s="20" t="s">
        <v>7</v>
      </c>
      <c r="RD17" s="20" t="s">
        <v>18</v>
      </c>
      <c r="RE17" s="34">
        <v>0</v>
      </c>
      <c r="RF17" s="20">
        <v>5</v>
      </c>
      <c r="RG17" s="20">
        <v>0</v>
      </c>
      <c r="RH17" s="20" t="s">
        <v>116</v>
      </c>
      <c r="RI17" s="20" t="s">
        <v>154</v>
      </c>
      <c r="RJ17" s="20">
        <v>23</v>
      </c>
      <c r="RK17" s="20">
        <v>14</v>
      </c>
      <c r="RL17" s="20">
        <v>6</v>
      </c>
      <c r="RM17" s="20">
        <v>11</v>
      </c>
      <c r="RN17" s="20" t="s">
        <v>295</v>
      </c>
      <c r="RO17" s="33">
        <v>1</v>
      </c>
      <c r="RP17" s="20">
        <v>21</v>
      </c>
      <c r="RQ17" s="20">
        <v>6</v>
      </c>
      <c r="RR17" s="20" t="s">
        <v>170</v>
      </c>
      <c r="RS17" s="20" t="s">
        <v>171</v>
      </c>
      <c r="RT17" s="20">
        <v>15</v>
      </c>
      <c r="RU17" s="20">
        <v>14</v>
      </c>
      <c r="RV17" s="20">
        <v>12</v>
      </c>
      <c r="RW17" s="20">
        <v>14</v>
      </c>
      <c r="RX17" s="20" t="s">
        <v>296</v>
      </c>
      <c r="RZ17" s="20">
        <v>1</v>
      </c>
      <c r="SA17" s="20">
        <v>1</v>
      </c>
      <c r="SB17" s="20">
        <v>1</v>
      </c>
      <c r="SC17" s="20">
        <v>0</v>
      </c>
      <c r="SD17" s="20">
        <v>0</v>
      </c>
      <c r="SE17" s="20">
        <v>1</v>
      </c>
      <c r="SF17" s="20">
        <v>0</v>
      </c>
      <c r="SG17" s="20">
        <v>1</v>
      </c>
      <c r="SK17" s="20">
        <v>28.57</v>
      </c>
      <c r="SL17" s="20">
        <v>8</v>
      </c>
      <c r="SO17" s="20">
        <v>13</v>
      </c>
      <c r="SP17" s="20" t="s">
        <v>19</v>
      </c>
      <c r="SQ17" s="20" t="s">
        <v>6</v>
      </c>
      <c r="SR17" s="34">
        <v>0</v>
      </c>
      <c r="SS17" s="20">
        <v>8</v>
      </c>
      <c r="ST17" s="20">
        <v>3</v>
      </c>
      <c r="SU17" s="20" t="s">
        <v>153</v>
      </c>
      <c r="SV17" s="20" t="s">
        <v>151</v>
      </c>
      <c r="SW17" s="20">
        <v>20</v>
      </c>
      <c r="SX17" s="20">
        <v>14</v>
      </c>
      <c r="SY17" s="20">
        <v>3</v>
      </c>
      <c r="SZ17" s="20">
        <v>10</v>
      </c>
      <c r="TA17" s="20" t="s">
        <v>399</v>
      </c>
      <c r="TB17" s="33">
        <v>2</v>
      </c>
      <c r="TC17" s="20">
        <v>17</v>
      </c>
      <c r="TD17" s="20">
        <v>6</v>
      </c>
      <c r="TE17" s="20" t="s">
        <v>243</v>
      </c>
      <c r="TF17" s="20" t="s">
        <v>134</v>
      </c>
      <c r="TG17" s="20">
        <v>17</v>
      </c>
      <c r="TH17" s="20">
        <v>17</v>
      </c>
      <c r="TI17" s="20">
        <v>8</v>
      </c>
      <c r="TJ17" s="20">
        <v>10</v>
      </c>
      <c r="TK17" s="20" t="s">
        <v>411</v>
      </c>
      <c r="TM17" s="20">
        <v>1</v>
      </c>
      <c r="TN17" s="20">
        <v>0</v>
      </c>
      <c r="TO17" s="20">
        <v>1</v>
      </c>
      <c r="TP17" s="20">
        <v>0</v>
      </c>
      <c r="TQ17" s="20">
        <v>1</v>
      </c>
      <c r="TR17" s="20">
        <v>1</v>
      </c>
      <c r="TS17" s="20">
        <v>1</v>
      </c>
      <c r="TT17" s="20">
        <v>1</v>
      </c>
      <c r="TX17" s="20">
        <v>2.21</v>
      </c>
      <c r="TY17" s="20">
        <v>3</v>
      </c>
      <c r="UB17" s="20">
        <v>13</v>
      </c>
      <c r="UC17" s="20" t="s">
        <v>15</v>
      </c>
      <c r="UD17" s="20" t="s">
        <v>16</v>
      </c>
      <c r="UE17" s="33">
        <v>2</v>
      </c>
      <c r="UF17" s="20">
        <v>10</v>
      </c>
      <c r="UG17" s="20">
        <v>5</v>
      </c>
      <c r="UH17" s="20" t="s">
        <v>125</v>
      </c>
      <c r="UI17" s="20" t="s">
        <v>147</v>
      </c>
      <c r="UJ17" s="20">
        <v>23</v>
      </c>
      <c r="UK17" s="20">
        <v>16</v>
      </c>
      <c r="UL17" s="20">
        <v>9</v>
      </c>
      <c r="UM17" s="20">
        <v>8</v>
      </c>
      <c r="UN17" s="20" t="s">
        <v>315</v>
      </c>
      <c r="UO17" s="34">
        <v>0</v>
      </c>
      <c r="UP17" s="20">
        <v>8</v>
      </c>
      <c r="UQ17" s="20">
        <v>5</v>
      </c>
      <c r="UR17" s="20" t="s">
        <v>169</v>
      </c>
      <c r="US17" s="20" t="s">
        <v>258</v>
      </c>
      <c r="UT17" s="20">
        <v>17</v>
      </c>
      <c r="UU17" s="20">
        <v>10</v>
      </c>
      <c r="UV17" s="20">
        <v>4</v>
      </c>
      <c r="UW17" s="20">
        <v>11</v>
      </c>
      <c r="UX17" s="20" t="s">
        <v>317</v>
      </c>
      <c r="UZ17" s="20">
        <v>1</v>
      </c>
      <c r="VA17" s="20">
        <v>0</v>
      </c>
      <c r="VB17" s="20">
        <v>0</v>
      </c>
      <c r="VC17" s="20">
        <v>1</v>
      </c>
      <c r="VD17" s="20">
        <v>1</v>
      </c>
      <c r="VE17" s="20">
        <v>1</v>
      </c>
      <c r="VF17" s="20">
        <v>1</v>
      </c>
      <c r="VG17" s="20">
        <v>0</v>
      </c>
      <c r="VK17" s="20">
        <v>12.5</v>
      </c>
      <c r="VL17" s="20">
        <v>6</v>
      </c>
      <c r="VO17" s="20">
        <v>13</v>
      </c>
      <c r="VP17" s="20" t="s">
        <v>12</v>
      </c>
      <c r="VQ17" s="20" t="s">
        <v>20</v>
      </c>
      <c r="VR17" s="32">
        <v>2</v>
      </c>
      <c r="VS17" s="20">
        <v>11</v>
      </c>
      <c r="VT17" s="20">
        <v>4</v>
      </c>
      <c r="VU17" s="20" t="s">
        <v>249</v>
      </c>
      <c r="VV17" s="20" t="s">
        <v>134</v>
      </c>
      <c r="VW17" s="20">
        <v>16</v>
      </c>
      <c r="VX17" s="20">
        <v>13</v>
      </c>
      <c r="VY17" s="20">
        <v>9</v>
      </c>
      <c r="VZ17" s="20">
        <v>17</v>
      </c>
      <c r="WA17" s="20" t="s">
        <v>407</v>
      </c>
      <c r="WB17" s="32">
        <v>2</v>
      </c>
      <c r="WC17" s="20">
        <v>12</v>
      </c>
      <c r="WD17" s="20">
        <v>7</v>
      </c>
      <c r="WE17" s="20" t="s">
        <v>405</v>
      </c>
      <c r="WF17" s="20" t="s">
        <v>147</v>
      </c>
      <c r="WG17" s="20">
        <v>23</v>
      </c>
      <c r="WH17" s="20">
        <v>17</v>
      </c>
      <c r="WI17" s="20">
        <v>7</v>
      </c>
      <c r="WJ17" s="20">
        <v>9</v>
      </c>
      <c r="WK17" s="20" t="s">
        <v>406</v>
      </c>
      <c r="WM17" s="32">
        <v>1</v>
      </c>
      <c r="WN17" s="32">
        <v>1</v>
      </c>
      <c r="WO17" s="32">
        <v>0</v>
      </c>
      <c r="WP17" s="32">
        <v>1</v>
      </c>
      <c r="WQ17" s="32">
        <v>1</v>
      </c>
      <c r="WR17" s="32">
        <v>0</v>
      </c>
      <c r="WS17" s="32">
        <v>1</v>
      </c>
      <c r="WT17" s="32">
        <v>0</v>
      </c>
      <c r="WX17" s="32">
        <v>21.97</v>
      </c>
      <c r="WY17" s="32">
        <v>7</v>
      </c>
      <c r="XB17" s="20">
        <v>13</v>
      </c>
      <c r="XC17" s="20" t="s">
        <v>10</v>
      </c>
      <c r="XD17" s="20" t="s">
        <v>34</v>
      </c>
      <c r="XE17" s="34">
        <v>1</v>
      </c>
      <c r="XF17" s="20">
        <v>9</v>
      </c>
      <c r="XG17" s="20">
        <v>2</v>
      </c>
      <c r="XH17" s="20" t="s">
        <v>146</v>
      </c>
      <c r="XI17" s="20" t="s">
        <v>139</v>
      </c>
      <c r="XJ17" s="20">
        <v>19</v>
      </c>
      <c r="XK17" s="20">
        <v>17</v>
      </c>
      <c r="XL17" s="20">
        <v>14</v>
      </c>
      <c r="XM17" s="20">
        <v>10</v>
      </c>
      <c r="XN17" s="20" t="s">
        <v>368</v>
      </c>
      <c r="XO17" s="33">
        <v>2</v>
      </c>
      <c r="XP17" s="20">
        <v>6</v>
      </c>
      <c r="XQ17" s="20">
        <v>4</v>
      </c>
      <c r="XR17" s="20" t="s">
        <v>192</v>
      </c>
      <c r="XS17" s="20" t="s">
        <v>134</v>
      </c>
      <c r="XT17" s="20">
        <v>19</v>
      </c>
      <c r="XU17" s="20">
        <v>24</v>
      </c>
      <c r="XV17" s="20">
        <v>6</v>
      </c>
      <c r="XW17" s="20">
        <v>11</v>
      </c>
      <c r="XX17" s="20" t="s">
        <v>367</v>
      </c>
      <c r="XZ17" s="20">
        <v>1</v>
      </c>
      <c r="YA17" s="20">
        <v>1</v>
      </c>
      <c r="YB17" s="20">
        <v>1</v>
      </c>
      <c r="YC17" s="20">
        <v>0</v>
      </c>
      <c r="YD17" s="20">
        <v>1</v>
      </c>
      <c r="YE17" s="20">
        <v>0</v>
      </c>
      <c r="YF17" s="20">
        <v>0</v>
      </c>
      <c r="YG17" s="20">
        <v>1</v>
      </c>
      <c r="YK17" s="20">
        <v>44.44</v>
      </c>
      <c r="YL17" s="20">
        <v>0</v>
      </c>
      <c r="YO17" s="20">
        <v>13</v>
      </c>
      <c r="YP17" s="20" t="s">
        <v>21</v>
      </c>
      <c r="YQ17" s="20" t="s">
        <v>9</v>
      </c>
      <c r="YR17" s="34">
        <v>0</v>
      </c>
      <c r="YS17" s="20">
        <v>15</v>
      </c>
      <c r="YT17" s="20">
        <v>3</v>
      </c>
      <c r="YU17" s="20" t="s">
        <v>141</v>
      </c>
      <c r="YV17" s="20" t="s">
        <v>171</v>
      </c>
      <c r="YW17" s="20">
        <v>21</v>
      </c>
      <c r="YX17" s="20">
        <v>16</v>
      </c>
      <c r="YY17" s="20">
        <v>12</v>
      </c>
      <c r="YZ17" s="20">
        <v>16</v>
      </c>
      <c r="ZA17" s="20" t="s">
        <v>401</v>
      </c>
      <c r="ZB17" s="33">
        <v>3</v>
      </c>
      <c r="ZC17" s="20">
        <v>10</v>
      </c>
      <c r="ZD17" s="20">
        <v>4</v>
      </c>
      <c r="ZE17" s="20" t="s">
        <v>133</v>
      </c>
      <c r="ZF17" s="20" t="s">
        <v>126</v>
      </c>
      <c r="ZG17" s="20">
        <v>25</v>
      </c>
      <c r="ZH17" s="20">
        <v>24</v>
      </c>
      <c r="ZI17" s="20">
        <v>4</v>
      </c>
      <c r="ZJ17" s="20">
        <v>18</v>
      </c>
      <c r="ZK17" s="20" t="s">
        <v>400</v>
      </c>
      <c r="ZM17" s="20">
        <v>1</v>
      </c>
      <c r="ZN17" s="20">
        <v>1</v>
      </c>
      <c r="ZO17" s="20">
        <v>0</v>
      </c>
      <c r="ZP17" s="20">
        <v>1</v>
      </c>
      <c r="ZQ17" s="20">
        <v>1</v>
      </c>
      <c r="ZR17" s="20">
        <v>0</v>
      </c>
      <c r="ZS17" s="20">
        <v>0</v>
      </c>
      <c r="ZT17" s="20">
        <v>0</v>
      </c>
      <c r="ZX17" s="20">
        <v>20</v>
      </c>
      <c r="ZY17" s="20">
        <v>4</v>
      </c>
      <c r="AAB17" s="20">
        <v>13</v>
      </c>
      <c r="AAC17" s="20" t="s">
        <v>22</v>
      </c>
      <c r="AAD17" s="20" t="s">
        <v>8</v>
      </c>
      <c r="AAE17" s="33">
        <v>2</v>
      </c>
      <c r="AAF17" s="20">
        <v>12</v>
      </c>
      <c r="AAG17" s="20">
        <v>5</v>
      </c>
      <c r="AAH17" s="20" t="s">
        <v>254</v>
      </c>
      <c r="AAI17" s="20" t="s">
        <v>151</v>
      </c>
      <c r="AAJ17" s="20">
        <v>21</v>
      </c>
      <c r="AAK17" s="20">
        <v>11</v>
      </c>
      <c r="AAL17" s="20">
        <v>6</v>
      </c>
      <c r="AAM17" s="20">
        <v>10</v>
      </c>
      <c r="AAN17" s="20" t="s">
        <v>300</v>
      </c>
      <c r="AAO17" s="34">
        <v>0</v>
      </c>
      <c r="AAP17" s="20">
        <v>7</v>
      </c>
      <c r="AAQ17" s="20">
        <v>0</v>
      </c>
      <c r="AAR17" s="20" t="s">
        <v>116</v>
      </c>
      <c r="AAS17" s="20" t="s">
        <v>171</v>
      </c>
      <c r="AAT17" s="20">
        <v>16</v>
      </c>
      <c r="AAU17" s="20">
        <v>8</v>
      </c>
      <c r="AAV17" s="20">
        <v>3</v>
      </c>
      <c r="AAW17" s="20">
        <v>16</v>
      </c>
      <c r="AAX17" s="20" t="s">
        <v>299</v>
      </c>
      <c r="AAZ17" s="20">
        <v>1</v>
      </c>
      <c r="ABA17" s="20">
        <v>1</v>
      </c>
      <c r="ABB17" s="20">
        <v>0</v>
      </c>
      <c r="ABC17" s="20">
        <v>1</v>
      </c>
      <c r="ABD17" s="20">
        <v>1</v>
      </c>
      <c r="ABE17" s="20">
        <v>1</v>
      </c>
      <c r="ABF17" s="20">
        <v>1</v>
      </c>
      <c r="ABG17" s="20">
        <v>0</v>
      </c>
      <c r="ABK17" s="20">
        <v>41.67</v>
      </c>
      <c r="ABL17" s="20">
        <v>5</v>
      </c>
      <c r="ABO17" s="20">
        <v>13</v>
      </c>
      <c r="ABP17" s="20" t="s">
        <v>23</v>
      </c>
      <c r="ABQ17" s="20" t="s">
        <v>14</v>
      </c>
      <c r="ABR17" s="34">
        <v>0</v>
      </c>
      <c r="ABS17" s="20">
        <v>14</v>
      </c>
      <c r="ABT17" s="20">
        <v>1</v>
      </c>
      <c r="ABU17" s="20" t="s">
        <v>409</v>
      </c>
      <c r="ABV17" s="20" t="s">
        <v>161</v>
      </c>
      <c r="ABW17" s="20">
        <v>11</v>
      </c>
      <c r="ABX17" s="20">
        <v>21</v>
      </c>
      <c r="ABY17" s="20">
        <v>9</v>
      </c>
      <c r="ABZ17" s="20">
        <v>5</v>
      </c>
      <c r="ACA17" s="20" t="s">
        <v>410</v>
      </c>
      <c r="ACB17" s="33">
        <v>1</v>
      </c>
      <c r="ACC17" s="20">
        <v>11</v>
      </c>
      <c r="ACD17" s="20">
        <v>5</v>
      </c>
      <c r="ACE17" s="20" t="s">
        <v>358</v>
      </c>
      <c r="ACF17" s="20" t="s">
        <v>142</v>
      </c>
      <c r="ACG17" s="20">
        <v>21</v>
      </c>
      <c r="ACH17" s="20">
        <v>24</v>
      </c>
      <c r="ACI17" s="20">
        <v>10</v>
      </c>
      <c r="ACJ17" s="20">
        <v>7</v>
      </c>
      <c r="ACK17" s="20" t="s">
        <v>408</v>
      </c>
      <c r="ACM17" s="20">
        <v>1</v>
      </c>
      <c r="ACN17" s="20">
        <v>1</v>
      </c>
      <c r="ACO17" s="20">
        <v>0</v>
      </c>
      <c r="ACP17" s="20">
        <v>1</v>
      </c>
      <c r="ACQ17" s="20">
        <v>1</v>
      </c>
      <c r="ACR17" s="20">
        <v>1</v>
      </c>
      <c r="ACS17" s="20">
        <v>0</v>
      </c>
      <c r="ACT17" s="20">
        <v>0</v>
      </c>
      <c r="ACX17" s="20">
        <v>38.31</v>
      </c>
      <c r="ACY17" s="20">
        <v>10</v>
      </c>
    </row>
    <row r="18" spans="1:779" x14ac:dyDescent="0.3">
      <c r="A18" s="27"/>
      <c r="B18" s="20">
        <v>14</v>
      </c>
      <c r="C18" s="20" t="s">
        <v>17</v>
      </c>
      <c r="D18" s="20" t="s">
        <v>5</v>
      </c>
      <c r="E18" s="35">
        <v>1</v>
      </c>
      <c r="F18" s="20">
        <v>16</v>
      </c>
      <c r="G18" s="30">
        <v>5</v>
      </c>
      <c r="H18" s="27">
        <v>0.3125</v>
      </c>
      <c r="I18" s="28">
        <v>0.87</v>
      </c>
      <c r="J18" s="20">
        <v>10</v>
      </c>
      <c r="K18" s="20">
        <v>15</v>
      </c>
      <c r="L18" s="20">
        <v>16</v>
      </c>
      <c r="M18" s="30">
        <v>18</v>
      </c>
      <c r="N18" s="27">
        <v>0.71299999999999997</v>
      </c>
      <c r="O18" s="35">
        <v>1</v>
      </c>
      <c r="P18" s="20">
        <v>10</v>
      </c>
      <c r="Q18" s="30">
        <v>3</v>
      </c>
      <c r="R18" s="27">
        <v>0.3</v>
      </c>
      <c r="S18" s="28">
        <v>0.73</v>
      </c>
      <c r="T18" s="20">
        <v>30</v>
      </c>
      <c r="U18" s="20">
        <v>6</v>
      </c>
      <c r="V18" s="20">
        <v>7</v>
      </c>
      <c r="W18" s="30">
        <v>3</v>
      </c>
      <c r="X18" s="27">
        <v>0.28699999999999998</v>
      </c>
      <c r="Z18" s="32">
        <v>1</v>
      </c>
      <c r="AA18" s="32">
        <v>1</v>
      </c>
      <c r="AB18" s="32">
        <v>1</v>
      </c>
      <c r="AC18" s="32">
        <v>0</v>
      </c>
      <c r="AD18" s="32">
        <v>1</v>
      </c>
      <c r="AE18" s="32">
        <v>1</v>
      </c>
      <c r="AF18" s="32">
        <v>0</v>
      </c>
      <c r="AG18" s="32">
        <v>1</v>
      </c>
      <c r="AK18" s="32">
        <v>1.25</v>
      </c>
      <c r="AL18" s="32">
        <v>20</v>
      </c>
      <c r="AM18" s="20"/>
      <c r="AN18" s="20"/>
      <c r="AO18" s="20">
        <v>14</v>
      </c>
      <c r="AP18" s="20" t="s">
        <v>6</v>
      </c>
      <c r="AQ18" s="20" t="s">
        <v>22</v>
      </c>
      <c r="AR18" s="33">
        <v>4</v>
      </c>
      <c r="AS18" s="30">
        <v>16</v>
      </c>
      <c r="AT18" s="30">
        <v>8</v>
      </c>
      <c r="AU18" s="27">
        <v>0.5</v>
      </c>
      <c r="AV18" s="28">
        <v>0.92</v>
      </c>
      <c r="AW18" s="20">
        <v>26</v>
      </c>
      <c r="AX18" s="20">
        <v>11</v>
      </c>
      <c r="AY18" s="30">
        <v>11</v>
      </c>
      <c r="AZ18" s="20">
        <v>6</v>
      </c>
      <c r="BA18" s="28">
        <v>0.62</v>
      </c>
      <c r="BB18" s="34">
        <v>1</v>
      </c>
      <c r="BC18" s="20">
        <v>7</v>
      </c>
      <c r="BD18" s="20">
        <v>3</v>
      </c>
      <c r="BE18" s="20" t="s">
        <v>207</v>
      </c>
      <c r="BF18" s="20" t="s">
        <v>230</v>
      </c>
      <c r="BG18" s="20">
        <v>13</v>
      </c>
      <c r="BH18" s="20">
        <v>2</v>
      </c>
      <c r="BI18" s="20">
        <v>10</v>
      </c>
      <c r="BJ18" s="20">
        <v>20</v>
      </c>
      <c r="BK18" s="20" t="s">
        <v>412</v>
      </c>
      <c r="BM18" s="20">
        <v>1</v>
      </c>
      <c r="BN18" s="20">
        <v>1</v>
      </c>
      <c r="BO18" s="20">
        <v>1</v>
      </c>
      <c r="BP18" s="20">
        <v>1</v>
      </c>
      <c r="BQ18" s="20">
        <v>1</v>
      </c>
      <c r="BR18" s="20">
        <v>1</v>
      </c>
      <c r="BS18" s="20">
        <v>1</v>
      </c>
      <c r="BT18" s="20">
        <v>1</v>
      </c>
      <c r="BX18" s="20">
        <v>7.14</v>
      </c>
      <c r="BY18" s="20">
        <v>13</v>
      </c>
      <c r="BZ18" s="20"/>
      <c r="CA18" s="20"/>
      <c r="CB18" s="20">
        <v>14</v>
      </c>
      <c r="CC18" s="20" t="s">
        <v>20</v>
      </c>
      <c r="CD18" s="20" t="s">
        <v>7</v>
      </c>
      <c r="CE18" s="33">
        <v>2</v>
      </c>
      <c r="CF18" s="20">
        <v>11</v>
      </c>
      <c r="CG18" s="20">
        <v>4</v>
      </c>
      <c r="CH18" s="20" t="s">
        <v>249</v>
      </c>
      <c r="CI18" s="20" t="s">
        <v>230</v>
      </c>
      <c r="CJ18" s="20">
        <v>26</v>
      </c>
      <c r="CK18" s="20">
        <v>8</v>
      </c>
      <c r="CL18" s="20">
        <v>12</v>
      </c>
      <c r="CM18" s="20">
        <v>10</v>
      </c>
      <c r="CN18" s="20" t="s">
        <v>206</v>
      </c>
      <c r="CO18" s="34">
        <v>0</v>
      </c>
      <c r="CP18" s="20">
        <v>18</v>
      </c>
      <c r="CQ18" s="20">
        <v>3</v>
      </c>
      <c r="CR18" s="20" t="s">
        <v>272</v>
      </c>
      <c r="CS18" s="20" t="s">
        <v>134</v>
      </c>
      <c r="CT18" s="20">
        <v>23</v>
      </c>
      <c r="CU18" s="20">
        <v>12</v>
      </c>
      <c r="CV18" s="20">
        <v>7</v>
      </c>
      <c r="CW18" s="20">
        <v>12</v>
      </c>
      <c r="CX18" s="20" t="s">
        <v>204</v>
      </c>
      <c r="CZ18" s="20">
        <v>1</v>
      </c>
      <c r="DA18" s="20">
        <v>1</v>
      </c>
      <c r="DB18" s="20">
        <v>1</v>
      </c>
      <c r="DC18" s="20">
        <v>1</v>
      </c>
      <c r="DD18" s="20">
        <v>0</v>
      </c>
      <c r="DE18" s="20">
        <v>1</v>
      </c>
      <c r="DF18" s="20">
        <v>1</v>
      </c>
      <c r="DG18" s="20">
        <v>1</v>
      </c>
      <c r="DK18" s="20">
        <v>19.7</v>
      </c>
      <c r="DL18" s="20">
        <v>3</v>
      </c>
      <c r="DO18" s="20">
        <v>14</v>
      </c>
      <c r="DP18" s="20" t="s">
        <v>8</v>
      </c>
      <c r="DQ18" s="20" t="s">
        <v>21</v>
      </c>
      <c r="DR18" s="33">
        <v>2</v>
      </c>
      <c r="DS18" s="20">
        <v>14</v>
      </c>
      <c r="DT18" s="20">
        <v>5</v>
      </c>
      <c r="DU18" s="20" t="s">
        <v>297</v>
      </c>
      <c r="DV18" s="20" t="s">
        <v>147</v>
      </c>
      <c r="DW18" s="20">
        <v>19</v>
      </c>
      <c r="DX18" s="20">
        <v>13</v>
      </c>
      <c r="DY18" s="20">
        <v>6</v>
      </c>
      <c r="DZ18" s="20">
        <v>11</v>
      </c>
      <c r="EA18" s="20" t="s">
        <v>210</v>
      </c>
      <c r="EB18" s="34">
        <v>1</v>
      </c>
      <c r="EC18" s="20">
        <v>8</v>
      </c>
      <c r="ED18" s="20">
        <v>4</v>
      </c>
      <c r="EE18" s="20" t="s">
        <v>125</v>
      </c>
      <c r="EF18" s="20" t="s">
        <v>161</v>
      </c>
      <c r="EG18" s="20">
        <v>21</v>
      </c>
      <c r="EH18" s="20">
        <v>16</v>
      </c>
      <c r="EI18" s="20">
        <v>7</v>
      </c>
      <c r="EJ18" s="20">
        <v>9</v>
      </c>
      <c r="EK18" s="20" t="s">
        <v>208</v>
      </c>
      <c r="EM18" s="20">
        <v>1</v>
      </c>
      <c r="EN18" s="20">
        <v>0</v>
      </c>
      <c r="EO18" s="20">
        <v>0</v>
      </c>
      <c r="EP18" s="20">
        <v>0</v>
      </c>
      <c r="EQ18" s="20">
        <v>0</v>
      </c>
      <c r="ER18" s="20">
        <v>0</v>
      </c>
      <c r="ES18" s="20">
        <v>0</v>
      </c>
      <c r="ET18" s="20">
        <v>0</v>
      </c>
      <c r="EX18" s="20">
        <v>14.29</v>
      </c>
      <c r="EY18" s="20">
        <v>2</v>
      </c>
      <c r="FB18" s="20">
        <v>14</v>
      </c>
      <c r="FC18" s="20" t="s">
        <v>9</v>
      </c>
      <c r="FD18" s="20" t="s">
        <v>12</v>
      </c>
      <c r="FE18" s="32">
        <v>0</v>
      </c>
      <c r="FF18" s="20">
        <v>11</v>
      </c>
      <c r="FG18" s="20">
        <v>2</v>
      </c>
      <c r="FH18" s="20" t="s">
        <v>138</v>
      </c>
      <c r="FI18" s="20" t="s">
        <v>147</v>
      </c>
      <c r="FJ18" s="20">
        <v>23</v>
      </c>
      <c r="FK18" s="20">
        <v>28</v>
      </c>
      <c r="FL18" s="20">
        <v>8</v>
      </c>
      <c r="FM18" s="20">
        <v>13</v>
      </c>
      <c r="FN18" s="20" t="s">
        <v>413</v>
      </c>
      <c r="FO18" s="32">
        <v>0</v>
      </c>
      <c r="FP18" s="20">
        <v>7</v>
      </c>
      <c r="FQ18" s="20">
        <v>2</v>
      </c>
      <c r="FR18" s="20" t="s">
        <v>170</v>
      </c>
      <c r="FS18" s="20" t="s">
        <v>129</v>
      </c>
      <c r="FT18" s="20">
        <v>15</v>
      </c>
      <c r="FU18" s="20">
        <v>19</v>
      </c>
      <c r="FV18" s="20">
        <v>5</v>
      </c>
      <c r="FW18" s="20">
        <v>15</v>
      </c>
      <c r="FX18" s="20" t="s">
        <v>414</v>
      </c>
      <c r="FZ18" s="32">
        <v>0</v>
      </c>
      <c r="GA18" s="32">
        <v>0</v>
      </c>
      <c r="GB18" s="32">
        <v>0</v>
      </c>
      <c r="GC18" s="32">
        <v>1</v>
      </c>
      <c r="GD18" s="32">
        <v>1</v>
      </c>
      <c r="GE18" s="32">
        <v>1</v>
      </c>
      <c r="GF18" s="32">
        <v>1</v>
      </c>
      <c r="GG18" s="32">
        <v>0</v>
      </c>
      <c r="GK18" s="32">
        <v>10.39</v>
      </c>
      <c r="GL18" s="32">
        <v>8</v>
      </c>
      <c r="GO18" s="20">
        <v>14</v>
      </c>
      <c r="GP18" s="20" t="s">
        <v>14</v>
      </c>
      <c r="GQ18" s="20" t="s">
        <v>10</v>
      </c>
      <c r="GR18" s="32">
        <v>1</v>
      </c>
      <c r="GS18" s="20">
        <v>5</v>
      </c>
      <c r="GT18" s="20">
        <v>1</v>
      </c>
      <c r="GU18" s="20" t="s">
        <v>141</v>
      </c>
      <c r="GV18" s="20" t="s">
        <v>117</v>
      </c>
      <c r="GW18" s="20">
        <v>28</v>
      </c>
      <c r="GX18" s="20">
        <v>21</v>
      </c>
      <c r="GY18" s="20">
        <v>5</v>
      </c>
      <c r="GZ18" s="20">
        <v>16</v>
      </c>
      <c r="HA18" s="20" t="s">
        <v>415</v>
      </c>
      <c r="HB18" s="32">
        <v>1</v>
      </c>
      <c r="HC18" s="20">
        <v>28</v>
      </c>
      <c r="HD18" s="20">
        <v>6</v>
      </c>
      <c r="HE18" s="20" t="s">
        <v>119</v>
      </c>
      <c r="HF18" s="20" t="s">
        <v>154</v>
      </c>
      <c r="HG18" s="20">
        <v>19</v>
      </c>
      <c r="HH18" s="20">
        <v>19</v>
      </c>
      <c r="HI18" s="20">
        <v>11</v>
      </c>
      <c r="HJ18" s="20">
        <v>13</v>
      </c>
      <c r="HK18" s="20" t="s">
        <v>416</v>
      </c>
      <c r="HM18" s="32">
        <v>1</v>
      </c>
      <c r="HN18" s="32">
        <v>1</v>
      </c>
      <c r="HO18" s="32">
        <v>1</v>
      </c>
      <c r="HP18" s="32">
        <v>0</v>
      </c>
      <c r="HQ18" s="32">
        <v>0</v>
      </c>
      <c r="HR18" s="32">
        <v>1</v>
      </c>
      <c r="HS18" s="32">
        <v>1</v>
      </c>
      <c r="HT18" s="32">
        <v>1</v>
      </c>
      <c r="HX18" s="32">
        <v>1.43</v>
      </c>
      <c r="HY18" s="32">
        <v>9</v>
      </c>
      <c r="IB18" s="20">
        <v>14</v>
      </c>
      <c r="IC18" s="20" t="s">
        <v>16</v>
      </c>
      <c r="ID18" s="20" t="s">
        <v>11</v>
      </c>
      <c r="IE18" s="32">
        <v>1</v>
      </c>
      <c r="IF18" s="20">
        <v>8</v>
      </c>
      <c r="IG18" s="20">
        <v>2</v>
      </c>
      <c r="IH18" s="20" t="s">
        <v>131</v>
      </c>
      <c r="II18" s="20" t="s">
        <v>129</v>
      </c>
      <c r="IJ18" s="20">
        <v>21</v>
      </c>
      <c r="IK18" s="20">
        <v>19</v>
      </c>
      <c r="IL18" s="20">
        <v>11</v>
      </c>
      <c r="IM18" s="20">
        <v>12</v>
      </c>
      <c r="IN18" s="20" t="s">
        <v>417</v>
      </c>
      <c r="IO18" s="32">
        <v>1</v>
      </c>
      <c r="IP18" s="20">
        <v>8</v>
      </c>
      <c r="IQ18" s="20">
        <v>4</v>
      </c>
      <c r="IR18" s="20" t="s">
        <v>125</v>
      </c>
      <c r="IS18" s="20" t="s">
        <v>139</v>
      </c>
      <c r="IT18" s="20">
        <v>22</v>
      </c>
      <c r="IU18" s="20">
        <v>11</v>
      </c>
      <c r="IV18" s="20">
        <v>6</v>
      </c>
      <c r="IW18" s="20">
        <v>16</v>
      </c>
      <c r="IX18" s="20" t="s">
        <v>418</v>
      </c>
      <c r="IZ18" s="32">
        <v>0</v>
      </c>
      <c r="JA18" s="32">
        <v>0</v>
      </c>
      <c r="JB18" s="32">
        <v>1</v>
      </c>
      <c r="JC18" s="32">
        <v>0</v>
      </c>
      <c r="JD18" s="32">
        <v>1</v>
      </c>
      <c r="JE18" s="32">
        <v>1</v>
      </c>
      <c r="JF18" s="32">
        <v>1</v>
      </c>
      <c r="JG18" s="32">
        <v>1</v>
      </c>
      <c r="JK18" s="32">
        <v>25</v>
      </c>
      <c r="JL18" s="32">
        <v>1</v>
      </c>
      <c r="JO18" s="20">
        <v>14</v>
      </c>
      <c r="JP18" s="20" t="s">
        <v>9</v>
      </c>
      <c r="JQ18" s="20" t="s">
        <v>12</v>
      </c>
      <c r="JR18" s="32">
        <v>0</v>
      </c>
      <c r="JS18" s="20">
        <v>7</v>
      </c>
      <c r="JT18" s="20">
        <v>2</v>
      </c>
      <c r="JU18" s="20" t="s">
        <v>170</v>
      </c>
      <c r="JV18" s="20" t="s">
        <v>129</v>
      </c>
      <c r="JW18" s="20">
        <v>15</v>
      </c>
      <c r="JX18" s="20">
        <v>19</v>
      </c>
      <c r="JY18" s="20">
        <v>5</v>
      </c>
      <c r="JZ18" s="20">
        <v>15</v>
      </c>
      <c r="KA18" s="20" t="s">
        <v>414</v>
      </c>
      <c r="KB18" s="32">
        <v>0</v>
      </c>
      <c r="KC18" s="20">
        <v>11</v>
      </c>
      <c r="KD18" s="20">
        <v>2</v>
      </c>
      <c r="KE18" s="20" t="s">
        <v>138</v>
      </c>
      <c r="KF18" s="20" t="s">
        <v>147</v>
      </c>
      <c r="KG18" s="20">
        <v>23</v>
      </c>
      <c r="KH18" s="20">
        <v>28</v>
      </c>
      <c r="KI18" s="20">
        <v>8</v>
      </c>
      <c r="KJ18" s="20">
        <v>13</v>
      </c>
      <c r="KK18" s="20" t="s">
        <v>413</v>
      </c>
      <c r="KM18" s="32">
        <v>0</v>
      </c>
      <c r="KN18" s="32">
        <v>0</v>
      </c>
      <c r="KO18" s="32">
        <v>0</v>
      </c>
      <c r="KP18" s="32">
        <v>1</v>
      </c>
      <c r="KQ18" s="32">
        <v>1</v>
      </c>
      <c r="KR18" s="32">
        <v>1</v>
      </c>
      <c r="KS18" s="32">
        <v>1</v>
      </c>
      <c r="KT18" s="32">
        <v>0</v>
      </c>
      <c r="KX18" s="32">
        <v>10.39</v>
      </c>
      <c r="KY18" s="32">
        <v>8</v>
      </c>
      <c r="LB18" s="20">
        <v>14</v>
      </c>
      <c r="LC18" s="20" t="s">
        <v>13</v>
      </c>
      <c r="LD18" s="20" t="s">
        <v>19</v>
      </c>
      <c r="LE18" s="33">
        <v>2</v>
      </c>
      <c r="LF18" s="20">
        <v>10</v>
      </c>
      <c r="LG18" s="20">
        <v>7</v>
      </c>
      <c r="LH18" s="20" t="s">
        <v>419</v>
      </c>
      <c r="LI18" s="20" t="s">
        <v>134</v>
      </c>
      <c r="LJ18" s="20">
        <v>18</v>
      </c>
      <c r="LK18" s="20">
        <v>18</v>
      </c>
      <c r="LL18" s="20">
        <v>13</v>
      </c>
      <c r="LM18" s="20">
        <v>14</v>
      </c>
      <c r="LN18" s="20" t="s">
        <v>420</v>
      </c>
      <c r="LO18" s="34">
        <v>1</v>
      </c>
      <c r="LP18" s="20">
        <v>5</v>
      </c>
      <c r="LQ18" s="20">
        <v>1</v>
      </c>
      <c r="LR18" s="20" t="s">
        <v>141</v>
      </c>
      <c r="LS18" s="20" t="s">
        <v>371</v>
      </c>
      <c r="LT18" s="20">
        <v>17</v>
      </c>
      <c r="LU18" s="20">
        <v>9</v>
      </c>
      <c r="LV18" s="20">
        <v>3</v>
      </c>
      <c r="LW18" s="20">
        <v>14</v>
      </c>
      <c r="LX18" s="20" t="s">
        <v>421</v>
      </c>
      <c r="LZ18" s="20">
        <v>1</v>
      </c>
      <c r="MA18" s="20">
        <v>1</v>
      </c>
      <c r="MB18" s="20">
        <v>1</v>
      </c>
      <c r="MC18" s="20">
        <v>1</v>
      </c>
      <c r="MD18" s="20">
        <v>1</v>
      </c>
      <c r="ME18" s="20">
        <v>1</v>
      </c>
      <c r="MF18" s="20">
        <v>0</v>
      </c>
      <c r="MG18" s="20">
        <v>1</v>
      </c>
      <c r="MK18" s="20">
        <v>50</v>
      </c>
      <c r="ML18" s="20">
        <v>1</v>
      </c>
      <c r="MO18" s="20">
        <v>14</v>
      </c>
      <c r="MP18" s="20" t="s">
        <v>14</v>
      </c>
      <c r="MQ18" s="20" t="s">
        <v>10</v>
      </c>
      <c r="MR18" s="32">
        <v>1</v>
      </c>
      <c r="MS18" s="20">
        <v>28</v>
      </c>
      <c r="MT18" s="20">
        <v>6</v>
      </c>
      <c r="MU18" s="20" t="s">
        <v>119</v>
      </c>
      <c r="MV18" s="20" t="s">
        <v>154</v>
      </c>
      <c r="MW18" s="20">
        <v>19</v>
      </c>
      <c r="MX18" s="20">
        <v>19</v>
      </c>
      <c r="MY18" s="20">
        <v>11</v>
      </c>
      <c r="MZ18" s="20">
        <v>13</v>
      </c>
      <c r="NA18" s="20" t="s">
        <v>416</v>
      </c>
      <c r="NB18" s="32">
        <v>1</v>
      </c>
      <c r="NC18" s="20">
        <v>5</v>
      </c>
      <c r="ND18" s="20">
        <v>1</v>
      </c>
      <c r="NE18" s="20" t="s">
        <v>141</v>
      </c>
      <c r="NF18" s="20" t="s">
        <v>117</v>
      </c>
      <c r="NG18" s="20">
        <v>28</v>
      </c>
      <c r="NH18" s="20">
        <v>21</v>
      </c>
      <c r="NI18" s="20">
        <v>5</v>
      </c>
      <c r="NJ18" s="20">
        <v>16</v>
      </c>
      <c r="NK18" s="20" t="s">
        <v>415</v>
      </c>
      <c r="NM18" s="32">
        <v>1</v>
      </c>
      <c r="NN18" s="32">
        <v>1</v>
      </c>
      <c r="NO18" s="32">
        <v>1</v>
      </c>
      <c r="NP18" s="32">
        <v>0</v>
      </c>
      <c r="NQ18" s="32">
        <v>0</v>
      </c>
      <c r="NR18" s="32">
        <v>1</v>
      </c>
      <c r="NS18" s="32">
        <v>1</v>
      </c>
      <c r="NT18" s="32">
        <v>1</v>
      </c>
      <c r="NX18" s="32">
        <v>1.43</v>
      </c>
      <c r="NY18" s="32">
        <v>9</v>
      </c>
      <c r="OB18" s="20">
        <v>14</v>
      </c>
      <c r="OC18" s="20" t="s">
        <v>34</v>
      </c>
      <c r="OD18" s="20" t="s">
        <v>15</v>
      </c>
      <c r="OE18" s="34">
        <v>1</v>
      </c>
      <c r="OF18" s="20">
        <v>12</v>
      </c>
      <c r="OG18" s="20">
        <v>7</v>
      </c>
      <c r="OH18" s="20" t="s">
        <v>405</v>
      </c>
      <c r="OI18" s="20" t="s">
        <v>168</v>
      </c>
      <c r="OJ18" s="20">
        <v>13</v>
      </c>
      <c r="OK18" s="20">
        <v>24</v>
      </c>
      <c r="OL18" s="20">
        <v>8</v>
      </c>
      <c r="OM18" s="20">
        <v>11</v>
      </c>
      <c r="ON18" s="20" t="s">
        <v>117</v>
      </c>
      <c r="OO18" s="33">
        <v>3</v>
      </c>
      <c r="OP18" s="20">
        <v>21</v>
      </c>
      <c r="OQ18" s="20">
        <v>9</v>
      </c>
      <c r="OR18" s="20" t="s">
        <v>207</v>
      </c>
      <c r="OS18" s="20" t="s">
        <v>151</v>
      </c>
      <c r="OT18" s="20">
        <v>14</v>
      </c>
      <c r="OU18" s="20">
        <v>20</v>
      </c>
      <c r="OV18" s="20">
        <v>7</v>
      </c>
      <c r="OW18" s="20">
        <v>6</v>
      </c>
      <c r="OX18" s="20" t="s">
        <v>422</v>
      </c>
      <c r="OZ18" s="20">
        <v>1</v>
      </c>
      <c r="PA18" s="20">
        <v>0</v>
      </c>
      <c r="PB18" s="20">
        <v>0</v>
      </c>
      <c r="PC18" s="20">
        <v>1</v>
      </c>
      <c r="PD18" s="20">
        <v>0</v>
      </c>
      <c r="PE18" s="20">
        <v>0</v>
      </c>
      <c r="PF18" s="20">
        <v>1</v>
      </c>
      <c r="PG18" s="20">
        <v>0</v>
      </c>
      <c r="PK18" s="20">
        <v>15.48</v>
      </c>
      <c r="PL18" s="20">
        <v>1</v>
      </c>
      <c r="PO18" s="20">
        <v>14</v>
      </c>
      <c r="PP18" s="20" t="s">
        <v>17</v>
      </c>
      <c r="PQ18" s="20" t="s">
        <v>5</v>
      </c>
      <c r="PR18" s="32">
        <v>1</v>
      </c>
      <c r="PS18" s="20">
        <v>10</v>
      </c>
      <c r="PT18" s="20">
        <v>3</v>
      </c>
      <c r="PU18" s="20" t="s">
        <v>237</v>
      </c>
      <c r="PV18" s="20" t="s">
        <v>142</v>
      </c>
      <c r="PW18" s="20">
        <v>30</v>
      </c>
      <c r="PX18" s="20">
        <v>6</v>
      </c>
      <c r="PY18" s="20">
        <v>7</v>
      </c>
      <c r="PZ18" s="20">
        <v>3</v>
      </c>
      <c r="QA18" s="20" t="s">
        <v>423</v>
      </c>
      <c r="QB18" s="32">
        <v>1</v>
      </c>
      <c r="QC18" s="20">
        <v>16</v>
      </c>
      <c r="QD18" s="20">
        <v>5</v>
      </c>
      <c r="QE18" s="20" t="s">
        <v>149</v>
      </c>
      <c r="QF18" s="20" t="s">
        <v>136</v>
      </c>
      <c r="QG18" s="20">
        <v>10</v>
      </c>
      <c r="QH18" s="20">
        <v>15</v>
      </c>
      <c r="QI18" s="20">
        <v>16</v>
      </c>
      <c r="QJ18" s="20">
        <v>18</v>
      </c>
      <c r="QK18" s="20" t="s">
        <v>424</v>
      </c>
      <c r="QM18" s="32">
        <v>1</v>
      </c>
      <c r="QN18" s="32">
        <v>1</v>
      </c>
      <c r="QO18" s="32">
        <v>1</v>
      </c>
      <c r="QP18" s="32">
        <v>0</v>
      </c>
      <c r="QQ18" s="32">
        <v>1</v>
      </c>
      <c r="QR18" s="32">
        <v>1</v>
      </c>
      <c r="QS18" s="32">
        <v>0</v>
      </c>
      <c r="QT18" s="32">
        <v>1</v>
      </c>
      <c r="QX18" s="32">
        <v>1.25</v>
      </c>
      <c r="QY18" s="32">
        <v>20</v>
      </c>
      <c r="RB18" s="20">
        <v>14</v>
      </c>
      <c r="RC18" s="20" t="s">
        <v>18</v>
      </c>
      <c r="RD18" s="20" t="s">
        <v>23</v>
      </c>
      <c r="RE18" s="32">
        <v>1</v>
      </c>
      <c r="RF18" s="20">
        <v>9</v>
      </c>
      <c r="RG18" s="20">
        <v>1</v>
      </c>
      <c r="RH18" s="20" t="s">
        <v>175</v>
      </c>
      <c r="RI18" s="20" t="s">
        <v>144</v>
      </c>
      <c r="RJ18" s="20">
        <v>22</v>
      </c>
      <c r="RK18" s="20">
        <v>21</v>
      </c>
      <c r="RL18" s="20">
        <v>11</v>
      </c>
      <c r="RM18" s="20">
        <v>15</v>
      </c>
      <c r="RN18" s="20" t="s">
        <v>262</v>
      </c>
      <c r="RO18" s="32">
        <v>1</v>
      </c>
      <c r="RP18" s="20">
        <v>12</v>
      </c>
      <c r="RQ18" s="20">
        <v>5</v>
      </c>
      <c r="RR18" s="20" t="s">
        <v>254</v>
      </c>
      <c r="RS18" s="20" t="s">
        <v>203</v>
      </c>
      <c r="RT18" s="20">
        <v>22</v>
      </c>
      <c r="RU18" s="20">
        <v>29</v>
      </c>
      <c r="RV18" s="20">
        <v>9</v>
      </c>
      <c r="RW18" s="20">
        <v>15</v>
      </c>
      <c r="RX18" s="20" t="s">
        <v>260</v>
      </c>
      <c r="RZ18" s="32">
        <v>1</v>
      </c>
      <c r="SA18" s="32">
        <v>1</v>
      </c>
      <c r="SB18" s="32">
        <v>0</v>
      </c>
      <c r="SC18" s="32">
        <v>1</v>
      </c>
      <c r="SD18" s="32">
        <v>1</v>
      </c>
      <c r="SE18" s="32">
        <v>0</v>
      </c>
      <c r="SF18" s="32">
        <v>1</v>
      </c>
      <c r="SG18" s="32">
        <v>0</v>
      </c>
      <c r="SK18" s="32">
        <v>30.56</v>
      </c>
      <c r="SL18" s="32">
        <v>0</v>
      </c>
      <c r="SO18" s="20">
        <v>14</v>
      </c>
      <c r="SP18" s="20" t="s">
        <v>13</v>
      </c>
      <c r="SQ18" s="20" t="s">
        <v>19</v>
      </c>
      <c r="SR18" s="34">
        <v>1</v>
      </c>
      <c r="SS18" s="20">
        <v>5</v>
      </c>
      <c r="ST18" s="20">
        <v>1</v>
      </c>
      <c r="SU18" s="20" t="s">
        <v>141</v>
      </c>
      <c r="SV18" s="20" t="s">
        <v>371</v>
      </c>
      <c r="SW18" s="20">
        <v>17</v>
      </c>
      <c r="SX18" s="20">
        <v>9</v>
      </c>
      <c r="SY18" s="20">
        <v>3</v>
      </c>
      <c r="SZ18" s="20">
        <v>14</v>
      </c>
      <c r="TA18" s="20" t="s">
        <v>421</v>
      </c>
      <c r="TB18" s="33">
        <v>2</v>
      </c>
      <c r="TC18" s="20">
        <v>10</v>
      </c>
      <c r="TD18" s="20">
        <v>7</v>
      </c>
      <c r="TE18" s="20" t="s">
        <v>419</v>
      </c>
      <c r="TF18" s="20" t="s">
        <v>134</v>
      </c>
      <c r="TG18" s="20">
        <v>18</v>
      </c>
      <c r="TH18" s="20">
        <v>18</v>
      </c>
      <c r="TI18" s="20">
        <v>13</v>
      </c>
      <c r="TJ18" s="20">
        <v>14</v>
      </c>
      <c r="TK18" s="20" t="s">
        <v>420</v>
      </c>
      <c r="TM18" s="20">
        <v>1</v>
      </c>
      <c r="TN18" s="20">
        <v>1</v>
      </c>
      <c r="TO18" s="20">
        <v>1</v>
      </c>
      <c r="TP18" s="20">
        <v>1</v>
      </c>
      <c r="TQ18" s="20">
        <v>1</v>
      </c>
      <c r="TR18" s="20">
        <v>1</v>
      </c>
      <c r="TS18" s="20">
        <v>0</v>
      </c>
      <c r="TT18" s="20">
        <v>1</v>
      </c>
      <c r="TX18" s="20">
        <v>50</v>
      </c>
      <c r="TY18" s="20">
        <v>1</v>
      </c>
      <c r="UB18" s="20">
        <v>14</v>
      </c>
      <c r="UC18" s="20" t="s">
        <v>16</v>
      </c>
      <c r="UD18" s="20" t="s">
        <v>11</v>
      </c>
      <c r="UE18" s="32">
        <v>1</v>
      </c>
      <c r="UF18" s="20">
        <v>8</v>
      </c>
      <c r="UG18" s="20">
        <v>4</v>
      </c>
      <c r="UH18" s="20" t="s">
        <v>125</v>
      </c>
      <c r="UI18" s="20" t="s">
        <v>139</v>
      </c>
      <c r="UJ18" s="20">
        <v>22</v>
      </c>
      <c r="UK18" s="20">
        <v>11</v>
      </c>
      <c r="UL18" s="20">
        <v>6</v>
      </c>
      <c r="UM18" s="20">
        <v>16</v>
      </c>
      <c r="UN18" s="20" t="s">
        <v>418</v>
      </c>
      <c r="UO18" s="32">
        <v>1</v>
      </c>
      <c r="UP18" s="20">
        <v>8</v>
      </c>
      <c r="UQ18" s="20">
        <v>2</v>
      </c>
      <c r="UR18" s="20" t="s">
        <v>131</v>
      </c>
      <c r="US18" s="20" t="s">
        <v>129</v>
      </c>
      <c r="UT18" s="20">
        <v>21</v>
      </c>
      <c r="UU18" s="20">
        <v>19</v>
      </c>
      <c r="UV18" s="20">
        <v>11</v>
      </c>
      <c r="UW18" s="20">
        <v>12</v>
      </c>
      <c r="UX18" s="20" t="s">
        <v>417</v>
      </c>
      <c r="UZ18" s="32">
        <v>0</v>
      </c>
      <c r="VA18" s="32">
        <v>0</v>
      </c>
      <c r="VB18" s="32">
        <v>1</v>
      </c>
      <c r="VC18" s="32">
        <v>0</v>
      </c>
      <c r="VD18" s="32">
        <v>1</v>
      </c>
      <c r="VE18" s="32">
        <v>1</v>
      </c>
      <c r="VF18" s="32">
        <v>1</v>
      </c>
      <c r="VG18" s="32">
        <v>1</v>
      </c>
      <c r="VK18" s="32">
        <v>25</v>
      </c>
      <c r="VL18" s="32">
        <v>1</v>
      </c>
      <c r="VO18" s="20">
        <v>14</v>
      </c>
      <c r="VP18" s="20" t="s">
        <v>20</v>
      </c>
      <c r="VQ18" s="20" t="s">
        <v>7</v>
      </c>
      <c r="VR18" s="34">
        <v>0</v>
      </c>
      <c r="VS18" s="20">
        <v>18</v>
      </c>
      <c r="VT18" s="20">
        <v>3</v>
      </c>
      <c r="VU18" s="20" t="s">
        <v>272</v>
      </c>
      <c r="VV18" s="20" t="s">
        <v>134</v>
      </c>
      <c r="VW18" s="20">
        <v>23</v>
      </c>
      <c r="VX18" s="20">
        <v>12</v>
      </c>
      <c r="VY18" s="20">
        <v>7</v>
      </c>
      <c r="VZ18" s="20">
        <v>12</v>
      </c>
      <c r="WA18" s="20" t="s">
        <v>204</v>
      </c>
      <c r="WB18" s="33">
        <v>2</v>
      </c>
      <c r="WC18" s="20">
        <v>11</v>
      </c>
      <c r="WD18" s="20">
        <v>4</v>
      </c>
      <c r="WE18" s="20" t="s">
        <v>249</v>
      </c>
      <c r="WF18" s="20" t="s">
        <v>230</v>
      </c>
      <c r="WG18" s="20">
        <v>26</v>
      </c>
      <c r="WH18" s="20">
        <v>8</v>
      </c>
      <c r="WI18" s="20">
        <v>12</v>
      </c>
      <c r="WJ18" s="20">
        <v>10</v>
      </c>
      <c r="WK18" s="20" t="s">
        <v>206</v>
      </c>
      <c r="WM18" s="20">
        <v>1</v>
      </c>
      <c r="WN18" s="20">
        <v>1</v>
      </c>
      <c r="WO18" s="20">
        <v>1</v>
      </c>
      <c r="WP18" s="20">
        <v>1</v>
      </c>
      <c r="WQ18" s="20">
        <v>0</v>
      </c>
      <c r="WR18" s="20">
        <v>1</v>
      </c>
      <c r="WS18" s="20">
        <v>1</v>
      </c>
      <c r="WT18" s="20">
        <v>1</v>
      </c>
      <c r="WX18" s="20">
        <v>19.7</v>
      </c>
      <c r="WY18" s="20">
        <v>3</v>
      </c>
      <c r="XB18" s="20">
        <v>14</v>
      </c>
      <c r="XC18" s="20" t="s">
        <v>34</v>
      </c>
      <c r="XD18" s="20" t="s">
        <v>15</v>
      </c>
      <c r="XE18" s="33">
        <v>3</v>
      </c>
      <c r="XF18" s="20">
        <v>21</v>
      </c>
      <c r="XG18" s="20">
        <v>9</v>
      </c>
      <c r="XH18" s="20" t="s">
        <v>207</v>
      </c>
      <c r="XI18" s="20" t="s">
        <v>151</v>
      </c>
      <c r="XJ18" s="20">
        <v>14</v>
      </c>
      <c r="XK18" s="20">
        <v>20</v>
      </c>
      <c r="XL18" s="20">
        <v>7</v>
      </c>
      <c r="XM18" s="20">
        <v>6</v>
      </c>
      <c r="XN18" s="20" t="s">
        <v>422</v>
      </c>
      <c r="XO18" s="34">
        <v>1</v>
      </c>
      <c r="XP18" s="20">
        <v>12</v>
      </c>
      <c r="XQ18" s="20">
        <v>7</v>
      </c>
      <c r="XR18" s="20" t="s">
        <v>405</v>
      </c>
      <c r="XS18" s="20" t="s">
        <v>168</v>
      </c>
      <c r="XT18" s="20">
        <v>13</v>
      </c>
      <c r="XU18" s="20">
        <v>24</v>
      </c>
      <c r="XV18" s="20">
        <v>8</v>
      </c>
      <c r="XW18" s="20">
        <v>11</v>
      </c>
      <c r="XX18" s="20" t="s">
        <v>117</v>
      </c>
      <c r="XZ18" s="20">
        <v>1</v>
      </c>
      <c r="YA18" s="20">
        <v>0</v>
      </c>
      <c r="YB18" s="20">
        <v>0</v>
      </c>
      <c r="YC18" s="20">
        <v>1</v>
      </c>
      <c r="YD18" s="20">
        <v>0</v>
      </c>
      <c r="YE18" s="20">
        <v>0</v>
      </c>
      <c r="YF18" s="20">
        <v>1</v>
      </c>
      <c r="YG18" s="20">
        <v>0</v>
      </c>
      <c r="YK18" s="20">
        <v>15.48</v>
      </c>
      <c r="YL18" s="20">
        <v>1</v>
      </c>
      <c r="YO18" s="20">
        <v>14</v>
      </c>
      <c r="YP18" s="20" t="s">
        <v>8</v>
      </c>
      <c r="YQ18" s="20" t="s">
        <v>21</v>
      </c>
      <c r="YR18" s="34">
        <v>1</v>
      </c>
      <c r="YS18" s="20">
        <v>8</v>
      </c>
      <c r="YT18" s="20">
        <v>4</v>
      </c>
      <c r="YU18" s="20" t="s">
        <v>125</v>
      </c>
      <c r="YV18" s="20" t="s">
        <v>161</v>
      </c>
      <c r="YW18" s="20">
        <v>21</v>
      </c>
      <c r="YX18" s="20">
        <v>16</v>
      </c>
      <c r="YY18" s="20">
        <v>7</v>
      </c>
      <c r="YZ18" s="20">
        <v>9</v>
      </c>
      <c r="ZA18" s="20" t="s">
        <v>208</v>
      </c>
      <c r="ZB18" s="33">
        <v>2</v>
      </c>
      <c r="ZC18" s="20">
        <v>14</v>
      </c>
      <c r="ZD18" s="20">
        <v>5</v>
      </c>
      <c r="ZE18" s="20" t="s">
        <v>297</v>
      </c>
      <c r="ZF18" s="20" t="s">
        <v>147</v>
      </c>
      <c r="ZG18" s="20">
        <v>19</v>
      </c>
      <c r="ZH18" s="20">
        <v>13</v>
      </c>
      <c r="ZI18" s="20">
        <v>6</v>
      </c>
      <c r="ZJ18" s="20">
        <v>11</v>
      </c>
      <c r="ZK18" s="20" t="s">
        <v>210</v>
      </c>
      <c r="ZM18" s="20">
        <v>1</v>
      </c>
      <c r="ZN18" s="20">
        <v>0</v>
      </c>
      <c r="ZO18" s="20">
        <v>0</v>
      </c>
      <c r="ZP18" s="20">
        <v>0</v>
      </c>
      <c r="ZQ18" s="20">
        <v>0</v>
      </c>
      <c r="ZR18" s="20">
        <v>0</v>
      </c>
      <c r="ZS18" s="20">
        <v>0</v>
      </c>
      <c r="ZT18" s="20">
        <v>0</v>
      </c>
      <c r="ZX18" s="20">
        <v>14.29</v>
      </c>
      <c r="ZY18" s="20">
        <v>2</v>
      </c>
      <c r="AAB18" s="20">
        <v>14</v>
      </c>
      <c r="AAC18" s="20" t="s">
        <v>6</v>
      </c>
      <c r="AAD18" s="20" t="s">
        <v>22</v>
      </c>
      <c r="AAE18" s="34">
        <v>1</v>
      </c>
      <c r="AAF18" s="20">
        <v>7</v>
      </c>
      <c r="AAG18" s="20">
        <v>3</v>
      </c>
      <c r="AAH18" s="20" t="s">
        <v>207</v>
      </c>
      <c r="AAI18" s="20" t="s">
        <v>230</v>
      </c>
      <c r="AAJ18" s="20">
        <v>13</v>
      </c>
      <c r="AAK18" s="20">
        <v>2</v>
      </c>
      <c r="AAL18" s="20">
        <v>10</v>
      </c>
      <c r="AAM18" s="20">
        <v>20</v>
      </c>
      <c r="AAN18" s="20" t="s">
        <v>412</v>
      </c>
      <c r="AAO18" s="33">
        <v>4</v>
      </c>
      <c r="AAP18" s="20">
        <v>16</v>
      </c>
      <c r="AAQ18" s="20">
        <v>8</v>
      </c>
      <c r="AAR18" s="20" t="s">
        <v>125</v>
      </c>
      <c r="AAS18" s="20" t="s">
        <v>288</v>
      </c>
      <c r="AAT18" s="20">
        <v>26</v>
      </c>
      <c r="AAU18" s="20">
        <v>11</v>
      </c>
      <c r="AAV18" s="20">
        <v>11</v>
      </c>
      <c r="AAW18" s="20">
        <v>6</v>
      </c>
      <c r="AAX18" s="20" t="s">
        <v>126</v>
      </c>
      <c r="AAZ18" s="20">
        <v>1</v>
      </c>
      <c r="ABA18" s="20">
        <v>1</v>
      </c>
      <c r="ABB18" s="20">
        <v>1</v>
      </c>
      <c r="ABC18" s="20">
        <v>1</v>
      </c>
      <c r="ABD18" s="20">
        <v>1</v>
      </c>
      <c r="ABE18" s="20">
        <v>1</v>
      </c>
      <c r="ABF18" s="20">
        <v>1</v>
      </c>
      <c r="ABG18" s="20">
        <v>1</v>
      </c>
      <c r="ABK18" s="20">
        <v>7.14</v>
      </c>
      <c r="ABL18" s="20">
        <v>13</v>
      </c>
      <c r="ABO18" s="20">
        <v>14</v>
      </c>
      <c r="ABP18" s="20" t="s">
        <v>18</v>
      </c>
      <c r="ABQ18" s="20" t="s">
        <v>23</v>
      </c>
      <c r="ABR18" s="32">
        <v>1</v>
      </c>
      <c r="ABS18" s="20">
        <v>12</v>
      </c>
      <c r="ABT18" s="20">
        <v>5</v>
      </c>
      <c r="ABU18" s="20" t="s">
        <v>254</v>
      </c>
      <c r="ABV18" s="20" t="s">
        <v>203</v>
      </c>
      <c r="ABW18" s="20">
        <v>22</v>
      </c>
      <c r="ABX18" s="20">
        <v>29</v>
      </c>
      <c r="ABY18" s="20">
        <v>9</v>
      </c>
      <c r="ABZ18" s="20">
        <v>15</v>
      </c>
      <c r="ACA18" s="20" t="s">
        <v>260</v>
      </c>
      <c r="ACB18" s="32">
        <v>1</v>
      </c>
      <c r="ACC18" s="20">
        <v>9</v>
      </c>
      <c r="ACD18" s="20">
        <v>1</v>
      </c>
      <c r="ACE18" s="20" t="s">
        <v>175</v>
      </c>
      <c r="ACF18" s="20" t="s">
        <v>144</v>
      </c>
      <c r="ACG18" s="20">
        <v>22</v>
      </c>
      <c r="ACH18" s="20">
        <v>21</v>
      </c>
      <c r="ACI18" s="20">
        <v>11</v>
      </c>
      <c r="ACJ18" s="20">
        <v>15</v>
      </c>
      <c r="ACK18" s="20" t="s">
        <v>262</v>
      </c>
      <c r="ACM18" s="32">
        <v>1</v>
      </c>
      <c r="ACN18" s="32">
        <v>1</v>
      </c>
      <c r="ACO18" s="32">
        <v>0</v>
      </c>
      <c r="ACP18" s="32">
        <v>1</v>
      </c>
      <c r="ACQ18" s="32">
        <v>1</v>
      </c>
      <c r="ACR18" s="32">
        <v>0</v>
      </c>
      <c r="ACS18" s="32">
        <v>1</v>
      </c>
      <c r="ACT18" s="32">
        <v>0</v>
      </c>
      <c r="ACX18" s="32">
        <v>30.56</v>
      </c>
      <c r="ACY18" s="32">
        <v>0</v>
      </c>
    </row>
    <row r="19" spans="1:779" x14ac:dyDescent="0.3">
      <c r="A19" s="27"/>
      <c r="B19" s="20">
        <v>15</v>
      </c>
      <c r="C19" s="20" t="s">
        <v>5</v>
      </c>
      <c r="D19" s="20" t="s">
        <v>16</v>
      </c>
      <c r="E19" s="35">
        <v>2</v>
      </c>
      <c r="F19" s="20">
        <v>17</v>
      </c>
      <c r="G19" s="30">
        <v>7</v>
      </c>
      <c r="H19" s="27">
        <v>0.4118</v>
      </c>
      <c r="I19" s="28">
        <v>0.88</v>
      </c>
      <c r="J19" s="20">
        <v>13</v>
      </c>
      <c r="K19" s="20">
        <v>8</v>
      </c>
      <c r="L19" s="20">
        <v>22</v>
      </c>
      <c r="M19" s="30">
        <v>10</v>
      </c>
      <c r="N19" s="27">
        <v>0.68899999999999995</v>
      </c>
      <c r="O19" s="35">
        <v>2</v>
      </c>
      <c r="P19" s="20">
        <v>13</v>
      </c>
      <c r="Q19" s="30">
        <v>4</v>
      </c>
      <c r="R19" s="27">
        <v>0.30769999999999997</v>
      </c>
      <c r="S19" s="28">
        <v>0.75</v>
      </c>
      <c r="T19" s="20">
        <v>24</v>
      </c>
      <c r="U19" s="20">
        <v>8</v>
      </c>
      <c r="V19" s="20">
        <v>4</v>
      </c>
      <c r="W19" s="30">
        <v>9</v>
      </c>
      <c r="X19" s="27">
        <v>0.311</v>
      </c>
      <c r="Z19" s="32">
        <v>1</v>
      </c>
      <c r="AA19" s="32">
        <v>1</v>
      </c>
      <c r="AB19" s="32">
        <v>1</v>
      </c>
      <c r="AC19" s="32">
        <v>0</v>
      </c>
      <c r="AD19" s="32">
        <v>0</v>
      </c>
      <c r="AE19" s="32">
        <v>1</v>
      </c>
      <c r="AF19" s="32">
        <v>0</v>
      </c>
      <c r="AG19" s="32">
        <v>1</v>
      </c>
      <c r="AK19" s="32">
        <v>10.41</v>
      </c>
      <c r="AL19" s="32">
        <v>11</v>
      </c>
      <c r="AM19" s="20"/>
      <c r="AN19" s="20"/>
      <c r="AO19" s="20">
        <v>15</v>
      </c>
      <c r="AP19" s="20" t="s">
        <v>8</v>
      </c>
      <c r="AQ19" s="20" t="s">
        <v>6</v>
      </c>
      <c r="AR19" s="34">
        <v>0</v>
      </c>
      <c r="AS19" s="30">
        <v>20</v>
      </c>
      <c r="AT19" s="30">
        <v>1</v>
      </c>
      <c r="AU19" s="27">
        <v>0.05</v>
      </c>
      <c r="AV19" s="28">
        <v>0.85</v>
      </c>
      <c r="AW19" s="20">
        <v>9</v>
      </c>
      <c r="AX19" s="20">
        <v>18</v>
      </c>
      <c r="AY19" s="30">
        <v>12</v>
      </c>
      <c r="AZ19" s="20">
        <v>5</v>
      </c>
      <c r="BA19" s="27">
        <v>0.65200000000000002</v>
      </c>
      <c r="BB19" s="33">
        <v>1</v>
      </c>
      <c r="BC19" s="20">
        <v>7</v>
      </c>
      <c r="BD19" s="20">
        <v>3</v>
      </c>
      <c r="BE19" s="20" t="s">
        <v>207</v>
      </c>
      <c r="BF19" s="20" t="s">
        <v>147</v>
      </c>
      <c r="BG19" s="20">
        <v>14</v>
      </c>
      <c r="BH19" s="20">
        <v>5</v>
      </c>
      <c r="BI19" s="20">
        <v>6</v>
      </c>
      <c r="BJ19" s="20">
        <v>3</v>
      </c>
      <c r="BK19" s="20" t="s">
        <v>425</v>
      </c>
      <c r="BM19" s="20">
        <v>1</v>
      </c>
      <c r="BN19" s="20">
        <v>1</v>
      </c>
      <c r="BO19" s="20">
        <v>0</v>
      </c>
      <c r="BP19" s="20">
        <v>1</v>
      </c>
      <c r="BQ19" s="20">
        <v>0</v>
      </c>
      <c r="BR19" s="20">
        <v>0</v>
      </c>
      <c r="BS19" s="20">
        <v>1</v>
      </c>
      <c r="BT19" s="20">
        <v>0</v>
      </c>
      <c r="BX19" s="20">
        <v>37.86</v>
      </c>
      <c r="BY19" s="20">
        <v>5</v>
      </c>
      <c r="BZ19" s="20"/>
      <c r="CA19" s="20"/>
      <c r="CB19" s="20">
        <v>15</v>
      </c>
      <c r="CC19" s="20" t="s">
        <v>7</v>
      </c>
      <c r="CD19" s="20" t="s">
        <v>9</v>
      </c>
      <c r="CE19" s="33">
        <v>2</v>
      </c>
      <c r="CF19" s="20">
        <v>8</v>
      </c>
      <c r="CG19" s="20">
        <v>4</v>
      </c>
      <c r="CH19" s="20" t="s">
        <v>125</v>
      </c>
      <c r="CI19" s="20" t="s">
        <v>142</v>
      </c>
      <c r="CJ19" s="20">
        <v>21</v>
      </c>
      <c r="CK19" s="20">
        <v>18</v>
      </c>
      <c r="CL19" s="20">
        <v>16</v>
      </c>
      <c r="CM19" s="20">
        <v>10</v>
      </c>
      <c r="CN19" s="20" t="s">
        <v>281</v>
      </c>
      <c r="CO19" s="34">
        <v>1</v>
      </c>
      <c r="CP19" s="20">
        <v>10</v>
      </c>
      <c r="CQ19" s="20">
        <v>5</v>
      </c>
      <c r="CR19" s="20" t="s">
        <v>125</v>
      </c>
      <c r="CS19" s="20" t="s">
        <v>176</v>
      </c>
      <c r="CT19" s="20">
        <v>27</v>
      </c>
      <c r="CU19" s="20">
        <v>19</v>
      </c>
      <c r="CV19" s="20">
        <v>4</v>
      </c>
      <c r="CW19" s="20">
        <v>13</v>
      </c>
      <c r="CX19" s="20" t="s">
        <v>279</v>
      </c>
      <c r="CZ19" s="20">
        <v>0</v>
      </c>
      <c r="DA19" s="20">
        <v>0</v>
      </c>
      <c r="DB19" s="20">
        <v>0</v>
      </c>
      <c r="DC19" s="20">
        <v>0</v>
      </c>
      <c r="DD19" s="20">
        <v>0</v>
      </c>
      <c r="DE19" s="20">
        <v>1</v>
      </c>
      <c r="DF19" s="20">
        <v>1</v>
      </c>
      <c r="DG19" s="20">
        <v>0</v>
      </c>
      <c r="DK19" s="20">
        <v>0</v>
      </c>
      <c r="DL19" s="20">
        <v>6</v>
      </c>
      <c r="DO19" s="20">
        <v>15</v>
      </c>
      <c r="DP19" s="20" t="s">
        <v>8</v>
      </c>
      <c r="DQ19" s="20" t="s">
        <v>6</v>
      </c>
      <c r="DR19" s="33">
        <v>1</v>
      </c>
      <c r="DS19" s="20">
        <v>7</v>
      </c>
      <c r="DT19" s="20">
        <v>3</v>
      </c>
      <c r="DU19" s="20" t="s">
        <v>207</v>
      </c>
      <c r="DV19" s="20" t="s">
        <v>147</v>
      </c>
      <c r="DW19" s="20">
        <v>14</v>
      </c>
      <c r="DX19" s="20">
        <v>5</v>
      </c>
      <c r="DY19" s="20">
        <v>6</v>
      </c>
      <c r="DZ19" s="20">
        <v>3</v>
      </c>
      <c r="EA19" s="20" t="s">
        <v>425</v>
      </c>
      <c r="EB19" s="34">
        <v>0</v>
      </c>
      <c r="EC19" s="20">
        <v>20</v>
      </c>
      <c r="ED19" s="20">
        <v>1</v>
      </c>
      <c r="EE19" s="20" t="s">
        <v>426</v>
      </c>
      <c r="EF19" s="20" t="s">
        <v>258</v>
      </c>
      <c r="EG19" s="20">
        <v>9</v>
      </c>
      <c r="EH19" s="20">
        <v>18</v>
      </c>
      <c r="EI19" s="20">
        <v>12</v>
      </c>
      <c r="EJ19" s="20">
        <v>5</v>
      </c>
      <c r="EK19" s="20" t="s">
        <v>427</v>
      </c>
      <c r="EM19" s="20">
        <v>1</v>
      </c>
      <c r="EN19" s="20">
        <v>1</v>
      </c>
      <c r="EO19" s="20">
        <v>0</v>
      </c>
      <c r="EP19" s="20">
        <v>1</v>
      </c>
      <c r="EQ19" s="20">
        <v>0</v>
      </c>
      <c r="ER19" s="20">
        <v>0</v>
      </c>
      <c r="ES19" s="20">
        <v>1</v>
      </c>
      <c r="ET19" s="20">
        <v>0</v>
      </c>
      <c r="EX19" s="20">
        <v>37.86</v>
      </c>
      <c r="EY19" s="20">
        <v>5</v>
      </c>
      <c r="FB19" s="20">
        <v>15</v>
      </c>
      <c r="FC19" s="20" t="s">
        <v>7</v>
      </c>
      <c r="FD19" s="20" t="s">
        <v>9</v>
      </c>
      <c r="FE19" s="34">
        <v>1</v>
      </c>
      <c r="FF19" s="20">
        <v>10</v>
      </c>
      <c r="FG19" s="20">
        <v>5</v>
      </c>
      <c r="FH19" s="20" t="s">
        <v>125</v>
      </c>
      <c r="FI19" s="20" t="s">
        <v>176</v>
      </c>
      <c r="FJ19" s="20">
        <v>27</v>
      </c>
      <c r="FK19" s="20">
        <v>19</v>
      </c>
      <c r="FL19" s="20">
        <v>4</v>
      </c>
      <c r="FM19" s="20">
        <v>13</v>
      </c>
      <c r="FN19" s="20" t="s">
        <v>279</v>
      </c>
      <c r="FO19" s="33">
        <v>2</v>
      </c>
      <c r="FP19" s="20">
        <v>8</v>
      </c>
      <c r="FQ19" s="20">
        <v>4</v>
      </c>
      <c r="FR19" s="20" t="s">
        <v>125</v>
      </c>
      <c r="FS19" s="20" t="s">
        <v>142</v>
      </c>
      <c r="FT19" s="20">
        <v>21</v>
      </c>
      <c r="FU19" s="20">
        <v>18</v>
      </c>
      <c r="FV19" s="20">
        <v>16</v>
      </c>
      <c r="FW19" s="20">
        <v>10</v>
      </c>
      <c r="FX19" s="20" t="s">
        <v>281</v>
      </c>
      <c r="FZ19" s="20">
        <v>0</v>
      </c>
      <c r="GA19" s="20">
        <v>0</v>
      </c>
      <c r="GB19" s="20">
        <v>0</v>
      </c>
      <c r="GC19" s="20">
        <v>0</v>
      </c>
      <c r="GD19" s="20">
        <v>0</v>
      </c>
      <c r="GE19" s="20">
        <v>1</v>
      </c>
      <c r="GF19" s="20">
        <v>1</v>
      </c>
      <c r="GG19" s="20">
        <v>0</v>
      </c>
      <c r="GK19" s="20">
        <v>0</v>
      </c>
      <c r="GL19" s="20">
        <v>6</v>
      </c>
      <c r="GO19" s="20">
        <v>15</v>
      </c>
      <c r="GP19" s="20" t="s">
        <v>10</v>
      </c>
      <c r="GQ19" s="20" t="s">
        <v>18</v>
      </c>
      <c r="GR19" s="33">
        <v>1</v>
      </c>
      <c r="GS19" s="20">
        <v>16</v>
      </c>
      <c r="GT19" s="20">
        <v>3</v>
      </c>
      <c r="GU19" s="20" t="s">
        <v>339</v>
      </c>
      <c r="GV19" s="20" t="s">
        <v>154</v>
      </c>
      <c r="GW19" s="20">
        <v>18</v>
      </c>
      <c r="GX19" s="20">
        <v>17</v>
      </c>
      <c r="GY19" s="20">
        <v>13</v>
      </c>
      <c r="GZ19" s="20">
        <v>13</v>
      </c>
      <c r="HA19" s="20" t="s">
        <v>286</v>
      </c>
      <c r="HB19" s="34">
        <v>0</v>
      </c>
      <c r="HC19" s="20">
        <v>6</v>
      </c>
      <c r="HD19" s="20">
        <v>2</v>
      </c>
      <c r="HE19" s="20" t="s">
        <v>209</v>
      </c>
      <c r="HF19" s="20" t="s">
        <v>203</v>
      </c>
      <c r="HG19" s="20">
        <v>20</v>
      </c>
      <c r="HH19" s="20">
        <v>27</v>
      </c>
      <c r="HI19" s="20">
        <v>6</v>
      </c>
      <c r="HJ19" s="20">
        <v>9</v>
      </c>
      <c r="HK19" s="20" t="s">
        <v>285</v>
      </c>
      <c r="HM19" s="20">
        <v>1</v>
      </c>
      <c r="HN19" s="20">
        <v>0</v>
      </c>
      <c r="HO19" s="20">
        <v>1</v>
      </c>
      <c r="HP19" s="20">
        <v>0</v>
      </c>
      <c r="HQ19" s="20">
        <v>0</v>
      </c>
      <c r="HR19" s="20">
        <v>1</v>
      </c>
      <c r="HS19" s="20">
        <v>0</v>
      </c>
      <c r="HT19" s="20">
        <v>1</v>
      </c>
      <c r="HX19" s="20">
        <v>14.58</v>
      </c>
      <c r="HY19" s="20">
        <v>2</v>
      </c>
      <c r="IB19" s="20">
        <v>15</v>
      </c>
      <c r="IC19" s="20" t="s">
        <v>11</v>
      </c>
      <c r="ID19" s="20" t="s">
        <v>34</v>
      </c>
      <c r="IE19" s="33">
        <v>2</v>
      </c>
      <c r="IF19" s="20">
        <v>18</v>
      </c>
      <c r="IG19" s="20">
        <v>7</v>
      </c>
      <c r="IH19" s="20" t="s">
        <v>261</v>
      </c>
      <c r="II19" s="20" t="s">
        <v>230</v>
      </c>
      <c r="IJ19" s="20">
        <v>23</v>
      </c>
      <c r="IK19" s="20">
        <v>24</v>
      </c>
      <c r="IL19" s="20">
        <v>8</v>
      </c>
      <c r="IM19" s="20">
        <v>10</v>
      </c>
      <c r="IN19" s="20" t="s">
        <v>428</v>
      </c>
      <c r="IO19" s="34">
        <v>0</v>
      </c>
      <c r="IP19" s="20">
        <v>4</v>
      </c>
      <c r="IQ19" s="20">
        <v>1</v>
      </c>
      <c r="IR19" s="20" t="s">
        <v>131</v>
      </c>
      <c r="IS19" s="20" t="s">
        <v>280</v>
      </c>
      <c r="IT19" s="20">
        <v>17</v>
      </c>
      <c r="IU19" s="20">
        <v>6</v>
      </c>
      <c r="IV19" s="20">
        <v>10</v>
      </c>
      <c r="IW19" s="20">
        <v>13</v>
      </c>
      <c r="IX19" s="20" t="s">
        <v>429</v>
      </c>
      <c r="IZ19" s="20">
        <v>1</v>
      </c>
      <c r="JA19" s="20">
        <v>1</v>
      </c>
      <c r="JB19" s="20">
        <v>1</v>
      </c>
      <c r="JC19" s="20">
        <v>1</v>
      </c>
      <c r="JD19" s="20">
        <v>1</v>
      </c>
      <c r="JE19" s="20">
        <v>0</v>
      </c>
      <c r="JF19" s="20">
        <v>1</v>
      </c>
      <c r="JG19" s="20">
        <v>1</v>
      </c>
      <c r="JK19" s="20">
        <v>13.89</v>
      </c>
      <c r="JL19" s="20">
        <v>6</v>
      </c>
      <c r="JO19" s="20">
        <v>15</v>
      </c>
      <c r="JP19" s="20" t="s">
        <v>21</v>
      </c>
      <c r="JQ19" s="20" t="s">
        <v>12</v>
      </c>
      <c r="JR19" s="33">
        <v>2</v>
      </c>
      <c r="JS19" s="20">
        <v>15</v>
      </c>
      <c r="JT19" s="20">
        <v>5</v>
      </c>
      <c r="JU19" s="20" t="s">
        <v>209</v>
      </c>
      <c r="JV19" s="20" t="s">
        <v>193</v>
      </c>
      <c r="JW19" s="20">
        <v>28</v>
      </c>
      <c r="JX19" s="20">
        <v>21</v>
      </c>
      <c r="JY19" s="20">
        <v>6</v>
      </c>
      <c r="JZ19" s="20">
        <v>15</v>
      </c>
      <c r="KA19" s="20" t="s">
        <v>430</v>
      </c>
      <c r="KB19" s="34">
        <v>1</v>
      </c>
      <c r="KC19" s="20">
        <v>13</v>
      </c>
      <c r="KD19" s="20">
        <v>3</v>
      </c>
      <c r="KE19" s="20" t="s">
        <v>158</v>
      </c>
      <c r="KF19" s="20" t="s">
        <v>156</v>
      </c>
      <c r="KG19" s="20">
        <v>20</v>
      </c>
      <c r="KH19" s="20">
        <v>23</v>
      </c>
      <c r="KI19" s="20">
        <v>9</v>
      </c>
      <c r="KJ19" s="20">
        <v>13</v>
      </c>
      <c r="KK19" s="20" t="s">
        <v>431</v>
      </c>
      <c r="KM19" s="20">
        <v>1</v>
      </c>
      <c r="KN19" s="20">
        <v>1</v>
      </c>
      <c r="KO19" s="20">
        <v>0</v>
      </c>
      <c r="KP19" s="20">
        <v>1</v>
      </c>
      <c r="KQ19" s="20">
        <v>0</v>
      </c>
      <c r="KR19" s="20">
        <v>0</v>
      </c>
      <c r="KS19" s="20">
        <v>0</v>
      </c>
      <c r="KT19" s="20">
        <v>0</v>
      </c>
      <c r="KX19" s="20">
        <v>10.26</v>
      </c>
      <c r="KY19" s="20">
        <v>8</v>
      </c>
      <c r="LB19" s="20">
        <v>15</v>
      </c>
      <c r="LC19" s="20" t="s">
        <v>22</v>
      </c>
      <c r="LD19" s="20" t="s">
        <v>13</v>
      </c>
      <c r="LE19" s="32">
        <v>1</v>
      </c>
      <c r="LF19" s="20">
        <v>10</v>
      </c>
      <c r="LG19" s="20">
        <v>6</v>
      </c>
      <c r="LH19" s="20" t="s">
        <v>173</v>
      </c>
      <c r="LI19" s="20" t="s">
        <v>230</v>
      </c>
      <c r="LJ19" s="20">
        <v>25</v>
      </c>
      <c r="LK19" s="20">
        <v>14</v>
      </c>
      <c r="LL19" s="20">
        <v>5</v>
      </c>
      <c r="LM19" s="20">
        <v>5</v>
      </c>
      <c r="LN19" s="20" t="s">
        <v>169</v>
      </c>
      <c r="LO19" s="32">
        <v>1</v>
      </c>
      <c r="LP19" s="20">
        <v>9</v>
      </c>
      <c r="LQ19" s="20">
        <v>5</v>
      </c>
      <c r="LR19" s="20" t="s">
        <v>370</v>
      </c>
      <c r="LS19" s="20" t="s">
        <v>151</v>
      </c>
      <c r="LT19" s="20">
        <v>16</v>
      </c>
      <c r="LU19" s="20">
        <v>11</v>
      </c>
      <c r="LV19" s="20">
        <v>2</v>
      </c>
      <c r="LW19" s="20">
        <v>19</v>
      </c>
      <c r="LX19" s="20" t="s">
        <v>153</v>
      </c>
      <c r="LZ19" s="32">
        <v>1</v>
      </c>
      <c r="MA19" s="32">
        <v>1</v>
      </c>
      <c r="MB19" s="32">
        <v>1</v>
      </c>
      <c r="MC19" s="32">
        <v>1</v>
      </c>
      <c r="MD19" s="32">
        <v>1</v>
      </c>
      <c r="ME19" s="32">
        <v>1</v>
      </c>
      <c r="MF19" s="32">
        <v>1</v>
      </c>
      <c r="MG19" s="32">
        <v>1</v>
      </c>
      <c r="MK19" s="32">
        <v>4.4400000000000004</v>
      </c>
      <c r="ML19" s="32">
        <v>9</v>
      </c>
      <c r="MO19" s="20">
        <v>15</v>
      </c>
      <c r="MP19" s="20" t="s">
        <v>15</v>
      </c>
      <c r="MQ19" s="20" t="s">
        <v>14</v>
      </c>
      <c r="MR19" s="34">
        <v>0</v>
      </c>
      <c r="MS19" s="20">
        <v>8</v>
      </c>
      <c r="MT19" s="20">
        <v>2</v>
      </c>
      <c r="MU19" s="20" t="s">
        <v>131</v>
      </c>
      <c r="MV19" s="20" t="s">
        <v>307</v>
      </c>
      <c r="MW19" s="20">
        <v>31</v>
      </c>
      <c r="MX19" s="20">
        <v>14</v>
      </c>
      <c r="MY19" s="20">
        <v>9</v>
      </c>
      <c r="MZ19" s="20">
        <v>8</v>
      </c>
      <c r="NA19" s="20" t="s">
        <v>432</v>
      </c>
      <c r="NB19" s="33">
        <v>1</v>
      </c>
      <c r="NC19" s="20">
        <v>16</v>
      </c>
      <c r="ND19" s="20">
        <v>4</v>
      </c>
      <c r="NE19" s="20" t="s">
        <v>131</v>
      </c>
      <c r="NF19" s="20" t="s">
        <v>168</v>
      </c>
      <c r="NG19" s="20">
        <v>13</v>
      </c>
      <c r="NH19" s="20">
        <v>21</v>
      </c>
      <c r="NI19" s="20">
        <v>14</v>
      </c>
      <c r="NJ19" s="20">
        <v>20</v>
      </c>
      <c r="NK19" s="20" t="s">
        <v>433</v>
      </c>
      <c r="NM19" s="20">
        <v>1</v>
      </c>
      <c r="NN19" s="20">
        <v>0</v>
      </c>
      <c r="NO19" s="20">
        <v>1</v>
      </c>
      <c r="NP19" s="20">
        <v>0</v>
      </c>
      <c r="NQ19" s="20">
        <v>1</v>
      </c>
      <c r="NR19" s="20">
        <v>1</v>
      </c>
      <c r="NS19" s="20">
        <v>0</v>
      </c>
      <c r="NT19" s="20">
        <v>1</v>
      </c>
      <c r="NX19" s="20">
        <v>0</v>
      </c>
      <c r="NY19" s="20">
        <v>18</v>
      </c>
      <c r="OB19" s="20">
        <v>15</v>
      </c>
      <c r="OC19" s="20" t="s">
        <v>15</v>
      </c>
      <c r="OD19" s="20" t="s">
        <v>14</v>
      </c>
      <c r="OE19" s="33">
        <v>1</v>
      </c>
      <c r="OF19" s="20">
        <v>16</v>
      </c>
      <c r="OG19" s="20">
        <v>4</v>
      </c>
      <c r="OH19" s="20" t="s">
        <v>131</v>
      </c>
      <c r="OI19" s="20" t="s">
        <v>168</v>
      </c>
      <c r="OJ19" s="20">
        <v>13</v>
      </c>
      <c r="OK19" s="20">
        <v>21</v>
      </c>
      <c r="OL19" s="20">
        <v>14</v>
      </c>
      <c r="OM19" s="20">
        <v>20</v>
      </c>
      <c r="ON19" s="20" t="s">
        <v>433</v>
      </c>
      <c r="OO19" s="34">
        <v>0</v>
      </c>
      <c r="OP19" s="20">
        <v>8</v>
      </c>
      <c r="OQ19" s="20">
        <v>2</v>
      </c>
      <c r="OR19" s="20" t="s">
        <v>131</v>
      </c>
      <c r="OS19" s="20" t="s">
        <v>307</v>
      </c>
      <c r="OT19" s="20">
        <v>31</v>
      </c>
      <c r="OU19" s="20">
        <v>14</v>
      </c>
      <c r="OV19" s="20">
        <v>9</v>
      </c>
      <c r="OW19" s="20">
        <v>8</v>
      </c>
      <c r="OX19" s="20" t="s">
        <v>432</v>
      </c>
      <c r="OZ19" s="20">
        <v>1</v>
      </c>
      <c r="PA19" s="20">
        <v>0</v>
      </c>
      <c r="PB19" s="20">
        <v>1</v>
      </c>
      <c r="PC19" s="20">
        <v>0</v>
      </c>
      <c r="PD19" s="20">
        <v>1</v>
      </c>
      <c r="PE19" s="20">
        <v>1</v>
      </c>
      <c r="PF19" s="20">
        <v>0</v>
      </c>
      <c r="PG19" s="20">
        <v>1</v>
      </c>
      <c r="PK19" s="20">
        <v>0</v>
      </c>
      <c r="PL19" s="20">
        <v>18</v>
      </c>
      <c r="PO19" s="20">
        <v>15</v>
      </c>
      <c r="PP19" s="20" t="s">
        <v>19</v>
      </c>
      <c r="PQ19" s="20" t="s">
        <v>17</v>
      </c>
      <c r="PR19" s="32">
        <v>1</v>
      </c>
      <c r="PS19" s="20">
        <v>6</v>
      </c>
      <c r="PT19" s="20">
        <v>1</v>
      </c>
      <c r="PU19" s="20" t="s">
        <v>272</v>
      </c>
      <c r="PV19" s="20" t="s">
        <v>151</v>
      </c>
      <c r="PW19" s="20">
        <v>31</v>
      </c>
      <c r="PX19" s="20">
        <v>19</v>
      </c>
      <c r="PY19" s="20">
        <v>13</v>
      </c>
      <c r="PZ19" s="20">
        <v>13</v>
      </c>
      <c r="QA19" s="20" t="s">
        <v>239</v>
      </c>
      <c r="QB19" s="32">
        <v>1</v>
      </c>
      <c r="QC19" s="20">
        <v>14</v>
      </c>
      <c r="QD19" s="20">
        <v>5</v>
      </c>
      <c r="QE19" s="20" t="s">
        <v>297</v>
      </c>
      <c r="QF19" s="20" t="s">
        <v>147</v>
      </c>
      <c r="QG19" s="20">
        <v>26</v>
      </c>
      <c r="QH19" s="20">
        <v>18</v>
      </c>
      <c r="QI19" s="20">
        <v>10</v>
      </c>
      <c r="QJ19" s="20">
        <v>16</v>
      </c>
      <c r="QK19" s="20" t="s">
        <v>238</v>
      </c>
      <c r="QM19" s="32">
        <v>1</v>
      </c>
      <c r="QN19" s="32">
        <v>1</v>
      </c>
      <c r="QO19" s="32">
        <v>1</v>
      </c>
      <c r="QP19" s="32">
        <v>0</v>
      </c>
      <c r="QQ19" s="32">
        <v>0</v>
      </c>
      <c r="QR19" s="32">
        <v>0</v>
      </c>
      <c r="QS19" s="32">
        <v>0</v>
      </c>
      <c r="QT19" s="32">
        <v>1</v>
      </c>
      <c r="QX19" s="32">
        <v>19.05</v>
      </c>
      <c r="QY19" s="32">
        <v>5</v>
      </c>
      <c r="RB19" s="20">
        <v>15</v>
      </c>
      <c r="RC19" s="20" t="s">
        <v>10</v>
      </c>
      <c r="RD19" s="20" t="s">
        <v>18</v>
      </c>
      <c r="RE19" s="34">
        <v>0</v>
      </c>
      <c r="RF19" s="20">
        <v>6</v>
      </c>
      <c r="RG19" s="20">
        <v>2</v>
      </c>
      <c r="RH19" s="20" t="s">
        <v>209</v>
      </c>
      <c r="RI19" s="20" t="s">
        <v>203</v>
      </c>
      <c r="RJ19" s="20">
        <v>20</v>
      </c>
      <c r="RK19" s="20">
        <v>27</v>
      </c>
      <c r="RL19" s="20">
        <v>6</v>
      </c>
      <c r="RM19" s="20">
        <v>9</v>
      </c>
      <c r="RN19" s="20" t="s">
        <v>285</v>
      </c>
      <c r="RO19" s="33">
        <v>1</v>
      </c>
      <c r="RP19" s="20">
        <v>16</v>
      </c>
      <c r="RQ19" s="20">
        <v>3</v>
      </c>
      <c r="RR19" s="20" t="s">
        <v>339</v>
      </c>
      <c r="RS19" s="20" t="s">
        <v>154</v>
      </c>
      <c r="RT19" s="20">
        <v>18</v>
      </c>
      <c r="RU19" s="20">
        <v>17</v>
      </c>
      <c r="RV19" s="20">
        <v>13</v>
      </c>
      <c r="RW19" s="20">
        <v>13</v>
      </c>
      <c r="RX19" s="20" t="s">
        <v>286</v>
      </c>
      <c r="RZ19" s="20">
        <v>1</v>
      </c>
      <c r="SA19" s="20">
        <v>0</v>
      </c>
      <c r="SB19" s="20">
        <v>1</v>
      </c>
      <c r="SC19" s="20">
        <v>0</v>
      </c>
      <c r="SD19" s="20">
        <v>0</v>
      </c>
      <c r="SE19" s="20">
        <v>1</v>
      </c>
      <c r="SF19" s="20">
        <v>0</v>
      </c>
      <c r="SG19" s="20">
        <v>1</v>
      </c>
      <c r="SK19" s="20">
        <v>14.58</v>
      </c>
      <c r="SL19" s="20">
        <v>2</v>
      </c>
      <c r="SO19" s="20">
        <v>15</v>
      </c>
      <c r="SP19" s="20" t="s">
        <v>19</v>
      </c>
      <c r="SQ19" s="20" t="s">
        <v>17</v>
      </c>
      <c r="SR19" s="32">
        <v>1</v>
      </c>
      <c r="SS19" s="20">
        <v>14</v>
      </c>
      <c r="ST19" s="20">
        <v>5</v>
      </c>
      <c r="SU19" s="20" t="s">
        <v>297</v>
      </c>
      <c r="SV19" s="20" t="s">
        <v>147</v>
      </c>
      <c r="SW19" s="20">
        <v>26</v>
      </c>
      <c r="SX19" s="20">
        <v>18</v>
      </c>
      <c r="SY19" s="20">
        <v>10</v>
      </c>
      <c r="SZ19" s="20">
        <v>16</v>
      </c>
      <c r="TA19" s="20" t="s">
        <v>238</v>
      </c>
      <c r="TB19" s="32">
        <v>1</v>
      </c>
      <c r="TC19" s="20">
        <v>6</v>
      </c>
      <c r="TD19" s="20">
        <v>1</v>
      </c>
      <c r="TE19" s="20" t="s">
        <v>272</v>
      </c>
      <c r="TF19" s="20" t="s">
        <v>151</v>
      </c>
      <c r="TG19" s="20">
        <v>31</v>
      </c>
      <c r="TH19" s="20">
        <v>19</v>
      </c>
      <c r="TI19" s="20">
        <v>13</v>
      </c>
      <c r="TJ19" s="20">
        <v>13</v>
      </c>
      <c r="TK19" s="20" t="s">
        <v>239</v>
      </c>
      <c r="TM19" s="32">
        <v>1</v>
      </c>
      <c r="TN19" s="32">
        <v>1</v>
      </c>
      <c r="TO19" s="32">
        <v>1</v>
      </c>
      <c r="TP19" s="32">
        <v>0</v>
      </c>
      <c r="TQ19" s="32">
        <v>0</v>
      </c>
      <c r="TR19" s="32">
        <v>0</v>
      </c>
      <c r="TS19" s="32">
        <v>0</v>
      </c>
      <c r="TT19" s="32">
        <v>1</v>
      </c>
      <c r="TX19" s="32">
        <v>19.05</v>
      </c>
      <c r="TY19" s="32">
        <v>5</v>
      </c>
      <c r="UB19" s="20">
        <v>15</v>
      </c>
      <c r="UC19" s="20" t="s">
        <v>5</v>
      </c>
      <c r="UD19" s="20" t="s">
        <v>16</v>
      </c>
      <c r="UE19" s="32">
        <v>2</v>
      </c>
      <c r="UF19" s="20">
        <v>13</v>
      </c>
      <c r="UG19" s="20">
        <v>4</v>
      </c>
      <c r="UH19" s="20" t="s">
        <v>337</v>
      </c>
      <c r="UI19" s="20" t="s">
        <v>176</v>
      </c>
      <c r="UJ19" s="20">
        <v>24</v>
      </c>
      <c r="UK19" s="20">
        <v>8</v>
      </c>
      <c r="UL19" s="20">
        <v>4</v>
      </c>
      <c r="UM19" s="20">
        <v>9</v>
      </c>
      <c r="UN19" s="20" t="s">
        <v>434</v>
      </c>
      <c r="UO19" s="32">
        <v>2</v>
      </c>
      <c r="UP19" s="20">
        <v>17</v>
      </c>
      <c r="UQ19" s="20">
        <v>7</v>
      </c>
      <c r="UR19" s="20" t="s">
        <v>166</v>
      </c>
      <c r="US19" s="20" t="s">
        <v>199</v>
      </c>
      <c r="UT19" s="20">
        <v>13</v>
      </c>
      <c r="UU19" s="20">
        <v>8</v>
      </c>
      <c r="UV19" s="20">
        <v>22</v>
      </c>
      <c r="UW19" s="20">
        <v>10</v>
      </c>
      <c r="UX19" s="20" t="s">
        <v>435</v>
      </c>
      <c r="UZ19" s="32">
        <v>1</v>
      </c>
      <c r="VA19" s="32">
        <v>1</v>
      </c>
      <c r="VB19" s="32">
        <v>1</v>
      </c>
      <c r="VC19" s="32">
        <v>0</v>
      </c>
      <c r="VD19" s="32">
        <v>0</v>
      </c>
      <c r="VE19" s="32">
        <v>1</v>
      </c>
      <c r="VF19" s="32">
        <v>0</v>
      </c>
      <c r="VG19" s="32">
        <v>1</v>
      </c>
      <c r="VK19" s="32">
        <v>10.41</v>
      </c>
      <c r="VL19" s="32">
        <v>11</v>
      </c>
      <c r="VO19" s="20">
        <v>15</v>
      </c>
      <c r="VP19" s="20" t="s">
        <v>23</v>
      </c>
      <c r="VQ19" s="20" t="s">
        <v>20</v>
      </c>
      <c r="VR19" s="33">
        <v>2</v>
      </c>
      <c r="VS19" s="20">
        <v>8</v>
      </c>
      <c r="VT19" s="20">
        <v>3</v>
      </c>
      <c r="VU19" s="20" t="s">
        <v>153</v>
      </c>
      <c r="VV19" s="20" t="s">
        <v>117</v>
      </c>
      <c r="VW19" s="20">
        <v>19</v>
      </c>
      <c r="VX19" s="20">
        <v>22</v>
      </c>
      <c r="VY19" s="20">
        <v>10</v>
      </c>
      <c r="VZ19" s="20">
        <v>11</v>
      </c>
      <c r="WA19" s="20" t="s">
        <v>278</v>
      </c>
      <c r="WB19" s="34">
        <v>1</v>
      </c>
      <c r="WC19" s="20">
        <v>7</v>
      </c>
      <c r="WD19" s="20">
        <v>5</v>
      </c>
      <c r="WE19" s="20" t="s">
        <v>354</v>
      </c>
      <c r="WF19" s="20" t="s">
        <v>139</v>
      </c>
      <c r="WG19" s="20">
        <v>17</v>
      </c>
      <c r="WH19" s="20">
        <v>19</v>
      </c>
      <c r="WI19" s="20">
        <v>10</v>
      </c>
      <c r="WJ19" s="20">
        <v>10</v>
      </c>
      <c r="WK19" s="20" t="s">
        <v>277</v>
      </c>
      <c r="WM19" s="20">
        <v>0</v>
      </c>
      <c r="WN19" s="20">
        <v>0</v>
      </c>
      <c r="WO19" s="20">
        <v>0</v>
      </c>
      <c r="WP19" s="20">
        <v>1</v>
      </c>
      <c r="WQ19" s="20">
        <v>1</v>
      </c>
      <c r="WR19" s="20">
        <v>1</v>
      </c>
      <c r="WS19" s="20">
        <v>0</v>
      </c>
      <c r="WT19" s="20">
        <v>0</v>
      </c>
      <c r="WX19" s="20">
        <v>33.93</v>
      </c>
      <c r="WY19" s="20">
        <v>2</v>
      </c>
      <c r="XB19" s="20">
        <v>15</v>
      </c>
      <c r="XC19" s="20" t="s">
        <v>11</v>
      </c>
      <c r="XD19" s="20" t="s">
        <v>34</v>
      </c>
      <c r="XE19" s="34">
        <v>0</v>
      </c>
      <c r="XF19" s="20">
        <v>4</v>
      </c>
      <c r="XG19" s="20">
        <v>1</v>
      </c>
      <c r="XH19" s="20" t="s">
        <v>131</v>
      </c>
      <c r="XI19" s="20" t="s">
        <v>280</v>
      </c>
      <c r="XJ19" s="20">
        <v>17</v>
      </c>
      <c r="XK19" s="20">
        <v>6</v>
      </c>
      <c r="XL19" s="20">
        <v>10</v>
      </c>
      <c r="XM19" s="20">
        <v>13</v>
      </c>
      <c r="XN19" s="20" t="s">
        <v>429</v>
      </c>
      <c r="XO19" s="33">
        <v>2</v>
      </c>
      <c r="XP19" s="20">
        <v>18</v>
      </c>
      <c r="XQ19" s="20">
        <v>7</v>
      </c>
      <c r="XR19" s="20" t="s">
        <v>261</v>
      </c>
      <c r="XS19" s="20" t="s">
        <v>230</v>
      </c>
      <c r="XT19" s="20">
        <v>23</v>
      </c>
      <c r="XU19" s="20">
        <v>24</v>
      </c>
      <c r="XV19" s="20">
        <v>8</v>
      </c>
      <c r="XW19" s="20">
        <v>10</v>
      </c>
      <c r="XX19" s="20" t="s">
        <v>428</v>
      </c>
      <c r="XZ19" s="20">
        <v>1</v>
      </c>
      <c r="YA19" s="20">
        <v>1</v>
      </c>
      <c r="YB19" s="20">
        <v>1</v>
      </c>
      <c r="YC19" s="20">
        <v>1</v>
      </c>
      <c r="YD19" s="20">
        <v>1</v>
      </c>
      <c r="YE19" s="20">
        <v>0</v>
      </c>
      <c r="YF19" s="20">
        <v>1</v>
      </c>
      <c r="YG19" s="20">
        <v>1</v>
      </c>
      <c r="YK19" s="20">
        <v>13.89</v>
      </c>
      <c r="YL19" s="20">
        <v>6</v>
      </c>
      <c r="YO19" s="20">
        <v>15</v>
      </c>
      <c r="YP19" s="20" t="s">
        <v>21</v>
      </c>
      <c r="YQ19" s="20" t="s">
        <v>12</v>
      </c>
      <c r="YR19" s="34">
        <v>1</v>
      </c>
      <c r="YS19" s="20">
        <v>13</v>
      </c>
      <c r="YT19" s="20">
        <v>3</v>
      </c>
      <c r="YU19" s="20" t="s">
        <v>158</v>
      </c>
      <c r="YV19" s="20" t="s">
        <v>156</v>
      </c>
      <c r="YW19" s="20">
        <v>20</v>
      </c>
      <c r="YX19" s="20">
        <v>23</v>
      </c>
      <c r="YY19" s="20">
        <v>9</v>
      </c>
      <c r="YZ19" s="20">
        <v>13</v>
      </c>
      <c r="ZA19" s="20" t="s">
        <v>431</v>
      </c>
      <c r="ZB19" s="33">
        <v>2</v>
      </c>
      <c r="ZC19" s="20">
        <v>15</v>
      </c>
      <c r="ZD19" s="20">
        <v>5</v>
      </c>
      <c r="ZE19" s="20" t="s">
        <v>209</v>
      </c>
      <c r="ZF19" s="20" t="s">
        <v>193</v>
      </c>
      <c r="ZG19" s="20">
        <v>28</v>
      </c>
      <c r="ZH19" s="20">
        <v>21</v>
      </c>
      <c r="ZI19" s="20">
        <v>6</v>
      </c>
      <c r="ZJ19" s="20">
        <v>15</v>
      </c>
      <c r="ZK19" s="20" t="s">
        <v>430</v>
      </c>
      <c r="ZM19" s="20">
        <v>1</v>
      </c>
      <c r="ZN19" s="20">
        <v>1</v>
      </c>
      <c r="ZO19" s="20">
        <v>0</v>
      </c>
      <c r="ZP19" s="20">
        <v>1</v>
      </c>
      <c r="ZQ19" s="20">
        <v>0</v>
      </c>
      <c r="ZR19" s="20">
        <v>0</v>
      </c>
      <c r="ZS19" s="20">
        <v>0</v>
      </c>
      <c r="ZT19" s="20">
        <v>0</v>
      </c>
      <c r="ZX19" s="20">
        <v>10.26</v>
      </c>
      <c r="ZY19" s="20">
        <v>8</v>
      </c>
      <c r="AAB19" s="20">
        <v>15</v>
      </c>
      <c r="AAC19" s="20" t="s">
        <v>22</v>
      </c>
      <c r="AAD19" s="20" t="s">
        <v>13</v>
      </c>
      <c r="AAE19" s="32">
        <v>1</v>
      </c>
      <c r="AAF19" s="20">
        <v>9</v>
      </c>
      <c r="AAG19" s="20">
        <v>5</v>
      </c>
      <c r="AAH19" s="20" t="s">
        <v>370</v>
      </c>
      <c r="AAI19" s="20" t="s">
        <v>151</v>
      </c>
      <c r="AAJ19" s="20">
        <v>16</v>
      </c>
      <c r="AAK19" s="20">
        <v>11</v>
      </c>
      <c r="AAL19" s="20">
        <v>2</v>
      </c>
      <c r="AAM19" s="20">
        <v>19</v>
      </c>
      <c r="AAN19" s="20" t="s">
        <v>153</v>
      </c>
      <c r="AAO19" s="32">
        <v>1</v>
      </c>
      <c r="AAP19" s="20">
        <v>10</v>
      </c>
      <c r="AAQ19" s="20">
        <v>6</v>
      </c>
      <c r="AAR19" s="20" t="s">
        <v>173</v>
      </c>
      <c r="AAS19" s="20" t="s">
        <v>230</v>
      </c>
      <c r="AAT19" s="20">
        <v>25</v>
      </c>
      <c r="AAU19" s="20">
        <v>14</v>
      </c>
      <c r="AAV19" s="20">
        <v>5</v>
      </c>
      <c r="AAW19" s="20">
        <v>5</v>
      </c>
      <c r="AAX19" s="20" t="s">
        <v>169</v>
      </c>
      <c r="AAZ19" s="32">
        <v>1</v>
      </c>
      <c r="ABA19" s="32">
        <v>1</v>
      </c>
      <c r="ABB19" s="32">
        <v>1</v>
      </c>
      <c r="ABC19" s="32">
        <v>1</v>
      </c>
      <c r="ABD19" s="32">
        <v>1</v>
      </c>
      <c r="ABE19" s="32">
        <v>1</v>
      </c>
      <c r="ABF19" s="32">
        <v>1</v>
      </c>
      <c r="ABG19" s="32">
        <v>1</v>
      </c>
      <c r="ABK19" s="32">
        <v>4.4400000000000004</v>
      </c>
      <c r="ABL19" s="32">
        <v>9</v>
      </c>
      <c r="ABO19" s="20">
        <v>15</v>
      </c>
      <c r="ABP19" s="20" t="s">
        <v>23</v>
      </c>
      <c r="ABQ19" s="20" t="s">
        <v>20</v>
      </c>
      <c r="ABR19" s="34">
        <v>1</v>
      </c>
      <c r="ABS19" s="20">
        <v>7</v>
      </c>
      <c r="ABT19" s="20">
        <v>5</v>
      </c>
      <c r="ABU19" s="20" t="s">
        <v>354</v>
      </c>
      <c r="ABV19" s="20" t="s">
        <v>139</v>
      </c>
      <c r="ABW19" s="20">
        <v>17</v>
      </c>
      <c r="ABX19" s="20">
        <v>19</v>
      </c>
      <c r="ABY19" s="20">
        <v>10</v>
      </c>
      <c r="ABZ19" s="20">
        <v>10</v>
      </c>
      <c r="ACA19" s="20" t="s">
        <v>277</v>
      </c>
      <c r="ACB19" s="33">
        <v>2</v>
      </c>
      <c r="ACC19" s="20">
        <v>8</v>
      </c>
      <c r="ACD19" s="20">
        <v>3</v>
      </c>
      <c r="ACE19" s="20" t="s">
        <v>153</v>
      </c>
      <c r="ACF19" s="20" t="s">
        <v>117</v>
      </c>
      <c r="ACG19" s="20">
        <v>19</v>
      </c>
      <c r="ACH19" s="20">
        <v>22</v>
      </c>
      <c r="ACI19" s="20">
        <v>10</v>
      </c>
      <c r="ACJ19" s="20">
        <v>11</v>
      </c>
      <c r="ACK19" s="20" t="s">
        <v>278</v>
      </c>
      <c r="ACM19" s="20">
        <v>0</v>
      </c>
      <c r="ACN19" s="20">
        <v>0</v>
      </c>
      <c r="ACO19" s="20">
        <v>0</v>
      </c>
      <c r="ACP19" s="20">
        <v>1</v>
      </c>
      <c r="ACQ19" s="20">
        <v>1</v>
      </c>
      <c r="ACR19" s="20">
        <v>1</v>
      </c>
      <c r="ACS19" s="20">
        <v>0</v>
      </c>
      <c r="ACT19" s="20">
        <v>0</v>
      </c>
      <c r="ACX19" s="20">
        <v>33.93</v>
      </c>
      <c r="ACY19" s="20">
        <v>2</v>
      </c>
    </row>
    <row r="20" spans="1:779" x14ac:dyDescent="0.3">
      <c r="A20" s="27">
        <f>E20/G20</f>
        <v>0.5714285714285714</v>
      </c>
      <c r="B20" s="20">
        <v>16</v>
      </c>
      <c r="C20" s="20" t="s">
        <v>5</v>
      </c>
      <c r="D20" s="20" t="s">
        <v>14</v>
      </c>
      <c r="E20" s="29">
        <v>4</v>
      </c>
      <c r="F20" s="20">
        <v>16</v>
      </c>
      <c r="G20" s="30">
        <v>7</v>
      </c>
      <c r="H20" s="27">
        <v>0.4375</v>
      </c>
      <c r="I20" s="28">
        <v>0.85</v>
      </c>
      <c r="J20" s="20">
        <v>19</v>
      </c>
      <c r="K20" s="20">
        <v>8</v>
      </c>
      <c r="L20" s="20">
        <v>20</v>
      </c>
      <c r="M20" s="30">
        <v>7</v>
      </c>
      <c r="N20" s="27">
        <v>0.625</v>
      </c>
      <c r="O20" s="31">
        <v>0</v>
      </c>
      <c r="P20" s="20">
        <v>11</v>
      </c>
      <c r="Q20" s="30">
        <v>4</v>
      </c>
      <c r="R20" s="27">
        <v>0.36359999999999998</v>
      </c>
      <c r="S20" s="28">
        <v>0.74</v>
      </c>
      <c r="T20" s="20">
        <v>10</v>
      </c>
      <c r="U20" s="20">
        <v>8</v>
      </c>
      <c r="V20" s="20">
        <v>10</v>
      </c>
      <c r="W20" s="30">
        <v>8</v>
      </c>
      <c r="X20" s="27">
        <v>0.375</v>
      </c>
      <c r="Z20" s="20">
        <v>1</v>
      </c>
      <c r="AA20" s="20">
        <v>1</v>
      </c>
      <c r="AB20" s="20">
        <v>1</v>
      </c>
      <c r="AC20" s="20">
        <v>1</v>
      </c>
      <c r="AD20" s="20">
        <v>0</v>
      </c>
      <c r="AE20" s="20">
        <v>1</v>
      </c>
      <c r="AF20" s="20">
        <v>1</v>
      </c>
      <c r="AG20" s="20">
        <v>1</v>
      </c>
      <c r="AK20" s="20">
        <v>7.39</v>
      </c>
      <c r="AL20" s="20">
        <v>9</v>
      </c>
      <c r="AM20" s="20"/>
      <c r="AN20" s="20"/>
      <c r="AO20" s="20">
        <v>16</v>
      </c>
      <c r="AP20" s="20" t="s">
        <v>6</v>
      </c>
      <c r="AQ20" s="20" t="s">
        <v>21</v>
      </c>
      <c r="AR20" s="33">
        <v>10</v>
      </c>
      <c r="AS20" s="30">
        <v>30</v>
      </c>
      <c r="AT20" s="30">
        <v>15</v>
      </c>
      <c r="AU20" s="27">
        <v>0.5</v>
      </c>
      <c r="AV20" s="28">
        <v>0.9</v>
      </c>
      <c r="AW20" s="20">
        <v>18</v>
      </c>
      <c r="AX20" s="20">
        <v>6</v>
      </c>
      <c r="AY20" s="30">
        <v>8</v>
      </c>
      <c r="AZ20" s="20">
        <v>8</v>
      </c>
      <c r="BA20" s="27">
        <v>0.503</v>
      </c>
      <c r="BB20" s="34">
        <v>2</v>
      </c>
      <c r="BC20" s="20">
        <v>9</v>
      </c>
      <c r="BD20" s="20">
        <v>4</v>
      </c>
      <c r="BE20" s="20" t="s">
        <v>197</v>
      </c>
      <c r="BF20" s="20" t="s">
        <v>179</v>
      </c>
      <c r="BG20" s="20">
        <v>10</v>
      </c>
      <c r="BH20" s="20">
        <v>7</v>
      </c>
      <c r="BI20" s="20">
        <v>4</v>
      </c>
      <c r="BJ20" s="20">
        <v>6</v>
      </c>
      <c r="BK20" s="20" t="s">
        <v>304</v>
      </c>
      <c r="BM20" s="20">
        <v>1</v>
      </c>
      <c r="BN20" s="20">
        <v>1</v>
      </c>
      <c r="BO20" s="20">
        <v>1</v>
      </c>
      <c r="BP20" s="20">
        <v>1</v>
      </c>
      <c r="BQ20" s="20">
        <v>0</v>
      </c>
      <c r="BR20" s="20">
        <v>1</v>
      </c>
      <c r="BS20" s="20">
        <v>0</v>
      </c>
      <c r="BT20" s="20">
        <v>1</v>
      </c>
      <c r="BX20" s="20">
        <v>5.56</v>
      </c>
      <c r="BY20" s="20">
        <v>8</v>
      </c>
      <c r="BZ20" s="20"/>
      <c r="CA20" s="20"/>
      <c r="CB20" s="20">
        <v>16</v>
      </c>
      <c r="CC20" s="20" t="s">
        <v>12</v>
      </c>
      <c r="CD20" s="20" t="s">
        <v>7</v>
      </c>
      <c r="CE20" s="34">
        <v>0</v>
      </c>
      <c r="CF20" s="20">
        <v>6</v>
      </c>
      <c r="CG20" s="20">
        <v>3</v>
      </c>
      <c r="CH20" s="20" t="s">
        <v>125</v>
      </c>
      <c r="CI20" s="20" t="s">
        <v>117</v>
      </c>
      <c r="CJ20" s="20">
        <v>31</v>
      </c>
      <c r="CK20" s="20">
        <v>27</v>
      </c>
      <c r="CL20" s="20">
        <v>7</v>
      </c>
      <c r="CM20" s="20">
        <v>13</v>
      </c>
      <c r="CN20" s="20" t="s">
        <v>236</v>
      </c>
      <c r="CO20" s="33">
        <v>1</v>
      </c>
      <c r="CP20" s="20">
        <v>17</v>
      </c>
      <c r="CQ20" s="20">
        <v>4</v>
      </c>
      <c r="CR20" s="20" t="s">
        <v>436</v>
      </c>
      <c r="CS20" s="20" t="s">
        <v>154</v>
      </c>
      <c r="CT20" s="20">
        <v>24</v>
      </c>
      <c r="CU20" s="20">
        <v>19</v>
      </c>
      <c r="CV20" s="20">
        <v>7</v>
      </c>
      <c r="CW20" s="20">
        <v>27</v>
      </c>
      <c r="CX20" s="20" t="s">
        <v>235</v>
      </c>
      <c r="CZ20" s="20">
        <v>1</v>
      </c>
      <c r="DA20" s="20">
        <v>0</v>
      </c>
      <c r="DB20" s="20">
        <v>1</v>
      </c>
      <c r="DC20" s="20">
        <v>0</v>
      </c>
      <c r="DD20" s="20">
        <v>0</v>
      </c>
      <c r="DE20" s="20">
        <v>0</v>
      </c>
      <c r="DF20" s="20">
        <v>0</v>
      </c>
      <c r="DG20" s="20">
        <v>1</v>
      </c>
      <c r="DK20" s="20">
        <v>26.47</v>
      </c>
      <c r="DL20" s="20">
        <v>7</v>
      </c>
      <c r="DO20" s="20">
        <v>16</v>
      </c>
      <c r="DP20" s="20" t="s">
        <v>13</v>
      </c>
      <c r="DQ20" s="20" t="s">
        <v>8</v>
      </c>
      <c r="DR20" s="33">
        <v>2</v>
      </c>
      <c r="DS20" s="20">
        <v>7</v>
      </c>
      <c r="DT20" s="20">
        <v>5</v>
      </c>
      <c r="DU20" s="20" t="s">
        <v>354</v>
      </c>
      <c r="DV20" s="20" t="s">
        <v>142</v>
      </c>
      <c r="DW20" s="20">
        <v>18</v>
      </c>
      <c r="DX20" s="20">
        <v>20</v>
      </c>
      <c r="DY20" s="20">
        <v>5</v>
      </c>
      <c r="DZ20" s="20">
        <v>10</v>
      </c>
      <c r="EA20" s="20" t="s">
        <v>284</v>
      </c>
      <c r="EB20" s="34">
        <v>0</v>
      </c>
      <c r="EC20" s="20">
        <v>16</v>
      </c>
      <c r="ED20" s="20">
        <v>2</v>
      </c>
      <c r="EE20" s="20" t="s">
        <v>122</v>
      </c>
      <c r="EF20" s="20" t="s">
        <v>258</v>
      </c>
      <c r="EG20" s="20">
        <v>11</v>
      </c>
      <c r="EH20" s="20">
        <v>22</v>
      </c>
      <c r="EI20" s="20">
        <v>6</v>
      </c>
      <c r="EJ20" s="20">
        <v>13</v>
      </c>
      <c r="EK20" s="20" t="s">
        <v>282</v>
      </c>
      <c r="EM20" s="20">
        <v>1</v>
      </c>
      <c r="EN20" s="20">
        <v>1</v>
      </c>
      <c r="EO20" s="20">
        <v>0</v>
      </c>
      <c r="EP20" s="20">
        <v>1</v>
      </c>
      <c r="EQ20" s="20">
        <v>0</v>
      </c>
      <c r="ER20" s="20">
        <v>0</v>
      </c>
      <c r="ES20" s="20">
        <v>1</v>
      </c>
      <c r="ET20" s="20">
        <v>0</v>
      </c>
      <c r="EX20" s="20">
        <v>58.93</v>
      </c>
      <c r="EY20" s="20">
        <v>7</v>
      </c>
      <c r="FB20" s="20">
        <v>16</v>
      </c>
      <c r="FC20" s="20" t="s">
        <v>9</v>
      </c>
      <c r="FD20" s="20" t="s">
        <v>23</v>
      </c>
      <c r="FE20" s="33">
        <v>2</v>
      </c>
      <c r="FF20" s="20">
        <v>18</v>
      </c>
      <c r="FG20" s="20">
        <v>7</v>
      </c>
      <c r="FH20" s="20" t="s">
        <v>261</v>
      </c>
      <c r="FI20" s="20" t="s">
        <v>147</v>
      </c>
      <c r="FJ20" s="20">
        <v>21</v>
      </c>
      <c r="FK20" s="20">
        <v>28</v>
      </c>
      <c r="FL20" s="20">
        <v>5</v>
      </c>
      <c r="FM20" s="20">
        <v>7</v>
      </c>
      <c r="FN20" s="20" t="s">
        <v>437</v>
      </c>
      <c r="FO20" s="34">
        <v>0</v>
      </c>
      <c r="FP20" s="20">
        <v>6</v>
      </c>
      <c r="FQ20" s="20">
        <v>1</v>
      </c>
      <c r="FR20" s="20" t="s">
        <v>272</v>
      </c>
      <c r="FS20" s="20" t="s">
        <v>176</v>
      </c>
      <c r="FT20" s="20">
        <v>14</v>
      </c>
      <c r="FU20" s="20">
        <v>14</v>
      </c>
      <c r="FV20" s="20">
        <v>11</v>
      </c>
      <c r="FW20" s="20">
        <v>14</v>
      </c>
      <c r="FX20" s="20" t="s">
        <v>438</v>
      </c>
      <c r="FZ20" s="20">
        <v>1</v>
      </c>
      <c r="GA20" s="20">
        <v>1</v>
      </c>
      <c r="GB20" s="20">
        <v>0</v>
      </c>
      <c r="GC20" s="20">
        <v>1</v>
      </c>
      <c r="GD20" s="20">
        <v>1</v>
      </c>
      <c r="GE20" s="20">
        <v>0</v>
      </c>
      <c r="GF20" s="20">
        <v>1</v>
      </c>
      <c r="GG20" s="20">
        <v>1</v>
      </c>
      <c r="GK20" s="20">
        <v>22.22</v>
      </c>
      <c r="GL20" s="20">
        <v>7</v>
      </c>
      <c r="GO20" s="20">
        <v>16</v>
      </c>
      <c r="GP20" s="20" t="s">
        <v>20</v>
      </c>
      <c r="GQ20" s="20" t="s">
        <v>10</v>
      </c>
      <c r="GR20" s="33">
        <v>2</v>
      </c>
      <c r="GS20" s="20">
        <v>10</v>
      </c>
      <c r="GT20" s="20">
        <v>4</v>
      </c>
      <c r="GU20" s="20" t="s">
        <v>133</v>
      </c>
      <c r="GV20" s="20" t="s">
        <v>154</v>
      </c>
      <c r="GW20" s="20">
        <v>29</v>
      </c>
      <c r="GX20" s="20">
        <v>19</v>
      </c>
      <c r="GY20" s="20">
        <v>11</v>
      </c>
      <c r="GZ20" s="20">
        <v>12</v>
      </c>
      <c r="HA20" s="20" t="s">
        <v>439</v>
      </c>
      <c r="HB20" s="34">
        <v>0</v>
      </c>
      <c r="HC20" s="20">
        <v>11</v>
      </c>
      <c r="HD20" s="20">
        <v>1</v>
      </c>
      <c r="HE20" s="20" t="s">
        <v>264</v>
      </c>
      <c r="HF20" s="20" t="s">
        <v>142</v>
      </c>
      <c r="HG20" s="20">
        <v>20</v>
      </c>
      <c r="HH20" s="20">
        <v>19</v>
      </c>
      <c r="HI20" s="20">
        <v>10</v>
      </c>
      <c r="HJ20" s="20">
        <v>16</v>
      </c>
      <c r="HK20" s="20" t="s">
        <v>440</v>
      </c>
      <c r="HM20" s="20">
        <v>1</v>
      </c>
      <c r="HN20" s="20">
        <v>1</v>
      </c>
      <c r="HO20" s="20">
        <v>1</v>
      </c>
      <c r="HP20" s="20">
        <v>1</v>
      </c>
      <c r="HQ20" s="20">
        <v>1</v>
      </c>
      <c r="HR20" s="20">
        <v>1</v>
      </c>
      <c r="HS20" s="20">
        <v>1</v>
      </c>
      <c r="HT20" s="20">
        <v>1</v>
      </c>
      <c r="HX20" s="20">
        <v>30.91</v>
      </c>
      <c r="HY20" s="20">
        <v>9</v>
      </c>
      <c r="IB20" s="20">
        <v>16</v>
      </c>
      <c r="IC20" s="20" t="s">
        <v>14</v>
      </c>
      <c r="ID20" s="20" t="s">
        <v>11</v>
      </c>
      <c r="IE20" s="32">
        <v>0</v>
      </c>
      <c r="IF20" s="20">
        <v>8</v>
      </c>
      <c r="IG20" s="20">
        <v>2</v>
      </c>
      <c r="IH20" s="20" t="s">
        <v>131</v>
      </c>
      <c r="II20" s="20" t="s">
        <v>147</v>
      </c>
      <c r="IJ20" s="20">
        <v>22</v>
      </c>
      <c r="IK20" s="20">
        <v>19</v>
      </c>
      <c r="IL20" s="20">
        <v>8</v>
      </c>
      <c r="IM20" s="20">
        <v>10</v>
      </c>
      <c r="IN20" s="20" t="s">
        <v>301</v>
      </c>
      <c r="IO20" s="32">
        <v>0</v>
      </c>
      <c r="IP20" s="20">
        <v>12</v>
      </c>
      <c r="IQ20" s="20">
        <v>0</v>
      </c>
      <c r="IR20" s="20" t="s">
        <v>116</v>
      </c>
      <c r="IS20" s="20" t="s">
        <v>203</v>
      </c>
      <c r="IT20" s="20">
        <v>17</v>
      </c>
      <c r="IU20" s="20">
        <v>15</v>
      </c>
      <c r="IV20" s="20">
        <v>8</v>
      </c>
      <c r="IW20" s="20">
        <v>11</v>
      </c>
      <c r="IX20" s="20" t="s">
        <v>302</v>
      </c>
      <c r="IZ20" s="32">
        <v>0</v>
      </c>
      <c r="JA20" s="32">
        <v>0</v>
      </c>
      <c r="JB20" s="32">
        <v>1</v>
      </c>
      <c r="JC20" s="32">
        <v>0</v>
      </c>
      <c r="JD20" s="32">
        <v>0</v>
      </c>
      <c r="JE20" s="32">
        <v>0</v>
      </c>
      <c r="JF20" s="32">
        <v>0</v>
      </c>
      <c r="JG20" s="32">
        <v>0</v>
      </c>
      <c r="JK20" s="32">
        <v>25</v>
      </c>
      <c r="JL20" s="32">
        <v>5</v>
      </c>
      <c r="JO20" s="20">
        <v>16</v>
      </c>
      <c r="JP20" s="20" t="s">
        <v>12</v>
      </c>
      <c r="JQ20" s="20" t="s">
        <v>7</v>
      </c>
      <c r="JR20" s="33">
        <v>1</v>
      </c>
      <c r="JS20" s="20">
        <v>17</v>
      </c>
      <c r="JT20" s="20">
        <v>4</v>
      </c>
      <c r="JU20" s="20" t="s">
        <v>436</v>
      </c>
      <c r="JV20" s="20" t="s">
        <v>154</v>
      </c>
      <c r="JW20" s="20">
        <v>24</v>
      </c>
      <c r="JX20" s="20">
        <v>19</v>
      </c>
      <c r="JY20" s="20">
        <v>7</v>
      </c>
      <c r="JZ20" s="20">
        <v>27</v>
      </c>
      <c r="KA20" s="20" t="s">
        <v>235</v>
      </c>
      <c r="KB20" s="34">
        <v>0</v>
      </c>
      <c r="KC20" s="20">
        <v>6</v>
      </c>
      <c r="KD20" s="20">
        <v>3</v>
      </c>
      <c r="KE20" s="20" t="s">
        <v>125</v>
      </c>
      <c r="KF20" s="20" t="s">
        <v>117</v>
      </c>
      <c r="KG20" s="20">
        <v>31</v>
      </c>
      <c r="KH20" s="20">
        <v>27</v>
      </c>
      <c r="KI20" s="20">
        <v>7</v>
      </c>
      <c r="KJ20" s="20">
        <v>13</v>
      </c>
      <c r="KK20" s="20" t="s">
        <v>236</v>
      </c>
      <c r="KM20" s="20">
        <v>1</v>
      </c>
      <c r="KN20" s="20">
        <v>0</v>
      </c>
      <c r="KO20" s="20">
        <v>1</v>
      </c>
      <c r="KP20" s="20">
        <v>0</v>
      </c>
      <c r="KQ20" s="20">
        <v>0</v>
      </c>
      <c r="KR20" s="20">
        <v>0</v>
      </c>
      <c r="KS20" s="20">
        <v>0</v>
      </c>
      <c r="KT20" s="20">
        <v>1</v>
      </c>
      <c r="KX20" s="20">
        <v>26.47</v>
      </c>
      <c r="KY20" s="20">
        <v>7</v>
      </c>
      <c r="LB20" s="20">
        <v>16</v>
      </c>
      <c r="LC20" s="20" t="s">
        <v>13</v>
      </c>
      <c r="LD20" s="20" t="s">
        <v>8</v>
      </c>
      <c r="LE20" s="34">
        <v>0</v>
      </c>
      <c r="LF20" s="20">
        <v>16</v>
      </c>
      <c r="LG20" s="20">
        <v>2</v>
      </c>
      <c r="LH20" s="20" t="s">
        <v>122</v>
      </c>
      <c r="LI20" s="20" t="s">
        <v>258</v>
      </c>
      <c r="LJ20" s="20">
        <v>11</v>
      </c>
      <c r="LK20" s="20">
        <v>22</v>
      </c>
      <c r="LL20" s="20">
        <v>6</v>
      </c>
      <c r="LM20" s="20">
        <v>13</v>
      </c>
      <c r="LN20" s="20" t="s">
        <v>282</v>
      </c>
      <c r="LO20" s="33">
        <v>2</v>
      </c>
      <c r="LP20" s="20">
        <v>7</v>
      </c>
      <c r="LQ20" s="20">
        <v>5</v>
      </c>
      <c r="LR20" s="20" t="s">
        <v>354</v>
      </c>
      <c r="LS20" s="20" t="s">
        <v>142</v>
      </c>
      <c r="LT20" s="20">
        <v>18</v>
      </c>
      <c r="LU20" s="20">
        <v>20</v>
      </c>
      <c r="LV20" s="20">
        <v>5</v>
      </c>
      <c r="LW20" s="20">
        <v>10</v>
      </c>
      <c r="LX20" s="20" t="s">
        <v>284</v>
      </c>
      <c r="LZ20" s="20">
        <v>1</v>
      </c>
      <c r="MA20" s="20">
        <v>1</v>
      </c>
      <c r="MB20" s="20">
        <v>0</v>
      </c>
      <c r="MC20" s="20">
        <v>1</v>
      </c>
      <c r="MD20" s="20">
        <v>0</v>
      </c>
      <c r="ME20" s="20">
        <v>0</v>
      </c>
      <c r="MF20" s="20">
        <v>1</v>
      </c>
      <c r="MG20" s="20">
        <v>0</v>
      </c>
      <c r="MK20" s="20">
        <v>58.93</v>
      </c>
      <c r="ML20" s="20">
        <v>7</v>
      </c>
      <c r="MO20" s="20">
        <v>16</v>
      </c>
      <c r="MP20" s="20" t="s">
        <v>14</v>
      </c>
      <c r="MQ20" s="20" t="s">
        <v>11</v>
      </c>
      <c r="MR20" s="32">
        <v>0</v>
      </c>
      <c r="MS20" s="20">
        <v>12</v>
      </c>
      <c r="MT20" s="20">
        <v>0</v>
      </c>
      <c r="MU20" s="20" t="s">
        <v>116</v>
      </c>
      <c r="MV20" s="20" t="s">
        <v>203</v>
      </c>
      <c r="MW20" s="20">
        <v>17</v>
      </c>
      <c r="MX20" s="20">
        <v>15</v>
      </c>
      <c r="MY20" s="20">
        <v>8</v>
      </c>
      <c r="MZ20" s="20">
        <v>11</v>
      </c>
      <c r="NA20" s="20" t="s">
        <v>302</v>
      </c>
      <c r="NB20" s="32">
        <v>0</v>
      </c>
      <c r="NC20" s="20">
        <v>8</v>
      </c>
      <c r="ND20" s="20">
        <v>2</v>
      </c>
      <c r="NE20" s="20" t="s">
        <v>131</v>
      </c>
      <c r="NF20" s="20" t="s">
        <v>147</v>
      </c>
      <c r="NG20" s="20">
        <v>22</v>
      </c>
      <c r="NH20" s="20">
        <v>19</v>
      </c>
      <c r="NI20" s="20">
        <v>8</v>
      </c>
      <c r="NJ20" s="20">
        <v>10</v>
      </c>
      <c r="NK20" s="20" t="s">
        <v>301</v>
      </c>
      <c r="NM20" s="32">
        <v>0</v>
      </c>
      <c r="NN20" s="32">
        <v>0</v>
      </c>
      <c r="NO20" s="32">
        <v>1</v>
      </c>
      <c r="NP20" s="32">
        <v>0</v>
      </c>
      <c r="NQ20" s="32">
        <v>0</v>
      </c>
      <c r="NR20" s="32">
        <v>0</v>
      </c>
      <c r="NS20" s="32">
        <v>0</v>
      </c>
      <c r="NT20" s="32">
        <v>0</v>
      </c>
      <c r="NX20" s="32">
        <v>25</v>
      </c>
      <c r="NY20" s="32">
        <v>5</v>
      </c>
      <c r="OB20" s="20">
        <v>16</v>
      </c>
      <c r="OC20" s="20" t="s">
        <v>18</v>
      </c>
      <c r="OD20" s="20" t="s">
        <v>15</v>
      </c>
      <c r="OE20" s="34">
        <v>0</v>
      </c>
      <c r="OF20" s="20">
        <v>9</v>
      </c>
      <c r="OG20" s="20">
        <v>4</v>
      </c>
      <c r="OH20" s="20" t="s">
        <v>197</v>
      </c>
      <c r="OI20" s="20" t="s">
        <v>161</v>
      </c>
      <c r="OJ20" s="20">
        <v>11</v>
      </c>
      <c r="OK20" s="20">
        <v>20</v>
      </c>
      <c r="OL20" s="20">
        <v>7</v>
      </c>
      <c r="OM20" s="20">
        <v>12</v>
      </c>
      <c r="ON20" s="20" t="s">
        <v>441</v>
      </c>
      <c r="OO20" s="33">
        <v>1</v>
      </c>
      <c r="OP20" s="20">
        <v>12</v>
      </c>
      <c r="OQ20" s="20">
        <v>2</v>
      </c>
      <c r="OR20" s="20" t="s">
        <v>272</v>
      </c>
      <c r="OS20" s="20" t="s">
        <v>176</v>
      </c>
      <c r="OT20" s="20">
        <v>15</v>
      </c>
      <c r="OU20" s="20">
        <v>19</v>
      </c>
      <c r="OV20" s="20">
        <v>9</v>
      </c>
      <c r="OW20" s="20">
        <v>7</v>
      </c>
      <c r="OX20" s="20" t="s">
        <v>442</v>
      </c>
      <c r="OZ20" s="20">
        <v>0</v>
      </c>
      <c r="PA20" s="20">
        <v>0</v>
      </c>
      <c r="PB20" s="20">
        <v>0</v>
      </c>
      <c r="PC20" s="20">
        <v>1</v>
      </c>
      <c r="PD20" s="20">
        <v>0</v>
      </c>
      <c r="PE20" s="20">
        <v>1</v>
      </c>
      <c r="PF20" s="20">
        <v>1</v>
      </c>
      <c r="PG20" s="20">
        <v>0</v>
      </c>
      <c r="PK20" s="20">
        <v>27.78</v>
      </c>
      <c r="PL20" s="20">
        <v>4</v>
      </c>
      <c r="PO20" s="20">
        <v>16</v>
      </c>
      <c r="PP20" s="20" t="s">
        <v>17</v>
      </c>
      <c r="PQ20" s="20" t="s">
        <v>22</v>
      </c>
      <c r="PR20" s="32">
        <v>2</v>
      </c>
      <c r="PS20" s="20">
        <v>12</v>
      </c>
      <c r="PT20" s="20">
        <v>7</v>
      </c>
      <c r="PU20" s="20" t="s">
        <v>405</v>
      </c>
      <c r="PV20" s="20" t="s">
        <v>168</v>
      </c>
      <c r="PW20" s="20">
        <v>27</v>
      </c>
      <c r="PX20" s="20">
        <v>10</v>
      </c>
      <c r="PY20" s="20">
        <v>10</v>
      </c>
      <c r="PZ20" s="20">
        <v>10</v>
      </c>
      <c r="QA20" s="20" t="s">
        <v>443</v>
      </c>
      <c r="QB20" s="32">
        <v>2</v>
      </c>
      <c r="QC20" s="20">
        <v>9</v>
      </c>
      <c r="QD20" s="20">
        <v>3</v>
      </c>
      <c r="QE20" s="20" t="s">
        <v>209</v>
      </c>
      <c r="QF20" s="20" t="s">
        <v>219</v>
      </c>
      <c r="QG20" s="20">
        <v>16</v>
      </c>
      <c r="QH20" s="20">
        <v>12</v>
      </c>
      <c r="QI20" s="20">
        <v>7</v>
      </c>
      <c r="QJ20" s="20">
        <v>11</v>
      </c>
      <c r="QK20" s="20" t="s">
        <v>444</v>
      </c>
      <c r="QM20" s="32">
        <v>1</v>
      </c>
      <c r="QN20" s="32">
        <v>1</v>
      </c>
      <c r="QO20" s="32">
        <v>1</v>
      </c>
      <c r="QP20" s="32">
        <v>1</v>
      </c>
      <c r="QQ20" s="32">
        <v>0</v>
      </c>
      <c r="QR20" s="32">
        <v>1</v>
      </c>
      <c r="QS20" s="32">
        <v>1</v>
      </c>
      <c r="QT20" s="32">
        <v>1</v>
      </c>
      <c r="QX20" s="32">
        <v>25</v>
      </c>
      <c r="QY20" s="32">
        <v>11</v>
      </c>
      <c r="RB20" s="20">
        <v>16</v>
      </c>
      <c r="RC20" s="20" t="s">
        <v>18</v>
      </c>
      <c r="RD20" s="20" t="s">
        <v>15</v>
      </c>
      <c r="RE20" s="33">
        <v>1</v>
      </c>
      <c r="RF20" s="20">
        <v>12</v>
      </c>
      <c r="RG20" s="20">
        <v>2</v>
      </c>
      <c r="RH20" s="20" t="s">
        <v>272</v>
      </c>
      <c r="RI20" s="20" t="s">
        <v>176</v>
      </c>
      <c r="RJ20" s="20">
        <v>15</v>
      </c>
      <c r="RK20" s="20">
        <v>19</v>
      </c>
      <c r="RL20" s="20">
        <v>9</v>
      </c>
      <c r="RM20" s="20">
        <v>7</v>
      </c>
      <c r="RN20" s="20" t="s">
        <v>442</v>
      </c>
      <c r="RO20" s="34">
        <v>0</v>
      </c>
      <c r="RP20" s="20">
        <v>9</v>
      </c>
      <c r="RQ20" s="20">
        <v>4</v>
      </c>
      <c r="RR20" s="20" t="s">
        <v>197</v>
      </c>
      <c r="RS20" s="20" t="s">
        <v>161</v>
      </c>
      <c r="RT20" s="20">
        <v>11</v>
      </c>
      <c r="RU20" s="20">
        <v>20</v>
      </c>
      <c r="RV20" s="20">
        <v>7</v>
      </c>
      <c r="RW20" s="20">
        <v>12</v>
      </c>
      <c r="RX20" s="20" t="s">
        <v>441</v>
      </c>
      <c r="RZ20" s="20">
        <v>0</v>
      </c>
      <c r="SA20" s="20">
        <v>0</v>
      </c>
      <c r="SB20" s="20">
        <v>0</v>
      </c>
      <c r="SC20" s="20">
        <v>1</v>
      </c>
      <c r="SD20" s="20">
        <v>0</v>
      </c>
      <c r="SE20" s="20">
        <v>1</v>
      </c>
      <c r="SF20" s="20">
        <v>1</v>
      </c>
      <c r="SG20" s="20">
        <v>0</v>
      </c>
      <c r="SK20" s="20">
        <v>27.78</v>
      </c>
      <c r="SL20" s="20">
        <v>4</v>
      </c>
      <c r="SO20" s="20">
        <v>16</v>
      </c>
      <c r="SP20" s="20" t="s">
        <v>16</v>
      </c>
      <c r="SQ20" s="20" t="s">
        <v>19</v>
      </c>
      <c r="SR20" s="34">
        <v>0</v>
      </c>
      <c r="SS20" s="20">
        <v>13</v>
      </c>
      <c r="ST20" s="20">
        <v>1</v>
      </c>
      <c r="SU20" s="20" t="s">
        <v>445</v>
      </c>
      <c r="SV20" s="20" t="s">
        <v>147</v>
      </c>
      <c r="SW20" s="20">
        <v>18</v>
      </c>
      <c r="SX20" s="20">
        <v>19</v>
      </c>
      <c r="SY20" s="20">
        <v>6</v>
      </c>
      <c r="SZ20" s="20">
        <v>14</v>
      </c>
      <c r="TA20" s="20" t="s">
        <v>305</v>
      </c>
      <c r="TB20" s="33">
        <v>2</v>
      </c>
      <c r="TC20" s="20">
        <v>13</v>
      </c>
      <c r="TD20" s="20">
        <v>3</v>
      </c>
      <c r="TE20" s="20" t="s">
        <v>158</v>
      </c>
      <c r="TF20" s="20" t="s">
        <v>147</v>
      </c>
      <c r="TG20" s="20">
        <v>21</v>
      </c>
      <c r="TH20" s="20">
        <v>20</v>
      </c>
      <c r="TI20" s="20">
        <v>10</v>
      </c>
      <c r="TJ20" s="20">
        <v>12</v>
      </c>
      <c r="TK20" s="20" t="s">
        <v>304</v>
      </c>
      <c r="TM20" s="20">
        <v>1</v>
      </c>
      <c r="TN20" s="20">
        <v>1</v>
      </c>
      <c r="TO20" s="20">
        <v>0</v>
      </c>
      <c r="TP20" s="20">
        <v>1</v>
      </c>
      <c r="TQ20" s="20">
        <v>1</v>
      </c>
      <c r="TR20" s="20">
        <v>1</v>
      </c>
      <c r="TS20" s="20">
        <v>1</v>
      </c>
      <c r="TT20" s="20">
        <v>0</v>
      </c>
      <c r="TX20" s="20">
        <v>15.38</v>
      </c>
      <c r="TY20" s="20">
        <v>3</v>
      </c>
      <c r="UB20" s="20">
        <v>16</v>
      </c>
      <c r="UC20" s="20" t="s">
        <v>16</v>
      </c>
      <c r="UD20" s="20" t="s">
        <v>19</v>
      </c>
      <c r="UE20" s="33">
        <v>2</v>
      </c>
      <c r="UF20" s="20">
        <v>13</v>
      </c>
      <c r="UG20" s="20">
        <v>3</v>
      </c>
      <c r="UH20" s="20" t="s">
        <v>158</v>
      </c>
      <c r="UI20" s="20" t="s">
        <v>147</v>
      </c>
      <c r="UJ20" s="20">
        <v>21</v>
      </c>
      <c r="UK20" s="20">
        <v>20</v>
      </c>
      <c r="UL20" s="20">
        <v>10</v>
      </c>
      <c r="UM20" s="20">
        <v>12</v>
      </c>
      <c r="UN20" s="20" t="s">
        <v>304</v>
      </c>
      <c r="UO20" s="34">
        <v>0</v>
      </c>
      <c r="UP20" s="20">
        <v>13</v>
      </c>
      <c r="UQ20" s="20">
        <v>1</v>
      </c>
      <c r="UR20" s="20" t="s">
        <v>445</v>
      </c>
      <c r="US20" s="20" t="s">
        <v>147</v>
      </c>
      <c r="UT20" s="20">
        <v>18</v>
      </c>
      <c r="UU20" s="20">
        <v>19</v>
      </c>
      <c r="UV20" s="20">
        <v>6</v>
      </c>
      <c r="UW20" s="20">
        <v>14</v>
      </c>
      <c r="UX20" s="20" t="s">
        <v>305</v>
      </c>
      <c r="UZ20" s="20">
        <v>1</v>
      </c>
      <c r="VA20" s="20">
        <v>1</v>
      </c>
      <c r="VB20" s="20">
        <v>0</v>
      </c>
      <c r="VC20" s="20">
        <v>1</v>
      </c>
      <c r="VD20" s="20">
        <v>1</v>
      </c>
      <c r="VE20" s="20">
        <v>1</v>
      </c>
      <c r="VF20" s="20">
        <v>1</v>
      </c>
      <c r="VG20" s="20">
        <v>0</v>
      </c>
      <c r="VK20" s="20">
        <v>15.38</v>
      </c>
      <c r="VL20" s="20">
        <v>3</v>
      </c>
      <c r="VO20" s="20">
        <v>16</v>
      </c>
      <c r="VP20" s="20" t="s">
        <v>20</v>
      </c>
      <c r="VQ20" s="20" t="s">
        <v>10</v>
      </c>
      <c r="VR20" s="34">
        <v>0</v>
      </c>
      <c r="VS20" s="20">
        <v>11</v>
      </c>
      <c r="VT20" s="20">
        <v>1</v>
      </c>
      <c r="VU20" s="20" t="s">
        <v>264</v>
      </c>
      <c r="VV20" s="20" t="s">
        <v>142</v>
      </c>
      <c r="VW20" s="20">
        <v>20</v>
      </c>
      <c r="VX20" s="20">
        <v>19</v>
      </c>
      <c r="VY20" s="20">
        <v>10</v>
      </c>
      <c r="VZ20" s="20">
        <v>16</v>
      </c>
      <c r="WA20" s="20" t="s">
        <v>440</v>
      </c>
      <c r="WB20" s="33">
        <v>2</v>
      </c>
      <c r="WC20" s="20">
        <v>10</v>
      </c>
      <c r="WD20" s="20">
        <v>4</v>
      </c>
      <c r="WE20" s="20" t="s">
        <v>133</v>
      </c>
      <c r="WF20" s="20" t="s">
        <v>154</v>
      </c>
      <c r="WG20" s="20">
        <v>29</v>
      </c>
      <c r="WH20" s="20">
        <v>19</v>
      </c>
      <c r="WI20" s="20">
        <v>11</v>
      </c>
      <c r="WJ20" s="20">
        <v>12</v>
      </c>
      <c r="WK20" s="20" t="s">
        <v>439</v>
      </c>
      <c r="WM20" s="20">
        <v>1</v>
      </c>
      <c r="WN20" s="20">
        <v>1</v>
      </c>
      <c r="WO20" s="20">
        <v>1</v>
      </c>
      <c r="WP20" s="20">
        <v>1</v>
      </c>
      <c r="WQ20" s="20">
        <v>1</v>
      </c>
      <c r="WR20" s="20">
        <v>1</v>
      </c>
      <c r="WS20" s="20">
        <v>1</v>
      </c>
      <c r="WT20" s="20">
        <v>1</v>
      </c>
      <c r="WX20" s="20">
        <v>30.91</v>
      </c>
      <c r="WY20" s="20">
        <v>9</v>
      </c>
      <c r="XB20" s="20">
        <v>16</v>
      </c>
      <c r="XC20" s="20" t="s">
        <v>19</v>
      </c>
      <c r="XD20" s="20" t="s">
        <v>34</v>
      </c>
      <c r="XE20" s="34">
        <v>0</v>
      </c>
      <c r="XF20" s="20">
        <v>6</v>
      </c>
      <c r="XG20" s="20">
        <v>0</v>
      </c>
      <c r="XH20" s="20" t="s">
        <v>116</v>
      </c>
      <c r="XI20" s="20" t="s">
        <v>446</v>
      </c>
      <c r="XJ20" s="20">
        <v>14</v>
      </c>
      <c r="XK20" s="20">
        <v>17</v>
      </c>
      <c r="XL20" s="20">
        <v>8</v>
      </c>
      <c r="XM20" s="20">
        <v>11</v>
      </c>
      <c r="XN20" s="20" t="s">
        <v>447</v>
      </c>
      <c r="XO20" s="33">
        <v>2</v>
      </c>
      <c r="XP20" s="20">
        <v>15</v>
      </c>
      <c r="XQ20" s="20">
        <v>5</v>
      </c>
      <c r="XR20" s="20" t="s">
        <v>209</v>
      </c>
      <c r="XS20" s="20" t="s">
        <v>151</v>
      </c>
      <c r="XT20" s="20">
        <v>19</v>
      </c>
      <c r="XU20" s="20">
        <v>29</v>
      </c>
      <c r="XV20" s="20">
        <v>2</v>
      </c>
      <c r="XW20" s="20">
        <v>9</v>
      </c>
      <c r="XX20" s="20" t="s">
        <v>448</v>
      </c>
      <c r="XZ20" s="20">
        <v>1</v>
      </c>
      <c r="YA20" s="20">
        <v>1</v>
      </c>
      <c r="YB20" s="20">
        <v>1</v>
      </c>
      <c r="YC20" s="20">
        <v>1</v>
      </c>
      <c r="YD20" s="20">
        <v>1</v>
      </c>
      <c r="YE20" s="20">
        <v>0</v>
      </c>
      <c r="YF20" s="20">
        <v>1</v>
      </c>
      <c r="YG20" s="20">
        <v>1</v>
      </c>
      <c r="YK20" s="20">
        <v>33.33</v>
      </c>
      <c r="YL20" s="20">
        <v>5</v>
      </c>
      <c r="YO20" s="20">
        <v>16</v>
      </c>
      <c r="YP20" s="20" t="s">
        <v>6</v>
      </c>
      <c r="YQ20" s="20" t="s">
        <v>21</v>
      </c>
      <c r="YR20" s="34">
        <v>2</v>
      </c>
      <c r="YS20" s="20">
        <v>9</v>
      </c>
      <c r="YT20" s="20">
        <v>4</v>
      </c>
      <c r="YU20" s="20" t="s">
        <v>197</v>
      </c>
      <c r="YV20" s="20" t="s">
        <v>179</v>
      </c>
      <c r="YW20" s="20">
        <v>10</v>
      </c>
      <c r="YX20" s="20">
        <v>7</v>
      </c>
      <c r="YY20" s="20">
        <v>4</v>
      </c>
      <c r="YZ20" s="20">
        <v>6</v>
      </c>
      <c r="ZA20" s="20" t="s">
        <v>304</v>
      </c>
      <c r="ZB20" s="33">
        <v>10</v>
      </c>
      <c r="ZC20" s="20">
        <v>30</v>
      </c>
      <c r="ZD20" s="20">
        <v>15</v>
      </c>
      <c r="ZE20" s="20" t="s">
        <v>125</v>
      </c>
      <c r="ZF20" s="20" t="s">
        <v>252</v>
      </c>
      <c r="ZG20" s="20">
        <v>18</v>
      </c>
      <c r="ZH20" s="20">
        <v>6</v>
      </c>
      <c r="ZI20" s="20">
        <v>8</v>
      </c>
      <c r="ZJ20" s="20">
        <v>8</v>
      </c>
      <c r="ZK20" s="20" t="s">
        <v>305</v>
      </c>
      <c r="ZM20" s="20">
        <v>1</v>
      </c>
      <c r="ZN20" s="20">
        <v>1</v>
      </c>
      <c r="ZO20" s="20">
        <v>1</v>
      </c>
      <c r="ZP20" s="20">
        <v>1</v>
      </c>
      <c r="ZQ20" s="20">
        <v>0</v>
      </c>
      <c r="ZR20" s="20">
        <v>1</v>
      </c>
      <c r="ZS20" s="20">
        <v>0</v>
      </c>
      <c r="ZT20" s="20">
        <v>1</v>
      </c>
      <c r="ZX20" s="20">
        <v>5.56</v>
      </c>
      <c r="ZY20" s="20">
        <v>8</v>
      </c>
      <c r="AAB20" s="20">
        <v>16</v>
      </c>
      <c r="AAC20" s="20" t="s">
        <v>17</v>
      </c>
      <c r="AAD20" s="20" t="s">
        <v>22</v>
      </c>
      <c r="AAE20" s="32">
        <v>2</v>
      </c>
      <c r="AAF20" s="20">
        <v>9</v>
      </c>
      <c r="AAG20" s="20">
        <v>3</v>
      </c>
      <c r="AAH20" s="20" t="s">
        <v>209</v>
      </c>
      <c r="AAI20" s="20" t="s">
        <v>219</v>
      </c>
      <c r="AAJ20" s="20">
        <v>16</v>
      </c>
      <c r="AAK20" s="20">
        <v>12</v>
      </c>
      <c r="AAL20" s="20">
        <v>7</v>
      </c>
      <c r="AAM20" s="20">
        <v>11</v>
      </c>
      <c r="AAN20" s="20" t="s">
        <v>444</v>
      </c>
      <c r="AAO20" s="32">
        <v>2</v>
      </c>
      <c r="AAP20" s="20">
        <v>12</v>
      </c>
      <c r="AAQ20" s="20">
        <v>7</v>
      </c>
      <c r="AAR20" s="20" t="s">
        <v>405</v>
      </c>
      <c r="AAS20" s="20" t="s">
        <v>168</v>
      </c>
      <c r="AAT20" s="20">
        <v>27</v>
      </c>
      <c r="AAU20" s="20">
        <v>10</v>
      </c>
      <c r="AAV20" s="20">
        <v>10</v>
      </c>
      <c r="AAW20" s="20">
        <v>10</v>
      </c>
      <c r="AAX20" s="20" t="s">
        <v>443</v>
      </c>
      <c r="AAZ20" s="32">
        <v>1</v>
      </c>
      <c r="ABA20" s="32">
        <v>1</v>
      </c>
      <c r="ABB20" s="32">
        <v>1</v>
      </c>
      <c r="ABC20" s="32">
        <v>1</v>
      </c>
      <c r="ABD20" s="32">
        <v>0</v>
      </c>
      <c r="ABE20" s="32">
        <v>1</v>
      </c>
      <c r="ABF20" s="32">
        <v>1</v>
      </c>
      <c r="ABG20" s="32">
        <v>1</v>
      </c>
      <c r="ABK20" s="32">
        <v>25</v>
      </c>
      <c r="ABL20" s="32">
        <v>11</v>
      </c>
      <c r="ABO20" s="20">
        <v>16</v>
      </c>
      <c r="ABP20" s="20" t="s">
        <v>9</v>
      </c>
      <c r="ABQ20" s="20" t="s">
        <v>23</v>
      </c>
      <c r="ABR20" s="34">
        <v>0</v>
      </c>
      <c r="ABS20" s="20">
        <v>6</v>
      </c>
      <c r="ABT20" s="20">
        <v>1</v>
      </c>
      <c r="ABU20" s="20" t="s">
        <v>272</v>
      </c>
      <c r="ABV20" s="20" t="s">
        <v>176</v>
      </c>
      <c r="ABW20" s="20">
        <v>14</v>
      </c>
      <c r="ABX20" s="20">
        <v>14</v>
      </c>
      <c r="ABY20" s="20">
        <v>11</v>
      </c>
      <c r="ABZ20" s="20">
        <v>14</v>
      </c>
      <c r="ACA20" s="20" t="s">
        <v>438</v>
      </c>
      <c r="ACB20" s="33">
        <v>2</v>
      </c>
      <c r="ACC20" s="20">
        <v>18</v>
      </c>
      <c r="ACD20" s="20">
        <v>7</v>
      </c>
      <c r="ACE20" s="20" t="s">
        <v>261</v>
      </c>
      <c r="ACF20" s="20" t="s">
        <v>147</v>
      </c>
      <c r="ACG20" s="20">
        <v>21</v>
      </c>
      <c r="ACH20" s="20">
        <v>28</v>
      </c>
      <c r="ACI20" s="20">
        <v>5</v>
      </c>
      <c r="ACJ20" s="20">
        <v>7</v>
      </c>
      <c r="ACK20" s="20" t="s">
        <v>437</v>
      </c>
      <c r="ACM20" s="20">
        <v>1</v>
      </c>
      <c r="ACN20" s="20">
        <v>1</v>
      </c>
      <c r="ACO20" s="20">
        <v>0</v>
      </c>
      <c r="ACP20" s="20">
        <v>1</v>
      </c>
      <c r="ACQ20" s="20">
        <v>1</v>
      </c>
      <c r="ACR20" s="20">
        <v>0</v>
      </c>
      <c r="ACS20" s="20">
        <v>1</v>
      </c>
      <c r="ACT20" s="20">
        <v>1</v>
      </c>
      <c r="ACX20" s="20">
        <v>22.22</v>
      </c>
      <c r="ACY20" s="20">
        <v>7</v>
      </c>
    </row>
    <row r="21" spans="1:779" x14ac:dyDescent="0.3">
      <c r="A21" s="27">
        <f>E21/G21</f>
        <v>0</v>
      </c>
      <c r="B21" s="20">
        <v>17</v>
      </c>
      <c r="C21" s="20" t="s">
        <v>18</v>
      </c>
      <c r="D21" s="20" t="s">
        <v>5</v>
      </c>
      <c r="E21" s="35">
        <v>0</v>
      </c>
      <c r="F21" s="20">
        <v>10</v>
      </c>
      <c r="G21" s="30">
        <v>2</v>
      </c>
      <c r="H21" s="27">
        <v>0.2</v>
      </c>
      <c r="I21" s="28">
        <v>0.85</v>
      </c>
      <c r="J21" s="20">
        <v>22</v>
      </c>
      <c r="K21" s="20">
        <v>10</v>
      </c>
      <c r="L21" s="20">
        <v>21</v>
      </c>
      <c r="M21" s="30">
        <v>18</v>
      </c>
      <c r="N21" s="27">
        <v>0.72099999999999997</v>
      </c>
      <c r="O21" s="35">
        <v>0</v>
      </c>
      <c r="P21" s="20">
        <v>4</v>
      </c>
      <c r="Q21" s="30">
        <v>1</v>
      </c>
      <c r="R21" s="27">
        <v>0.25</v>
      </c>
      <c r="S21" s="28">
        <v>0.62</v>
      </c>
      <c r="T21" s="20">
        <v>24</v>
      </c>
      <c r="U21" s="20">
        <v>7</v>
      </c>
      <c r="V21" s="20">
        <v>8</v>
      </c>
      <c r="W21" s="30">
        <v>11</v>
      </c>
      <c r="X21" s="27">
        <v>0.27900000000000003</v>
      </c>
      <c r="Z21" s="32">
        <v>1</v>
      </c>
      <c r="AA21" s="32">
        <v>0</v>
      </c>
      <c r="AB21" s="32">
        <v>1</v>
      </c>
      <c r="AC21" s="32">
        <v>0</v>
      </c>
      <c r="AD21" s="32">
        <v>1</v>
      </c>
      <c r="AE21" s="32">
        <v>1</v>
      </c>
      <c r="AF21" s="32">
        <v>0</v>
      </c>
      <c r="AG21" s="32">
        <v>1</v>
      </c>
      <c r="AK21" s="32">
        <v>5</v>
      </c>
      <c r="AL21" s="32">
        <v>2</v>
      </c>
      <c r="AM21" s="20"/>
      <c r="AN21" s="20"/>
      <c r="AO21" s="20">
        <v>17</v>
      </c>
      <c r="AP21" s="20" t="s">
        <v>6</v>
      </c>
      <c r="AQ21" s="20" t="s">
        <v>13</v>
      </c>
      <c r="AR21" s="33">
        <v>3</v>
      </c>
      <c r="AS21" s="30">
        <v>23</v>
      </c>
      <c r="AT21" s="30">
        <v>13</v>
      </c>
      <c r="AU21" s="27">
        <v>0.56520000000000004</v>
      </c>
      <c r="AV21" s="28">
        <v>0.84</v>
      </c>
      <c r="AW21" s="20">
        <v>15</v>
      </c>
      <c r="AX21" s="20">
        <v>12</v>
      </c>
      <c r="AY21" s="30">
        <v>11</v>
      </c>
      <c r="AZ21" s="20">
        <v>9</v>
      </c>
      <c r="BA21" s="28">
        <v>0.5</v>
      </c>
      <c r="BB21" s="34">
        <v>1</v>
      </c>
      <c r="BC21" s="20">
        <v>13</v>
      </c>
      <c r="BD21" s="20">
        <v>2</v>
      </c>
      <c r="BE21" s="20" t="s">
        <v>205</v>
      </c>
      <c r="BF21" s="20" t="s">
        <v>120</v>
      </c>
      <c r="BG21" s="20">
        <v>14</v>
      </c>
      <c r="BH21" s="20">
        <v>7</v>
      </c>
      <c r="BI21" s="20">
        <v>2</v>
      </c>
      <c r="BJ21" s="20">
        <v>7</v>
      </c>
      <c r="BK21" s="20" t="s">
        <v>449</v>
      </c>
      <c r="BM21" s="20">
        <v>1</v>
      </c>
      <c r="BN21" s="20">
        <v>1</v>
      </c>
      <c r="BO21" s="20">
        <v>0</v>
      </c>
      <c r="BP21" s="20">
        <v>1</v>
      </c>
      <c r="BQ21" s="20">
        <v>1</v>
      </c>
      <c r="BR21" s="20">
        <v>1</v>
      </c>
      <c r="BS21" s="20">
        <v>0</v>
      </c>
      <c r="BT21" s="20">
        <v>0</v>
      </c>
      <c r="BX21" s="20">
        <v>41.14</v>
      </c>
      <c r="BY21" s="20">
        <v>1</v>
      </c>
      <c r="BZ21" s="20"/>
      <c r="CA21" s="20"/>
      <c r="CB21" s="20">
        <v>17</v>
      </c>
      <c r="CC21" s="20" t="s">
        <v>21</v>
      </c>
      <c r="CD21" s="20" t="s">
        <v>7</v>
      </c>
      <c r="CE21" s="33">
        <v>2</v>
      </c>
      <c r="CF21" s="20">
        <v>17</v>
      </c>
      <c r="CG21" s="20">
        <v>6</v>
      </c>
      <c r="CH21" s="20" t="s">
        <v>243</v>
      </c>
      <c r="CI21" s="20" t="s">
        <v>280</v>
      </c>
      <c r="CJ21" s="20">
        <v>16</v>
      </c>
      <c r="CK21" s="20">
        <v>18</v>
      </c>
      <c r="CL21" s="20">
        <v>9</v>
      </c>
      <c r="CM21" s="20">
        <v>8</v>
      </c>
      <c r="CN21" s="20" t="s">
        <v>300</v>
      </c>
      <c r="CO21" s="34">
        <v>0</v>
      </c>
      <c r="CP21" s="20">
        <v>10</v>
      </c>
      <c r="CQ21" s="20">
        <v>3</v>
      </c>
      <c r="CR21" s="20" t="s">
        <v>237</v>
      </c>
      <c r="CS21" s="20" t="s">
        <v>203</v>
      </c>
      <c r="CT21" s="20">
        <v>13</v>
      </c>
      <c r="CU21" s="20">
        <v>26</v>
      </c>
      <c r="CV21" s="20">
        <v>9</v>
      </c>
      <c r="CW21" s="20">
        <v>9</v>
      </c>
      <c r="CX21" s="20" t="s">
        <v>299</v>
      </c>
      <c r="CZ21" s="20">
        <v>1</v>
      </c>
      <c r="DA21" s="20">
        <v>1</v>
      </c>
      <c r="DB21" s="20">
        <v>0</v>
      </c>
      <c r="DC21" s="20">
        <v>1</v>
      </c>
      <c r="DD21" s="20">
        <v>0</v>
      </c>
      <c r="DE21" s="20">
        <v>1</v>
      </c>
      <c r="DF21" s="20">
        <v>1</v>
      </c>
      <c r="DG21" s="20">
        <v>0</v>
      </c>
      <c r="DK21" s="20">
        <v>5.29</v>
      </c>
      <c r="DL21" s="20">
        <v>3</v>
      </c>
      <c r="DO21" s="20">
        <v>17</v>
      </c>
      <c r="DP21" s="20" t="s">
        <v>8</v>
      </c>
      <c r="DQ21" s="20" t="s">
        <v>17</v>
      </c>
      <c r="DR21" s="33">
        <v>1</v>
      </c>
      <c r="DS21" s="20">
        <v>9</v>
      </c>
      <c r="DT21" s="20">
        <v>3</v>
      </c>
      <c r="DU21" s="20" t="s">
        <v>209</v>
      </c>
      <c r="DV21" s="20" t="s">
        <v>171</v>
      </c>
      <c r="DW21" s="20">
        <v>19</v>
      </c>
      <c r="DX21" s="20">
        <v>9</v>
      </c>
      <c r="DY21" s="20">
        <v>5</v>
      </c>
      <c r="DZ21" s="20">
        <v>8</v>
      </c>
      <c r="EA21" s="20" t="s">
        <v>277</v>
      </c>
      <c r="EB21" s="34">
        <v>0</v>
      </c>
      <c r="EC21" s="20">
        <v>6</v>
      </c>
      <c r="ED21" s="20">
        <v>2</v>
      </c>
      <c r="EE21" s="20" t="s">
        <v>209</v>
      </c>
      <c r="EF21" s="20" t="s">
        <v>171</v>
      </c>
      <c r="EG21" s="20">
        <v>11</v>
      </c>
      <c r="EH21" s="20">
        <v>12</v>
      </c>
      <c r="EI21" s="20">
        <v>9</v>
      </c>
      <c r="EJ21" s="20">
        <v>11</v>
      </c>
      <c r="EK21" s="20" t="s">
        <v>278</v>
      </c>
      <c r="EM21" s="20">
        <v>1</v>
      </c>
      <c r="EN21" s="20">
        <v>0</v>
      </c>
      <c r="EO21" s="20">
        <v>0</v>
      </c>
      <c r="EP21" s="20">
        <v>1</v>
      </c>
      <c r="EQ21" s="20">
        <v>0</v>
      </c>
      <c r="ER21" s="20">
        <v>0</v>
      </c>
      <c r="ES21" s="20">
        <v>1</v>
      </c>
      <c r="ET21" s="20">
        <v>1</v>
      </c>
      <c r="EX21" s="20">
        <v>0</v>
      </c>
      <c r="EY21" s="20">
        <v>8</v>
      </c>
      <c r="FB21" s="20">
        <v>17</v>
      </c>
      <c r="FC21" s="20" t="s">
        <v>10</v>
      </c>
      <c r="FD21" s="20" t="s">
        <v>9</v>
      </c>
      <c r="FE21" s="33">
        <v>1</v>
      </c>
      <c r="FF21" s="20">
        <v>13</v>
      </c>
      <c r="FG21" s="20">
        <v>5</v>
      </c>
      <c r="FH21" s="20" t="s">
        <v>202</v>
      </c>
      <c r="FI21" s="20" t="s">
        <v>117</v>
      </c>
      <c r="FJ21" s="20">
        <v>31</v>
      </c>
      <c r="FK21" s="20">
        <v>23</v>
      </c>
      <c r="FL21" s="20">
        <v>6</v>
      </c>
      <c r="FM21" s="20">
        <v>17</v>
      </c>
      <c r="FN21" s="20" t="s">
        <v>450</v>
      </c>
      <c r="FO21" s="34">
        <v>0</v>
      </c>
      <c r="FP21" s="20">
        <v>7</v>
      </c>
      <c r="FQ21" s="20">
        <v>3</v>
      </c>
      <c r="FR21" s="20" t="s">
        <v>207</v>
      </c>
      <c r="FS21" s="20" t="s">
        <v>134</v>
      </c>
      <c r="FT21" s="20">
        <v>26</v>
      </c>
      <c r="FU21" s="20">
        <v>5</v>
      </c>
      <c r="FV21" s="20">
        <v>9</v>
      </c>
      <c r="FW21" s="20">
        <v>14</v>
      </c>
      <c r="FX21" s="20" t="s">
        <v>451</v>
      </c>
      <c r="FZ21" s="20">
        <v>1</v>
      </c>
      <c r="GA21" s="20">
        <v>0</v>
      </c>
      <c r="GB21" s="20">
        <v>0</v>
      </c>
      <c r="GC21" s="20">
        <v>1</v>
      </c>
      <c r="GD21" s="20">
        <v>1</v>
      </c>
      <c r="GE21" s="20">
        <v>0</v>
      </c>
      <c r="GF21" s="20">
        <v>0</v>
      </c>
      <c r="GG21" s="20">
        <v>0</v>
      </c>
      <c r="GK21" s="20">
        <v>4.4000000000000004</v>
      </c>
      <c r="GL21" s="20">
        <v>5</v>
      </c>
      <c r="GO21" s="20">
        <v>17</v>
      </c>
      <c r="GP21" s="20" t="s">
        <v>10</v>
      </c>
      <c r="GQ21" s="20" t="s">
        <v>9</v>
      </c>
      <c r="GR21" s="34">
        <v>0</v>
      </c>
      <c r="GS21" s="20">
        <v>7</v>
      </c>
      <c r="GT21" s="20">
        <v>3</v>
      </c>
      <c r="GU21" s="20" t="s">
        <v>207</v>
      </c>
      <c r="GV21" s="20" t="s">
        <v>134</v>
      </c>
      <c r="GW21" s="20">
        <v>26</v>
      </c>
      <c r="GX21" s="20">
        <v>5</v>
      </c>
      <c r="GY21" s="20">
        <v>9</v>
      </c>
      <c r="GZ21" s="20">
        <v>14</v>
      </c>
      <c r="HA21" s="20" t="s">
        <v>451</v>
      </c>
      <c r="HB21" s="33">
        <v>1</v>
      </c>
      <c r="HC21" s="20">
        <v>13</v>
      </c>
      <c r="HD21" s="20">
        <v>5</v>
      </c>
      <c r="HE21" s="20" t="s">
        <v>202</v>
      </c>
      <c r="HF21" s="20" t="s">
        <v>117</v>
      </c>
      <c r="HG21" s="20">
        <v>31</v>
      </c>
      <c r="HH21" s="20">
        <v>23</v>
      </c>
      <c r="HI21" s="20">
        <v>6</v>
      </c>
      <c r="HJ21" s="20">
        <v>17</v>
      </c>
      <c r="HK21" s="20" t="s">
        <v>450</v>
      </c>
      <c r="HM21" s="20">
        <v>1</v>
      </c>
      <c r="HN21" s="20">
        <v>0</v>
      </c>
      <c r="HO21" s="20">
        <v>0</v>
      </c>
      <c r="HP21" s="20">
        <v>1</v>
      </c>
      <c r="HQ21" s="20">
        <v>1</v>
      </c>
      <c r="HR21" s="20">
        <v>0</v>
      </c>
      <c r="HS21" s="20">
        <v>0</v>
      </c>
      <c r="HT21" s="20">
        <v>0</v>
      </c>
      <c r="HX21" s="20">
        <v>4.4000000000000004</v>
      </c>
      <c r="HY21" s="20">
        <v>5</v>
      </c>
      <c r="IB21" s="20">
        <v>17</v>
      </c>
      <c r="IC21" s="20" t="s">
        <v>11</v>
      </c>
      <c r="ID21" s="20" t="s">
        <v>18</v>
      </c>
      <c r="IE21" s="33">
        <v>2</v>
      </c>
      <c r="IF21" s="20">
        <v>15</v>
      </c>
      <c r="IG21" s="20">
        <v>10</v>
      </c>
      <c r="IH21" s="20" t="s">
        <v>192</v>
      </c>
      <c r="II21" s="20" t="s">
        <v>134</v>
      </c>
      <c r="IJ21" s="20">
        <v>29</v>
      </c>
      <c r="IK21" s="20">
        <v>13</v>
      </c>
      <c r="IL21" s="20">
        <v>7</v>
      </c>
      <c r="IM21" s="20">
        <v>8</v>
      </c>
      <c r="IN21" s="20" t="s">
        <v>148</v>
      </c>
      <c r="IO21" s="34">
        <v>0</v>
      </c>
      <c r="IP21" s="20">
        <v>12</v>
      </c>
      <c r="IQ21" s="20">
        <v>1</v>
      </c>
      <c r="IR21" s="20" t="s">
        <v>185</v>
      </c>
      <c r="IS21" s="20" t="s">
        <v>179</v>
      </c>
      <c r="IT21" s="20">
        <v>15</v>
      </c>
      <c r="IU21" s="20">
        <v>5</v>
      </c>
      <c r="IV21" s="20">
        <v>12</v>
      </c>
      <c r="IW21" s="20">
        <v>13</v>
      </c>
      <c r="IX21" s="20" t="s">
        <v>150</v>
      </c>
      <c r="IZ21" s="20">
        <v>1</v>
      </c>
      <c r="JA21" s="20">
        <v>1</v>
      </c>
      <c r="JB21" s="20">
        <v>0</v>
      </c>
      <c r="JC21" s="20">
        <v>1</v>
      </c>
      <c r="JD21" s="20">
        <v>1</v>
      </c>
      <c r="JE21" s="20">
        <v>0</v>
      </c>
      <c r="JF21" s="20">
        <v>1</v>
      </c>
      <c r="JG21" s="20">
        <v>0</v>
      </c>
      <c r="JK21" s="20">
        <v>58.33</v>
      </c>
      <c r="JL21" s="20">
        <v>14</v>
      </c>
      <c r="JO21" s="20">
        <v>17</v>
      </c>
      <c r="JP21" s="20" t="s">
        <v>23</v>
      </c>
      <c r="JQ21" s="20" t="s">
        <v>12</v>
      </c>
      <c r="JR21" s="33">
        <v>1</v>
      </c>
      <c r="JS21" s="20">
        <v>10</v>
      </c>
      <c r="JT21" s="20">
        <v>6</v>
      </c>
      <c r="JU21" s="20" t="s">
        <v>173</v>
      </c>
      <c r="JV21" s="20" t="s">
        <v>176</v>
      </c>
      <c r="JW21" s="20">
        <v>14</v>
      </c>
      <c r="JX21" s="20">
        <v>7</v>
      </c>
      <c r="JY21" s="20">
        <v>3</v>
      </c>
      <c r="JZ21" s="20">
        <v>9</v>
      </c>
      <c r="KA21" s="20" t="s">
        <v>155</v>
      </c>
      <c r="KB21" s="34">
        <v>0</v>
      </c>
      <c r="KC21" s="20">
        <v>7</v>
      </c>
      <c r="KD21" s="20">
        <v>1</v>
      </c>
      <c r="KE21" s="20" t="s">
        <v>164</v>
      </c>
      <c r="KF21" s="20" t="s">
        <v>156</v>
      </c>
      <c r="KG21" s="20">
        <v>11</v>
      </c>
      <c r="KH21" s="20">
        <v>18</v>
      </c>
      <c r="KI21" s="20">
        <v>6</v>
      </c>
      <c r="KJ21" s="20">
        <v>8</v>
      </c>
      <c r="KK21" s="20" t="s">
        <v>152</v>
      </c>
      <c r="KM21" s="20">
        <v>1</v>
      </c>
      <c r="KN21" s="20">
        <v>1</v>
      </c>
      <c r="KO21" s="20">
        <v>1</v>
      </c>
      <c r="KP21" s="20">
        <v>1</v>
      </c>
      <c r="KQ21" s="20">
        <v>0</v>
      </c>
      <c r="KR21" s="20">
        <v>0</v>
      </c>
      <c r="KS21" s="20">
        <v>0</v>
      </c>
      <c r="KT21" s="20">
        <v>1</v>
      </c>
      <c r="KX21" s="20">
        <v>45.71</v>
      </c>
      <c r="KY21" s="20">
        <v>3</v>
      </c>
      <c r="LB21" s="20">
        <v>17</v>
      </c>
      <c r="LC21" s="20" t="s">
        <v>6</v>
      </c>
      <c r="LD21" s="20" t="s">
        <v>13</v>
      </c>
      <c r="LE21" s="34">
        <v>1</v>
      </c>
      <c r="LF21" s="20">
        <v>13</v>
      </c>
      <c r="LG21" s="20">
        <v>2</v>
      </c>
      <c r="LH21" s="20" t="s">
        <v>205</v>
      </c>
      <c r="LI21" s="20" t="s">
        <v>120</v>
      </c>
      <c r="LJ21" s="20">
        <v>14</v>
      </c>
      <c r="LK21" s="20">
        <v>7</v>
      </c>
      <c r="LL21" s="20">
        <v>2</v>
      </c>
      <c r="LM21" s="20">
        <v>7</v>
      </c>
      <c r="LN21" s="20" t="s">
        <v>449</v>
      </c>
      <c r="LO21" s="33">
        <v>3</v>
      </c>
      <c r="LP21" s="20">
        <v>23</v>
      </c>
      <c r="LQ21" s="20">
        <v>13</v>
      </c>
      <c r="LR21" s="20" t="s">
        <v>452</v>
      </c>
      <c r="LS21" s="20" t="s">
        <v>120</v>
      </c>
      <c r="LT21" s="20">
        <v>15</v>
      </c>
      <c r="LU21" s="20">
        <v>12</v>
      </c>
      <c r="LV21" s="20">
        <v>11</v>
      </c>
      <c r="LW21" s="20">
        <v>9</v>
      </c>
      <c r="LX21" s="20" t="s">
        <v>449</v>
      </c>
      <c r="LZ21" s="20">
        <v>1</v>
      </c>
      <c r="MA21" s="20">
        <v>1</v>
      </c>
      <c r="MB21" s="20">
        <v>0</v>
      </c>
      <c r="MC21" s="20">
        <v>1</v>
      </c>
      <c r="MD21" s="20">
        <v>1</v>
      </c>
      <c r="ME21" s="20">
        <v>1</v>
      </c>
      <c r="MF21" s="20">
        <v>0</v>
      </c>
      <c r="MG21" s="20">
        <v>0</v>
      </c>
      <c r="MK21" s="20">
        <v>41.14</v>
      </c>
      <c r="ML21" s="20">
        <v>1</v>
      </c>
      <c r="MO21" s="20">
        <v>17</v>
      </c>
      <c r="MP21" s="20" t="s">
        <v>5</v>
      </c>
      <c r="MQ21" s="20" t="s">
        <v>14</v>
      </c>
      <c r="MR21" s="34">
        <v>0</v>
      </c>
      <c r="MS21" s="20">
        <v>11</v>
      </c>
      <c r="MT21" s="20">
        <v>4</v>
      </c>
      <c r="MU21" s="20" t="s">
        <v>249</v>
      </c>
      <c r="MV21" s="20" t="s">
        <v>123</v>
      </c>
      <c r="MW21" s="20">
        <v>10</v>
      </c>
      <c r="MX21" s="20">
        <v>8</v>
      </c>
      <c r="MY21" s="20">
        <v>10</v>
      </c>
      <c r="MZ21" s="20">
        <v>8</v>
      </c>
      <c r="NA21" s="20" t="s">
        <v>153</v>
      </c>
      <c r="NB21" s="33">
        <v>4</v>
      </c>
      <c r="NC21" s="20">
        <v>16</v>
      </c>
      <c r="ND21" s="20">
        <v>7</v>
      </c>
      <c r="NE21" s="20" t="s">
        <v>303</v>
      </c>
      <c r="NF21" s="20" t="s">
        <v>258</v>
      </c>
      <c r="NG21" s="20">
        <v>19</v>
      </c>
      <c r="NH21" s="20">
        <v>8</v>
      </c>
      <c r="NI21" s="20">
        <v>20</v>
      </c>
      <c r="NJ21" s="20">
        <v>7</v>
      </c>
      <c r="NK21" s="20" t="s">
        <v>169</v>
      </c>
      <c r="NM21" s="20">
        <v>1</v>
      </c>
      <c r="NN21" s="20">
        <v>1</v>
      </c>
      <c r="NO21" s="20">
        <v>1</v>
      </c>
      <c r="NP21" s="20">
        <v>1</v>
      </c>
      <c r="NQ21" s="20">
        <v>0</v>
      </c>
      <c r="NR21" s="20">
        <v>1</v>
      </c>
      <c r="NS21" s="20">
        <v>1</v>
      </c>
      <c r="NT21" s="20">
        <v>1</v>
      </c>
      <c r="NX21" s="20">
        <v>7.39</v>
      </c>
      <c r="NY21" s="20">
        <v>9</v>
      </c>
      <c r="OB21" s="20">
        <v>17</v>
      </c>
      <c r="OC21" s="20" t="s">
        <v>15</v>
      </c>
      <c r="OD21" s="20" t="s">
        <v>20</v>
      </c>
      <c r="OE21" s="33">
        <v>4</v>
      </c>
      <c r="OF21" s="20">
        <v>7</v>
      </c>
      <c r="OG21" s="20">
        <v>4</v>
      </c>
      <c r="OH21" s="20" t="s">
        <v>226</v>
      </c>
      <c r="OI21" s="20" t="s">
        <v>171</v>
      </c>
      <c r="OJ21" s="20">
        <v>20</v>
      </c>
      <c r="OK21" s="20">
        <v>9</v>
      </c>
      <c r="OL21" s="20">
        <v>11</v>
      </c>
      <c r="OM21" s="20">
        <v>16</v>
      </c>
      <c r="ON21" s="20" t="s">
        <v>416</v>
      </c>
      <c r="OO21" s="34">
        <v>1</v>
      </c>
      <c r="OP21" s="20">
        <v>12</v>
      </c>
      <c r="OQ21" s="20">
        <v>5</v>
      </c>
      <c r="OR21" s="20" t="s">
        <v>254</v>
      </c>
      <c r="OS21" s="20" t="s">
        <v>147</v>
      </c>
      <c r="OT21" s="20">
        <v>21</v>
      </c>
      <c r="OU21" s="20">
        <v>13</v>
      </c>
      <c r="OV21" s="20">
        <v>4</v>
      </c>
      <c r="OW21" s="20">
        <v>10</v>
      </c>
      <c r="OX21" s="20" t="s">
        <v>415</v>
      </c>
      <c r="OZ21" s="20">
        <v>0</v>
      </c>
      <c r="PA21" s="20">
        <v>1</v>
      </c>
      <c r="PB21" s="20">
        <v>1</v>
      </c>
      <c r="PC21" s="20">
        <v>0</v>
      </c>
      <c r="PD21" s="20">
        <v>0</v>
      </c>
      <c r="PE21" s="20">
        <v>1</v>
      </c>
      <c r="PF21" s="20">
        <v>0</v>
      </c>
      <c r="PG21" s="20">
        <v>1</v>
      </c>
      <c r="PK21" s="20">
        <v>15.48</v>
      </c>
      <c r="PL21" s="20">
        <v>1</v>
      </c>
      <c r="PO21" s="20">
        <v>17</v>
      </c>
      <c r="PP21" s="20" t="s">
        <v>8</v>
      </c>
      <c r="PQ21" s="20" t="s">
        <v>17</v>
      </c>
      <c r="PR21" s="34">
        <v>0</v>
      </c>
      <c r="PS21" s="20">
        <v>6</v>
      </c>
      <c r="PT21" s="20">
        <v>2</v>
      </c>
      <c r="PU21" s="20" t="s">
        <v>209</v>
      </c>
      <c r="PV21" s="20" t="s">
        <v>171</v>
      </c>
      <c r="PW21" s="20">
        <v>11</v>
      </c>
      <c r="PX21" s="20">
        <v>12</v>
      </c>
      <c r="PY21" s="20">
        <v>9</v>
      </c>
      <c r="PZ21" s="20">
        <v>11</v>
      </c>
      <c r="QA21" s="20" t="s">
        <v>278</v>
      </c>
      <c r="QB21" s="33">
        <v>1</v>
      </c>
      <c r="QC21" s="20">
        <v>9</v>
      </c>
      <c r="QD21" s="20">
        <v>3</v>
      </c>
      <c r="QE21" s="20" t="s">
        <v>209</v>
      </c>
      <c r="QF21" s="20" t="s">
        <v>171</v>
      </c>
      <c r="QG21" s="20">
        <v>19</v>
      </c>
      <c r="QH21" s="20">
        <v>9</v>
      </c>
      <c r="QI21" s="20">
        <v>5</v>
      </c>
      <c r="QJ21" s="20">
        <v>8</v>
      </c>
      <c r="QK21" s="20" t="s">
        <v>277</v>
      </c>
      <c r="QM21" s="20">
        <v>1</v>
      </c>
      <c r="QN21" s="20">
        <v>0</v>
      </c>
      <c r="QO21" s="20">
        <v>0</v>
      </c>
      <c r="QP21" s="20">
        <v>1</v>
      </c>
      <c r="QQ21" s="20">
        <v>0</v>
      </c>
      <c r="QR21" s="20">
        <v>0</v>
      </c>
      <c r="QS21" s="20">
        <v>1</v>
      </c>
      <c r="QT21" s="20">
        <v>1</v>
      </c>
      <c r="QX21" s="20">
        <v>0</v>
      </c>
      <c r="QY21" s="20">
        <v>8</v>
      </c>
      <c r="RB21" s="20">
        <v>17</v>
      </c>
      <c r="RC21" s="20" t="s">
        <v>11</v>
      </c>
      <c r="RD21" s="20" t="s">
        <v>18</v>
      </c>
      <c r="RE21" s="34">
        <v>0</v>
      </c>
      <c r="RF21" s="20">
        <v>12</v>
      </c>
      <c r="RG21" s="20">
        <v>1</v>
      </c>
      <c r="RH21" s="20" t="s">
        <v>185</v>
      </c>
      <c r="RI21" s="20" t="s">
        <v>179</v>
      </c>
      <c r="RJ21" s="20">
        <v>15</v>
      </c>
      <c r="RK21" s="20">
        <v>5</v>
      </c>
      <c r="RL21" s="20">
        <v>12</v>
      </c>
      <c r="RM21" s="20">
        <v>13</v>
      </c>
      <c r="RN21" s="20" t="s">
        <v>150</v>
      </c>
      <c r="RO21" s="33">
        <v>2</v>
      </c>
      <c r="RP21" s="20">
        <v>15</v>
      </c>
      <c r="RQ21" s="20">
        <v>10</v>
      </c>
      <c r="RR21" s="20" t="s">
        <v>192</v>
      </c>
      <c r="RS21" s="20" t="s">
        <v>134</v>
      </c>
      <c r="RT21" s="20">
        <v>29</v>
      </c>
      <c r="RU21" s="20">
        <v>13</v>
      </c>
      <c r="RV21" s="20">
        <v>7</v>
      </c>
      <c r="RW21" s="20">
        <v>8</v>
      </c>
      <c r="RX21" s="20" t="s">
        <v>148</v>
      </c>
      <c r="RZ21" s="20">
        <v>1</v>
      </c>
      <c r="SA21" s="20">
        <v>1</v>
      </c>
      <c r="SB21" s="20">
        <v>0</v>
      </c>
      <c r="SC21" s="20">
        <v>1</v>
      </c>
      <c r="SD21" s="20">
        <v>1</v>
      </c>
      <c r="SE21" s="20">
        <v>0</v>
      </c>
      <c r="SF21" s="20">
        <v>1</v>
      </c>
      <c r="SG21" s="20">
        <v>0</v>
      </c>
      <c r="SK21" s="20">
        <v>58.33</v>
      </c>
      <c r="SL21" s="20">
        <v>14</v>
      </c>
      <c r="SO21" s="20">
        <v>17</v>
      </c>
      <c r="SP21" s="20" t="s">
        <v>19</v>
      </c>
      <c r="SQ21" s="20" t="s">
        <v>34</v>
      </c>
      <c r="SR21" s="33">
        <v>2</v>
      </c>
      <c r="SS21" s="20">
        <v>15</v>
      </c>
      <c r="ST21" s="20">
        <v>5</v>
      </c>
      <c r="SU21" s="20" t="s">
        <v>209</v>
      </c>
      <c r="SV21" s="20" t="s">
        <v>151</v>
      </c>
      <c r="SW21" s="20">
        <v>19</v>
      </c>
      <c r="SX21" s="20">
        <v>29</v>
      </c>
      <c r="SY21" s="20">
        <v>2</v>
      </c>
      <c r="SZ21" s="20">
        <v>9</v>
      </c>
      <c r="TA21" s="20" t="s">
        <v>448</v>
      </c>
      <c r="TB21" s="34">
        <v>0</v>
      </c>
      <c r="TC21" s="20">
        <v>6</v>
      </c>
      <c r="TD21" s="20">
        <v>0</v>
      </c>
      <c r="TE21" s="20" t="s">
        <v>116</v>
      </c>
      <c r="TF21" s="20" t="s">
        <v>446</v>
      </c>
      <c r="TG21" s="20">
        <v>14</v>
      </c>
      <c r="TH21" s="20">
        <v>17</v>
      </c>
      <c r="TI21" s="20">
        <v>8</v>
      </c>
      <c r="TJ21" s="20">
        <v>11</v>
      </c>
      <c r="TK21" s="20" t="s">
        <v>447</v>
      </c>
      <c r="TM21" s="20">
        <v>1</v>
      </c>
      <c r="TN21" s="20">
        <v>1</v>
      </c>
      <c r="TO21" s="20">
        <v>1</v>
      </c>
      <c r="TP21" s="20">
        <v>1</v>
      </c>
      <c r="TQ21" s="20">
        <v>1</v>
      </c>
      <c r="TR21" s="20">
        <v>0</v>
      </c>
      <c r="TS21" s="20">
        <v>1</v>
      </c>
      <c r="TT21" s="20">
        <v>1</v>
      </c>
      <c r="TX21" s="20">
        <v>33.33</v>
      </c>
      <c r="TY21" s="20">
        <v>5</v>
      </c>
      <c r="UB21" s="20">
        <v>17</v>
      </c>
      <c r="UC21" s="20" t="s">
        <v>22</v>
      </c>
      <c r="UD21" s="20" t="s">
        <v>16</v>
      </c>
      <c r="UE21" s="32">
        <v>0</v>
      </c>
      <c r="UF21" s="20">
        <v>10</v>
      </c>
      <c r="UG21" s="20">
        <v>3</v>
      </c>
      <c r="UH21" s="20" t="s">
        <v>237</v>
      </c>
      <c r="UI21" s="20" t="s">
        <v>203</v>
      </c>
      <c r="UJ21" s="20">
        <v>23</v>
      </c>
      <c r="UK21" s="20">
        <v>14</v>
      </c>
      <c r="UL21" s="20">
        <v>2</v>
      </c>
      <c r="UM21" s="20">
        <v>9</v>
      </c>
      <c r="UN21" s="20" t="s">
        <v>453</v>
      </c>
      <c r="UO21" s="32">
        <v>0</v>
      </c>
      <c r="UP21" s="20">
        <v>15</v>
      </c>
      <c r="UQ21" s="20">
        <v>5</v>
      </c>
      <c r="UR21" s="20" t="s">
        <v>209</v>
      </c>
      <c r="US21" s="20" t="s">
        <v>147</v>
      </c>
      <c r="UT21" s="20">
        <v>13</v>
      </c>
      <c r="UU21" s="20">
        <v>14</v>
      </c>
      <c r="UV21" s="20">
        <v>8</v>
      </c>
      <c r="UW21" s="20">
        <v>19</v>
      </c>
      <c r="UX21" s="20" t="s">
        <v>454</v>
      </c>
      <c r="UZ21" s="32">
        <v>1</v>
      </c>
      <c r="VA21" s="32">
        <v>1</v>
      </c>
      <c r="VB21" s="32">
        <v>0</v>
      </c>
      <c r="VC21" s="32">
        <v>0</v>
      </c>
      <c r="VD21" s="32">
        <v>0</v>
      </c>
      <c r="VE21" s="32">
        <v>1</v>
      </c>
      <c r="VF21" s="32">
        <v>0</v>
      </c>
      <c r="VG21" s="32">
        <v>1</v>
      </c>
      <c r="VK21" s="32">
        <v>3.33</v>
      </c>
      <c r="VL21" s="32">
        <v>10</v>
      </c>
      <c r="VO21" s="20">
        <v>17</v>
      </c>
      <c r="VP21" s="20" t="s">
        <v>15</v>
      </c>
      <c r="VQ21" s="20" t="s">
        <v>20</v>
      </c>
      <c r="VR21" s="34">
        <v>1</v>
      </c>
      <c r="VS21" s="20">
        <v>12</v>
      </c>
      <c r="VT21" s="20">
        <v>5</v>
      </c>
      <c r="VU21" s="20" t="s">
        <v>254</v>
      </c>
      <c r="VV21" s="20" t="s">
        <v>147</v>
      </c>
      <c r="VW21" s="20">
        <v>21</v>
      </c>
      <c r="VX21" s="20">
        <v>13</v>
      </c>
      <c r="VY21" s="20">
        <v>4</v>
      </c>
      <c r="VZ21" s="20">
        <v>10</v>
      </c>
      <c r="WA21" s="20" t="s">
        <v>415</v>
      </c>
      <c r="WB21" s="33">
        <v>4</v>
      </c>
      <c r="WC21" s="20">
        <v>7</v>
      </c>
      <c r="WD21" s="20">
        <v>4</v>
      </c>
      <c r="WE21" s="20" t="s">
        <v>226</v>
      </c>
      <c r="WF21" s="20" t="s">
        <v>171</v>
      </c>
      <c r="WG21" s="20">
        <v>20</v>
      </c>
      <c r="WH21" s="20">
        <v>9</v>
      </c>
      <c r="WI21" s="20">
        <v>11</v>
      </c>
      <c r="WJ21" s="20">
        <v>16</v>
      </c>
      <c r="WK21" s="20" t="s">
        <v>416</v>
      </c>
      <c r="WM21" s="20">
        <v>0</v>
      </c>
      <c r="WN21" s="20">
        <v>1</v>
      </c>
      <c r="WO21" s="20">
        <v>1</v>
      </c>
      <c r="WP21" s="20">
        <v>0</v>
      </c>
      <c r="WQ21" s="20">
        <v>0</v>
      </c>
      <c r="WR21" s="20">
        <v>1</v>
      </c>
      <c r="WS21" s="20">
        <v>0</v>
      </c>
      <c r="WT21" s="20">
        <v>1</v>
      </c>
      <c r="WX21" s="20">
        <v>15.48</v>
      </c>
      <c r="WY21" s="20">
        <v>1</v>
      </c>
      <c r="XB21" s="20">
        <v>17</v>
      </c>
      <c r="XC21" s="20" t="s">
        <v>34</v>
      </c>
      <c r="XD21" s="20" t="s">
        <v>22</v>
      </c>
      <c r="XE21" s="34">
        <v>1</v>
      </c>
      <c r="XF21" s="20">
        <v>17</v>
      </c>
      <c r="XG21" s="20">
        <v>4</v>
      </c>
      <c r="XH21" s="20" t="s">
        <v>436</v>
      </c>
      <c r="XI21" s="20" t="s">
        <v>203</v>
      </c>
      <c r="XJ21" s="20">
        <v>18</v>
      </c>
      <c r="XK21" s="20">
        <v>17</v>
      </c>
      <c r="XL21" s="20">
        <v>10</v>
      </c>
      <c r="XM21" s="20">
        <v>11</v>
      </c>
      <c r="XN21" s="20" t="s">
        <v>214</v>
      </c>
      <c r="XO21" s="33">
        <v>2</v>
      </c>
      <c r="XP21" s="20">
        <v>11</v>
      </c>
      <c r="XQ21" s="20">
        <v>2</v>
      </c>
      <c r="XR21" s="20" t="s">
        <v>138</v>
      </c>
      <c r="XS21" s="20" t="s">
        <v>176</v>
      </c>
      <c r="XT21" s="20">
        <v>21</v>
      </c>
      <c r="XU21" s="20">
        <v>18</v>
      </c>
      <c r="XV21" s="20">
        <v>10</v>
      </c>
      <c r="XW21" s="20">
        <v>11</v>
      </c>
      <c r="XX21" s="20" t="s">
        <v>215</v>
      </c>
      <c r="XZ21" s="20">
        <v>0</v>
      </c>
      <c r="YA21" s="20">
        <v>0</v>
      </c>
      <c r="YB21" s="20">
        <v>1</v>
      </c>
      <c r="YC21" s="20">
        <v>1</v>
      </c>
      <c r="YD21" s="20">
        <v>1</v>
      </c>
      <c r="YE21" s="20">
        <v>1</v>
      </c>
      <c r="YF21" s="20">
        <v>1</v>
      </c>
      <c r="YG21" s="20">
        <v>1</v>
      </c>
      <c r="YK21" s="20">
        <v>5.35</v>
      </c>
      <c r="YL21" s="20">
        <v>3</v>
      </c>
      <c r="YO21" s="20">
        <v>17</v>
      </c>
      <c r="YP21" s="20" t="s">
        <v>21</v>
      </c>
      <c r="YQ21" s="20" t="s">
        <v>7</v>
      </c>
      <c r="YR21" s="34">
        <v>0</v>
      </c>
      <c r="YS21" s="20">
        <v>10</v>
      </c>
      <c r="YT21" s="20">
        <v>3</v>
      </c>
      <c r="YU21" s="20" t="s">
        <v>237</v>
      </c>
      <c r="YV21" s="20" t="s">
        <v>203</v>
      </c>
      <c r="YW21" s="20">
        <v>13</v>
      </c>
      <c r="YX21" s="20">
        <v>26</v>
      </c>
      <c r="YY21" s="20">
        <v>9</v>
      </c>
      <c r="YZ21" s="20">
        <v>9</v>
      </c>
      <c r="ZA21" s="20" t="s">
        <v>299</v>
      </c>
      <c r="ZB21" s="33">
        <v>2</v>
      </c>
      <c r="ZC21" s="20">
        <v>17</v>
      </c>
      <c r="ZD21" s="20">
        <v>6</v>
      </c>
      <c r="ZE21" s="20" t="s">
        <v>243</v>
      </c>
      <c r="ZF21" s="20" t="s">
        <v>280</v>
      </c>
      <c r="ZG21" s="20">
        <v>16</v>
      </c>
      <c r="ZH21" s="20">
        <v>18</v>
      </c>
      <c r="ZI21" s="20">
        <v>9</v>
      </c>
      <c r="ZJ21" s="20">
        <v>8</v>
      </c>
      <c r="ZK21" s="20" t="s">
        <v>300</v>
      </c>
      <c r="ZM21" s="20">
        <v>1</v>
      </c>
      <c r="ZN21" s="20">
        <v>1</v>
      </c>
      <c r="ZO21" s="20">
        <v>0</v>
      </c>
      <c r="ZP21" s="20">
        <v>1</v>
      </c>
      <c r="ZQ21" s="20">
        <v>0</v>
      </c>
      <c r="ZR21" s="20">
        <v>1</v>
      </c>
      <c r="ZS21" s="20">
        <v>1</v>
      </c>
      <c r="ZT21" s="20">
        <v>0</v>
      </c>
      <c r="ZX21" s="20">
        <v>5.29</v>
      </c>
      <c r="ZY21" s="20">
        <v>3</v>
      </c>
      <c r="AAB21" s="20">
        <v>17</v>
      </c>
      <c r="AAC21" s="20" t="s">
        <v>22</v>
      </c>
      <c r="AAD21" s="20" t="s">
        <v>16</v>
      </c>
      <c r="AAE21" s="32">
        <v>0</v>
      </c>
      <c r="AAF21" s="20">
        <v>15</v>
      </c>
      <c r="AAG21" s="20">
        <v>5</v>
      </c>
      <c r="AAH21" s="20" t="s">
        <v>209</v>
      </c>
      <c r="AAI21" s="20" t="s">
        <v>147</v>
      </c>
      <c r="AAJ21" s="20">
        <v>13</v>
      </c>
      <c r="AAK21" s="20">
        <v>14</v>
      </c>
      <c r="AAL21" s="20">
        <v>8</v>
      </c>
      <c r="AAM21" s="20">
        <v>19</v>
      </c>
      <c r="AAN21" s="20" t="s">
        <v>454</v>
      </c>
      <c r="AAO21" s="32">
        <v>0</v>
      </c>
      <c r="AAP21" s="20">
        <v>10</v>
      </c>
      <c r="AAQ21" s="20">
        <v>3</v>
      </c>
      <c r="AAR21" s="20" t="s">
        <v>237</v>
      </c>
      <c r="AAS21" s="20" t="s">
        <v>203</v>
      </c>
      <c r="AAT21" s="20">
        <v>23</v>
      </c>
      <c r="AAU21" s="20">
        <v>14</v>
      </c>
      <c r="AAV21" s="20">
        <v>2</v>
      </c>
      <c r="AAW21" s="20">
        <v>9</v>
      </c>
      <c r="AAX21" s="20" t="s">
        <v>453</v>
      </c>
      <c r="AAZ21" s="32">
        <v>1</v>
      </c>
      <c r="ABA21" s="32">
        <v>1</v>
      </c>
      <c r="ABB21" s="32">
        <v>0</v>
      </c>
      <c r="ABC21" s="32">
        <v>0</v>
      </c>
      <c r="ABD21" s="32">
        <v>0</v>
      </c>
      <c r="ABE21" s="32">
        <v>1</v>
      </c>
      <c r="ABF21" s="32">
        <v>0</v>
      </c>
      <c r="ABG21" s="32">
        <v>1</v>
      </c>
      <c r="ABK21" s="32">
        <v>3.33</v>
      </c>
      <c r="ABL21" s="32">
        <v>10</v>
      </c>
      <c r="ABO21" s="20">
        <v>17</v>
      </c>
      <c r="ABP21" s="20" t="s">
        <v>23</v>
      </c>
      <c r="ABQ21" s="20" t="s">
        <v>12</v>
      </c>
      <c r="ABR21" s="34">
        <v>0</v>
      </c>
      <c r="ABS21" s="20">
        <v>7</v>
      </c>
      <c r="ABT21" s="20">
        <v>1</v>
      </c>
      <c r="ABU21" s="20" t="s">
        <v>164</v>
      </c>
      <c r="ABV21" s="20" t="s">
        <v>156</v>
      </c>
      <c r="ABW21" s="20">
        <v>11</v>
      </c>
      <c r="ABX21" s="20">
        <v>18</v>
      </c>
      <c r="ABY21" s="20">
        <v>6</v>
      </c>
      <c r="ABZ21" s="20">
        <v>8</v>
      </c>
      <c r="ACA21" s="20" t="s">
        <v>152</v>
      </c>
      <c r="ACB21" s="33">
        <v>1</v>
      </c>
      <c r="ACC21" s="20">
        <v>10</v>
      </c>
      <c r="ACD21" s="20">
        <v>6</v>
      </c>
      <c r="ACE21" s="20" t="s">
        <v>173</v>
      </c>
      <c r="ACF21" s="20" t="s">
        <v>176</v>
      </c>
      <c r="ACG21" s="20">
        <v>14</v>
      </c>
      <c r="ACH21" s="20">
        <v>7</v>
      </c>
      <c r="ACI21" s="20">
        <v>3</v>
      </c>
      <c r="ACJ21" s="20">
        <v>9</v>
      </c>
      <c r="ACK21" s="20" t="s">
        <v>155</v>
      </c>
      <c r="ACM21" s="20">
        <v>1</v>
      </c>
      <c r="ACN21" s="20">
        <v>1</v>
      </c>
      <c r="ACO21" s="20">
        <v>1</v>
      </c>
      <c r="ACP21" s="20">
        <v>1</v>
      </c>
      <c r="ACQ21" s="20">
        <v>0</v>
      </c>
      <c r="ACR21" s="20">
        <v>0</v>
      </c>
      <c r="ACS21" s="20">
        <v>0</v>
      </c>
      <c r="ACT21" s="20">
        <v>1</v>
      </c>
      <c r="ACX21" s="20">
        <v>45.71</v>
      </c>
      <c r="ACY21" s="20">
        <v>3</v>
      </c>
    </row>
    <row r="22" spans="1:779" x14ac:dyDescent="0.3">
      <c r="A22" s="27">
        <f>E22/G22</f>
        <v>0.5</v>
      </c>
      <c r="B22" s="20">
        <v>18</v>
      </c>
      <c r="C22" s="20" t="s">
        <v>5</v>
      </c>
      <c r="D22" s="20" t="s">
        <v>20</v>
      </c>
      <c r="E22" s="29">
        <v>4</v>
      </c>
      <c r="F22" s="20">
        <v>17</v>
      </c>
      <c r="G22" s="30">
        <v>8</v>
      </c>
      <c r="H22" s="27">
        <v>0.47060000000000002</v>
      </c>
      <c r="I22" s="28">
        <v>0.86</v>
      </c>
      <c r="J22" s="20">
        <v>14</v>
      </c>
      <c r="K22" s="20">
        <v>5</v>
      </c>
      <c r="L22" s="20">
        <v>9</v>
      </c>
      <c r="M22" s="30">
        <v>8</v>
      </c>
      <c r="N22" s="27">
        <v>0.66500000000000004</v>
      </c>
      <c r="O22" s="31">
        <v>0</v>
      </c>
      <c r="P22" s="20">
        <v>8</v>
      </c>
      <c r="Q22" s="30">
        <v>4</v>
      </c>
      <c r="R22" s="27">
        <v>0.5</v>
      </c>
      <c r="S22" s="28">
        <v>0.77</v>
      </c>
      <c r="T22" s="20">
        <v>21</v>
      </c>
      <c r="U22" s="20">
        <v>7</v>
      </c>
      <c r="V22" s="20">
        <v>9</v>
      </c>
      <c r="W22" s="30">
        <v>5</v>
      </c>
      <c r="X22" s="27">
        <v>0.33500000000000002</v>
      </c>
      <c r="Z22" s="20">
        <v>1</v>
      </c>
      <c r="AA22" s="20">
        <v>0</v>
      </c>
      <c r="AB22" s="20">
        <v>1</v>
      </c>
      <c r="AC22" s="20">
        <v>0</v>
      </c>
      <c r="AD22" s="20">
        <v>0</v>
      </c>
      <c r="AE22" s="20">
        <v>0</v>
      </c>
      <c r="AF22" s="20">
        <v>0</v>
      </c>
      <c r="AG22" s="20">
        <v>1</v>
      </c>
      <c r="AK22" s="20">
        <v>2.94</v>
      </c>
      <c r="AL22" s="20">
        <v>7</v>
      </c>
      <c r="AM22" s="20"/>
      <c r="AN22" s="20"/>
      <c r="AO22" s="20">
        <v>18</v>
      </c>
      <c r="AP22" s="20" t="s">
        <v>17</v>
      </c>
      <c r="AQ22" s="20" t="s">
        <v>6</v>
      </c>
      <c r="AR22" s="32">
        <v>2</v>
      </c>
      <c r="AS22" s="30">
        <v>17</v>
      </c>
      <c r="AT22" s="30">
        <v>4</v>
      </c>
      <c r="AU22" s="27">
        <v>0.23530000000000001</v>
      </c>
      <c r="AV22" s="28">
        <v>0.87</v>
      </c>
      <c r="AW22" s="20">
        <v>19</v>
      </c>
      <c r="AX22" s="20">
        <v>8</v>
      </c>
      <c r="AY22" s="30">
        <v>17</v>
      </c>
      <c r="AZ22" s="20">
        <v>10</v>
      </c>
      <c r="BA22" s="27">
        <v>0.53200000000000003</v>
      </c>
      <c r="BB22" s="32">
        <v>2</v>
      </c>
      <c r="BC22" s="20">
        <v>12</v>
      </c>
      <c r="BD22" s="20">
        <v>4</v>
      </c>
      <c r="BE22" s="20" t="s">
        <v>209</v>
      </c>
      <c r="BF22" s="20" t="s">
        <v>120</v>
      </c>
      <c r="BG22" s="20">
        <v>17</v>
      </c>
      <c r="BH22" s="20">
        <v>6</v>
      </c>
      <c r="BI22" s="20">
        <v>6</v>
      </c>
      <c r="BJ22" s="20">
        <v>13</v>
      </c>
      <c r="BK22" s="20" t="s">
        <v>438</v>
      </c>
      <c r="BM22" s="32">
        <v>1</v>
      </c>
      <c r="BN22" s="32">
        <v>0</v>
      </c>
      <c r="BO22" s="32">
        <v>1</v>
      </c>
      <c r="BP22" s="32">
        <v>1</v>
      </c>
      <c r="BQ22" s="32">
        <v>1</v>
      </c>
      <c r="BR22" s="32">
        <v>1</v>
      </c>
      <c r="BS22" s="32">
        <v>1</v>
      </c>
      <c r="BT22" s="32">
        <v>1</v>
      </c>
      <c r="BX22" s="32">
        <v>9.8000000000000007</v>
      </c>
      <c r="BY22" s="32">
        <v>2</v>
      </c>
      <c r="BZ22" s="20"/>
      <c r="CA22" s="20"/>
      <c r="CB22" s="20">
        <v>18</v>
      </c>
      <c r="CC22" s="20" t="s">
        <v>7</v>
      </c>
      <c r="CD22" s="20" t="s">
        <v>23</v>
      </c>
      <c r="CE22" s="33">
        <v>1</v>
      </c>
      <c r="CF22" s="20">
        <v>16</v>
      </c>
      <c r="CG22" s="20">
        <v>2</v>
      </c>
      <c r="CH22" s="20" t="s">
        <v>122</v>
      </c>
      <c r="CI22" s="20" t="s">
        <v>134</v>
      </c>
      <c r="CJ22" s="20">
        <v>31</v>
      </c>
      <c r="CK22" s="20">
        <v>16</v>
      </c>
      <c r="CL22" s="20">
        <v>13</v>
      </c>
      <c r="CM22" s="20">
        <v>12</v>
      </c>
      <c r="CN22" s="20" t="s">
        <v>455</v>
      </c>
      <c r="CO22" s="34">
        <v>0</v>
      </c>
      <c r="CP22" s="20">
        <v>9</v>
      </c>
      <c r="CQ22" s="20">
        <v>1</v>
      </c>
      <c r="CR22" s="20" t="s">
        <v>175</v>
      </c>
      <c r="CS22" s="20" t="s">
        <v>123</v>
      </c>
      <c r="CT22" s="20">
        <v>20</v>
      </c>
      <c r="CU22" s="20">
        <v>19</v>
      </c>
      <c r="CV22" s="20">
        <v>15</v>
      </c>
      <c r="CW22" s="20">
        <v>16</v>
      </c>
      <c r="CX22" s="20" t="s">
        <v>456</v>
      </c>
      <c r="CZ22" s="20">
        <v>1</v>
      </c>
      <c r="DA22" s="20">
        <v>1</v>
      </c>
      <c r="DB22" s="20">
        <v>1</v>
      </c>
      <c r="DC22" s="20">
        <v>1</v>
      </c>
      <c r="DD22" s="20">
        <v>0</v>
      </c>
      <c r="DE22" s="20">
        <v>0</v>
      </c>
      <c r="DF22" s="20">
        <v>1</v>
      </c>
      <c r="DG22" s="20">
        <v>1</v>
      </c>
      <c r="DK22" s="20">
        <v>1.39</v>
      </c>
      <c r="DL22" s="20">
        <v>11</v>
      </c>
      <c r="DO22" s="20">
        <v>18</v>
      </c>
      <c r="DP22" s="20" t="s">
        <v>16</v>
      </c>
      <c r="DQ22" s="20" t="s">
        <v>8</v>
      </c>
      <c r="DR22" s="33">
        <v>2</v>
      </c>
      <c r="DS22" s="20">
        <v>6</v>
      </c>
      <c r="DT22" s="20">
        <v>4</v>
      </c>
      <c r="DU22" s="20" t="s">
        <v>192</v>
      </c>
      <c r="DV22" s="20" t="s">
        <v>203</v>
      </c>
      <c r="DW22" s="20">
        <v>15</v>
      </c>
      <c r="DX22" s="20">
        <v>14</v>
      </c>
      <c r="DY22" s="20">
        <v>6</v>
      </c>
      <c r="DZ22" s="20">
        <v>8</v>
      </c>
      <c r="EA22" s="20" t="s">
        <v>457</v>
      </c>
      <c r="EB22" s="34">
        <v>1</v>
      </c>
      <c r="EC22" s="20">
        <v>11</v>
      </c>
      <c r="ED22" s="20">
        <v>4</v>
      </c>
      <c r="EE22" s="20" t="s">
        <v>249</v>
      </c>
      <c r="EF22" s="20" t="s">
        <v>123</v>
      </c>
      <c r="EG22" s="20">
        <v>19</v>
      </c>
      <c r="EH22" s="20">
        <v>14</v>
      </c>
      <c r="EI22" s="20">
        <v>6</v>
      </c>
      <c r="EJ22" s="20">
        <v>9</v>
      </c>
      <c r="EK22" s="20" t="s">
        <v>458</v>
      </c>
      <c r="EM22" s="20">
        <v>1</v>
      </c>
      <c r="EN22" s="20">
        <v>1</v>
      </c>
      <c r="EO22" s="20">
        <v>0</v>
      </c>
      <c r="EP22" s="20">
        <v>0</v>
      </c>
      <c r="EQ22" s="20">
        <v>1</v>
      </c>
      <c r="ER22" s="20">
        <v>1</v>
      </c>
      <c r="ES22" s="20">
        <v>1</v>
      </c>
      <c r="ET22" s="20">
        <v>0</v>
      </c>
      <c r="EX22" s="20">
        <v>30.3</v>
      </c>
      <c r="EY22" s="20">
        <v>4</v>
      </c>
      <c r="FB22" s="20">
        <v>18</v>
      </c>
      <c r="FC22" s="20" t="s">
        <v>9</v>
      </c>
      <c r="FD22" s="20" t="s">
        <v>15</v>
      </c>
      <c r="FE22" s="32">
        <v>2</v>
      </c>
      <c r="FF22" s="20">
        <v>15</v>
      </c>
      <c r="FG22" s="20">
        <v>5</v>
      </c>
      <c r="FH22" s="20" t="s">
        <v>209</v>
      </c>
      <c r="FI22" s="20" t="s">
        <v>139</v>
      </c>
      <c r="FJ22" s="20">
        <v>26</v>
      </c>
      <c r="FK22" s="20">
        <v>23</v>
      </c>
      <c r="FL22" s="20">
        <v>8</v>
      </c>
      <c r="FM22" s="20">
        <v>8</v>
      </c>
      <c r="FN22" s="20" t="s">
        <v>341</v>
      </c>
      <c r="FO22" s="32">
        <v>2</v>
      </c>
      <c r="FP22" s="20">
        <v>12</v>
      </c>
      <c r="FQ22" s="20">
        <v>5</v>
      </c>
      <c r="FR22" s="20" t="s">
        <v>254</v>
      </c>
      <c r="FS22" s="20" t="s">
        <v>144</v>
      </c>
      <c r="FT22" s="20">
        <v>19</v>
      </c>
      <c r="FU22" s="20">
        <v>22</v>
      </c>
      <c r="FV22" s="20">
        <v>10</v>
      </c>
      <c r="FW22" s="20">
        <v>16</v>
      </c>
      <c r="FX22" s="20" t="s">
        <v>340</v>
      </c>
      <c r="FZ22" s="32">
        <v>0</v>
      </c>
      <c r="GA22" s="32">
        <v>0</v>
      </c>
      <c r="GB22" s="32">
        <v>0</v>
      </c>
      <c r="GC22" s="32">
        <v>1</v>
      </c>
      <c r="GD22" s="32">
        <v>1</v>
      </c>
      <c r="GE22" s="32">
        <v>0</v>
      </c>
      <c r="GF22" s="32">
        <v>1</v>
      </c>
      <c r="GG22" s="32">
        <v>0</v>
      </c>
      <c r="GK22" s="32">
        <v>8.33</v>
      </c>
      <c r="GL22" s="32">
        <v>7</v>
      </c>
      <c r="GO22" s="20">
        <v>18</v>
      </c>
      <c r="GP22" s="20" t="s">
        <v>12</v>
      </c>
      <c r="GQ22" s="20" t="s">
        <v>10</v>
      </c>
      <c r="GR22" s="34">
        <v>0</v>
      </c>
      <c r="GS22" s="20">
        <v>8</v>
      </c>
      <c r="GT22" s="20">
        <v>1</v>
      </c>
      <c r="GU22" s="20" t="s">
        <v>122</v>
      </c>
      <c r="GV22" s="20" t="s">
        <v>161</v>
      </c>
      <c r="GW22" s="20">
        <v>19</v>
      </c>
      <c r="GX22" s="20">
        <v>12</v>
      </c>
      <c r="GY22" s="20">
        <v>5</v>
      </c>
      <c r="GZ22" s="20">
        <v>9</v>
      </c>
      <c r="HA22" s="20" t="s">
        <v>454</v>
      </c>
      <c r="HB22" s="33">
        <v>2</v>
      </c>
      <c r="HC22" s="20">
        <v>14</v>
      </c>
      <c r="HD22" s="20">
        <v>4</v>
      </c>
      <c r="HE22" s="20" t="s">
        <v>170</v>
      </c>
      <c r="HF22" s="20" t="s">
        <v>203</v>
      </c>
      <c r="HG22" s="20">
        <v>25</v>
      </c>
      <c r="HH22" s="20">
        <v>14</v>
      </c>
      <c r="HI22" s="20">
        <v>10</v>
      </c>
      <c r="HJ22" s="20">
        <v>12</v>
      </c>
      <c r="HK22" s="20" t="s">
        <v>453</v>
      </c>
      <c r="HM22" s="20">
        <v>1</v>
      </c>
      <c r="HN22" s="20">
        <v>1</v>
      </c>
      <c r="HO22" s="20">
        <v>0</v>
      </c>
      <c r="HP22" s="20">
        <v>1</v>
      </c>
      <c r="HQ22" s="20">
        <v>1</v>
      </c>
      <c r="HR22" s="20">
        <v>1</v>
      </c>
      <c r="HS22" s="20">
        <v>0</v>
      </c>
      <c r="HT22" s="20">
        <v>0</v>
      </c>
      <c r="HX22" s="20">
        <v>16.07</v>
      </c>
      <c r="HY22" s="20">
        <v>6</v>
      </c>
      <c r="IB22" s="20">
        <v>18</v>
      </c>
      <c r="IC22" s="20" t="s">
        <v>20</v>
      </c>
      <c r="ID22" s="20" t="s">
        <v>11</v>
      </c>
      <c r="IE22" s="34">
        <v>1</v>
      </c>
      <c r="IF22" s="20">
        <v>14</v>
      </c>
      <c r="IG22" s="20">
        <v>6</v>
      </c>
      <c r="IH22" s="20" t="s">
        <v>207</v>
      </c>
      <c r="II22" s="20" t="s">
        <v>129</v>
      </c>
      <c r="IJ22" s="20">
        <v>11</v>
      </c>
      <c r="IK22" s="20">
        <v>22</v>
      </c>
      <c r="IL22" s="20">
        <v>8</v>
      </c>
      <c r="IM22" s="20">
        <v>8</v>
      </c>
      <c r="IN22" s="20" t="s">
        <v>459</v>
      </c>
      <c r="IO22" s="33">
        <v>2</v>
      </c>
      <c r="IP22" s="20">
        <v>9</v>
      </c>
      <c r="IQ22" s="20">
        <v>4</v>
      </c>
      <c r="IR22" s="20" t="s">
        <v>197</v>
      </c>
      <c r="IS22" s="20" t="s">
        <v>139</v>
      </c>
      <c r="IT22" s="20">
        <v>13</v>
      </c>
      <c r="IU22" s="20">
        <v>7</v>
      </c>
      <c r="IV22" s="20">
        <v>5</v>
      </c>
      <c r="IW22" s="20">
        <v>5</v>
      </c>
      <c r="IX22" s="20" t="s">
        <v>460</v>
      </c>
      <c r="IZ22" s="20">
        <v>0</v>
      </c>
      <c r="JA22" s="20">
        <v>1</v>
      </c>
      <c r="JB22" s="20">
        <v>0</v>
      </c>
      <c r="JC22" s="20">
        <v>1</v>
      </c>
      <c r="JD22" s="20">
        <v>0</v>
      </c>
      <c r="JE22" s="20">
        <v>0</v>
      </c>
      <c r="JF22" s="20">
        <v>1</v>
      </c>
      <c r="JG22" s="20">
        <v>0</v>
      </c>
      <c r="JK22" s="20">
        <v>1.59</v>
      </c>
      <c r="JL22" s="20">
        <v>2</v>
      </c>
      <c r="JO22" s="20">
        <v>18</v>
      </c>
      <c r="JP22" s="20" t="s">
        <v>12</v>
      </c>
      <c r="JQ22" s="20" t="s">
        <v>10</v>
      </c>
      <c r="JR22" s="33">
        <v>2</v>
      </c>
      <c r="JS22" s="20">
        <v>14</v>
      </c>
      <c r="JT22" s="20">
        <v>4</v>
      </c>
      <c r="JU22" s="20" t="s">
        <v>170</v>
      </c>
      <c r="JV22" s="20" t="s">
        <v>203</v>
      </c>
      <c r="JW22" s="20">
        <v>25</v>
      </c>
      <c r="JX22" s="20">
        <v>14</v>
      </c>
      <c r="JY22" s="20">
        <v>10</v>
      </c>
      <c r="JZ22" s="20">
        <v>12</v>
      </c>
      <c r="KA22" s="20" t="s">
        <v>453</v>
      </c>
      <c r="KB22" s="34">
        <v>0</v>
      </c>
      <c r="KC22" s="20">
        <v>8</v>
      </c>
      <c r="KD22" s="20">
        <v>1</v>
      </c>
      <c r="KE22" s="20" t="s">
        <v>122</v>
      </c>
      <c r="KF22" s="20" t="s">
        <v>161</v>
      </c>
      <c r="KG22" s="20">
        <v>19</v>
      </c>
      <c r="KH22" s="20">
        <v>12</v>
      </c>
      <c r="KI22" s="20">
        <v>5</v>
      </c>
      <c r="KJ22" s="20">
        <v>9</v>
      </c>
      <c r="KK22" s="20" t="s">
        <v>454</v>
      </c>
      <c r="KM22" s="20">
        <v>1</v>
      </c>
      <c r="KN22" s="20">
        <v>1</v>
      </c>
      <c r="KO22" s="20">
        <v>0</v>
      </c>
      <c r="KP22" s="20">
        <v>1</v>
      </c>
      <c r="KQ22" s="20">
        <v>1</v>
      </c>
      <c r="KR22" s="20">
        <v>1</v>
      </c>
      <c r="KS22" s="20">
        <v>0</v>
      </c>
      <c r="KT22" s="20">
        <v>0</v>
      </c>
      <c r="KX22" s="20">
        <v>16.07</v>
      </c>
      <c r="KY22" s="20">
        <v>6</v>
      </c>
      <c r="LB22" s="20">
        <v>18</v>
      </c>
      <c r="LC22" s="20" t="s">
        <v>21</v>
      </c>
      <c r="LD22" s="20" t="s">
        <v>13</v>
      </c>
      <c r="LE22" s="32">
        <v>2</v>
      </c>
      <c r="LF22" s="20">
        <v>15</v>
      </c>
      <c r="LG22" s="20">
        <v>7</v>
      </c>
      <c r="LH22" s="20" t="s">
        <v>461</v>
      </c>
      <c r="LI22" s="20" t="s">
        <v>219</v>
      </c>
      <c r="LJ22" s="20">
        <v>14</v>
      </c>
      <c r="LK22" s="20">
        <v>20</v>
      </c>
      <c r="LL22" s="20">
        <v>5</v>
      </c>
      <c r="LM22" s="20">
        <v>9</v>
      </c>
      <c r="LN22" s="20" t="s">
        <v>373</v>
      </c>
      <c r="LO22" s="32">
        <v>2</v>
      </c>
      <c r="LP22" s="20">
        <v>14</v>
      </c>
      <c r="LQ22" s="20">
        <v>5</v>
      </c>
      <c r="LR22" s="20" t="s">
        <v>297</v>
      </c>
      <c r="LS22" s="20" t="s">
        <v>126</v>
      </c>
      <c r="LT22" s="20">
        <v>19</v>
      </c>
      <c r="LU22" s="20">
        <v>13</v>
      </c>
      <c r="LV22" s="20">
        <v>5</v>
      </c>
      <c r="LW22" s="20">
        <v>7</v>
      </c>
      <c r="LX22" s="20" t="s">
        <v>462</v>
      </c>
      <c r="LZ22" s="32">
        <v>1</v>
      </c>
      <c r="MA22" s="32">
        <v>1</v>
      </c>
      <c r="MB22" s="32">
        <v>1</v>
      </c>
      <c r="MC22" s="32">
        <v>0</v>
      </c>
      <c r="MD22" s="32">
        <v>1</v>
      </c>
      <c r="ME22" s="32">
        <v>1</v>
      </c>
      <c r="MF22" s="32">
        <v>0</v>
      </c>
      <c r="MG22" s="32">
        <v>1</v>
      </c>
      <c r="MK22" s="32">
        <v>10.95</v>
      </c>
      <c r="ML22" s="32">
        <v>5</v>
      </c>
      <c r="MO22" s="20">
        <v>18</v>
      </c>
      <c r="MP22" s="20" t="s">
        <v>14</v>
      </c>
      <c r="MQ22" s="20" t="s">
        <v>19</v>
      </c>
      <c r="MR22" s="34">
        <v>0</v>
      </c>
      <c r="MS22" s="20">
        <v>10</v>
      </c>
      <c r="MT22" s="20">
        <v>6</v>
      </c>
      <c r="MU22" s="20" t="s">
        <v>173</v>
      </c>
      <c r="MV22" s="20" t="s">
        <v>134</v>
      </c>
      <c r="MW22" s="20">
        <v>18</v>
      </c>
      <c r="MX22" s="20">
        <v>13</v>
      </c>
      <c r="MY22" s="20">
        <v>11</v>
      </c>
      <c r="MZ22" s="20">
        <v>10</v>
      </c>
      <c r="NA22" s="20" t="s">
        <v>336</v>
      </c>
      <c r="NB22" s="33">
        <v>4</v>
      </c>
      <c r="NC22" s="20">
        <v>6</v>
      </c>
      <c r="ND22" s="20">
        <v>5</v>
      </c>
      <c r="NE22" s="20" t="s">
        <v>463</v>
      </c>
      <c r="NF22" s="20" t="s">
        <v>139</v>
      </c>
      <c r="NG22" s="20">
        <v>23</v>
      </c>
      <c r="NH22" s="20">
        <v>17</v>
      </c>
      <c r="NI22" s="20">
        <v>13</v>
      </c>
      <c r="NJ22" s="20">
        <v>13</v>
      </c>
      <c r="NK22" s="20" t="s">
        <v>338</v>
      </c>
      <c r="NM22" s="20">
        <v>0</v>
      </c>
      <c r="NN22" s="20">
        <v>1</v>
      </c>
      <c r="NO22" s="20">
        <v>0</v>
      </c>
      <c r="NP22" s="20">
        <v>1</v>
      </c>
      <c r="NQ22" s="20">
        <v>1</v>
      </c>
      <c r="NR22" s="20">
        <v>1</v>
      </c>
      <c r="NS22" s="20">
        <v>0</v>
      </c>
      <c r="NT22" s="20">
        <v>0</v>
      </c>
      <c r="NX22" s="20">
        <v>23.33</v>
      </c>
      <c r="NY22" s="20">
        <v>5</v>
      </c>
      <c r="OB22" s="20">
        <v>18</v>
      </c>
      <c r="OC22" s="20" t="s">
        <v>9</v>
      </c>
      <c r="OD22" s="20" t="s">
        <v>15</v>
      </c>
      <c r="OE22" s="32">
        <v>2</v>
      </c>
      <c r="OF22" s="20">
        <v>12</v>
      </c>
      <c r="OG22" s="20">
        <v>5</v>
      </c>
      <c r="OH22" s="20" t="s">
        <v>254</v>
      </c>
      <c r="OI22" s="20" t="s">
        <v>144</v>
      </c>
      <c r="OJ22" s="20">
        <v>19</v>
      </c>
      <c r="OK22" s="20">
        <v>22</v>
      </c>
      <c r="OL22" s="20">
        <v>10</v>
      </c>
      <c r="OM22" s="20">
        <v>16</v>
      </c>
      <c r="ON22" s="20" t="s">
        <v>340</v>
      </c>
      <c r="OO22" s="32">
        <v>2</v>
      </c>
      <c r="OP22" s="20">
        <v>15</v>
      </c>
      <c r="OQ22" s="20">
        <v>5</v>
      </c>
      <c r="OR22" s="20" t="s">
        <v>209</v>
      </c>
      <c r="OS22" s="20" t="s">
        <v>139</v>
      </c>
      <c r="OT22" s="20">
        <v>26</v>
      </c>
      <c r="OU22" s="20">
        <v>23</v>
      </c>
      <c r="OV22" s="20">
        <v>8</v>
      </c>
      <c r="OW22" s="20">
        <v>8</v>
      </c>
      <c r="OX22" s="20" t="s">
        <v>341</v>
      </c>
      <c r="OZ22" s="32">
        <v>0</v>
      </c>
      <c r="PA22" s="32">
        <v>0</v>
      </c>
      <c r="PB22" s="32">
        <v>0</v>
      </c>
      <c r="PC22" s="32">
        <v>1</v>
      </c>
      <c r="PD22" s="32">
        <v>1</v>
      </c>
      <c r="PE22" s="32">
        <v>0</v>
      </c>
      <c r="PF22" s="32">
        <v>1</v>
      </c>
      <c r="PG22" s="32">
        <v>0</v>
      </c>
      <c r="PK22" s="32">
        <v>8.33</v>
      </c>
      <c r="PL22" s="32">
        <v>7</v>
      </c>
      <c r="PO22" s="20">
        <v>18</v>
      </c>
      <c r="PP22" s="20" t="s">
        <v>17</v>
      </c>
      <c r="PQ22" s="20" t="s">
        <v>6</v>
      </c>
      <c r="PR22" s="32">
        <v>2</v>
      </c>
      <c r="PS22" s="20">
        <v>12</v>
      </c>
      <c r="PT22" s="20">
        <v>4</v>
      </c>
      <c r="PU22" s="20" t="s">
        <v>209</v>
      </c>
      <c r="PV22" s="20" t="s">
        <v>120</v>
      </c>
      <c r="PW22" s="20">
        <v>17</v>
      </c>
      <c r="PX22" s="20">
        <v>6</v>
      </c>
      <c r="PY22" s="20">
        <v>6</v>
      </c>
      <c r="PZ22" s="20">
        <v>13</v>
      </c>
      <c r="QA22" s="20" t="s">
        <v>438</v>
      </c>
      <c r="QB22" s="32">
        <v>2</v>
      </c>
      <c r="QC22" s="20">
        <v>17</v>
      </c>
      <c r="QD22" s="20">
        <v>4</v>
      </c>
      <c r="QE22" s="20" t="s">
        <v>436</v>
      </c>
      <c r="QF22" s="20" t="s">
        <v>136</v>
      </c>
      <c r="QG22" s="20">
        <v>19</v>
      </c>
      <c r="QH22" s="20">
        <v>8</v>
      </c>
      <c r="QI22" s="20">
        <v>17</v>
      </c>
      <c r="QJ22" s="20">
        <v>10</v>
      </c>
      <c r="QK22" s="20" t="s">
        <v>437</v>
      </c>
      <c r="QM22" s="32">
        <v>1</v>
      </c>
      <c r="QN22" s="32">
        <v>0</v>
      </c>
      <c r="QO22" s="32">
        <v>1</v>
      </c>
      <c r="QP22" s="32">
        <v>1</v>
      </c>
      <c r="QQ22" s="32">
        <v>1</v>
      </c>
      <c r="QR22" s="32">
        <v>1</v>
      </c>
      <c r="QS22" s="32">
        <v>1</v>
      </c>
      <c r="QT22" s="32">
        <v>1</v>
      </c>
      <c r="QX22" s="32">
        <v>9.8000000000000007</v>
      </c>
      <c r="QY22" s="32">
        <v>2</v>
      </c>
      <c r="RB22" s="20">
        <v>18</v>
      </c>
      <c r="RC22" s="20" t="s">
        <v>18</v>
      </c>
      <c r="RD22" s="20" t="s">
        <v>5</v>
      </c>
      <c r="RE22" s="32">
        <v>0</v>
      </c>
      <c r="RF22" s="20">
        <v>4</v>
      </c>
      <c r="RG22" s="20">
        <v>1</v>
      </c>
      <c r="RH22" s="20" t="s">
        <v>131</v>
      </c>
      <c r="RI22" s="20" t="s">
        <v>126</v>
      </c>
      <c r="RJ22" s="20">
        <v>24</v>
      </c>
      <c r="RK22" s="20">
        <v>7</v>
      </c>
      <c r="RL22" s="20">
        <v>8</v>
      </c>
      <c r="RM22" s="20">
        <v>11</v>
      </c>
      <c r="RN22" s="20" t="s">
        <v>464</v>
      </c>
      <c r="RO22" s="32">
        <v>0</v>
      </c>
      <c r="RP22" s="20">
        <v>10</v>
      </c>
      <c r="RQ22" s="20">
        <v>2</v>
      </c>
      <c r="RR22" s="20" t="s">
        <v>141</v>
      </c>
      <c r="RS22" s="20" t="s">
        <v>258</v>
      </c>
      <c r="RT22" s="20">
        <v>22</v>
      </c>
      <c r="RU22" s="20">
        <v>10</v>
      </c>
      <c r="RV22" s="20">
        <v>21</v>
      </c>
      <c r="RW22" s="20">
        <v>18</v>
      </c>
      <c r="RX22" s="20" t="s">
        <v>465</v>
      </c>
      <c r="RZ22" s="32">
        <v>1</v>
      </c>
      <c r="SA22" s="32">
        <v>0</v>
      </c>
      <c r="SB22" s="32">
        <v>1</v>
      </c>
      <c r="SC22" s="32">
        <v>0</v>
      </c>
      <c r="SD22" s="32">
        <v>1</v>
      </c>
      <c r="SE22" s="32">
        <v>1</v>
      </c>
      <c r="SF22" s="32">
        <v>0</v>
      </c>
      <c r="SG22" s="32">
        <v>1</v>
      </c>
      <c r="SK22" s="32">
        <v>5</v>
      </c>
      <c r="SL22" s="32">
        <v>2</v>
      </c>
      <c r="SO22" s="20">
        <v>18</v>
      </c>
      <c r="SP22" s="20" t="s">
        <v>14</v>
      </c>
      <c r="SQ22" s="20" t="s">
        <v>19</v>
      </c>
      <c r="SR22" s="33">
        <v>4</v>
      </c>
      <c r="SS22" s="20">
        <v>6</v>
      </c>
      <c r="ST22" s="20">
        <v>5</v>
      </c>
      <c r="SU22" s="20" t="s">
        <v>463</v>
      </c>
      <c r="SV22" s="20" t="s">
        <v>139</v>
      </c>
      <c r="SW22" s="20">
        <v>23</v>
      </c>
      <c r="SX22" s="20">
        <v>17</v>
      </c>
      <c r="SY22" s="20">
        <v>13</v>
      </c>
      <c r="SZ22" s="20">
        <v>13</v>
      </c>
      <c r="TA22" s="20" t="s">
        <v>338</v>
      </c>
      <c r="TB22" s="34">
        <v>0</v>
      </c>
      <c r="TC22" s="20">
        <v>10</v>
      </c>
      <c r="TD22" s="20">
        <v>6</v>
      </c>
      <c r="TE22" s="20" t="s">
        <v>173</v>
      </c>
      <c r="TF22" s="20" t="s">
        <v>134</v>
      </c>
      <c r="TG22" s="20">
        <v>18</v>
      </c>
      <c r="TH22" s="20">
        <v>13</v>
      </c>
      <c r="TI22" s="20">
        <v>11</v>
      </c>
      <c r="TJ22" s="20">
        <v>10</v>
      </c>
      <c r="TK22" s="20" t="s">
        <v>336</v>
      </c>
      <c r="TM22" s="20">
        <v>0</v>
      </c>
      <c r="TN22" s="20">
        <v>1</v>
      </c>
      <c r="TO22" s="20">
        <v>0</v>
      </c>
      <c r="TP22" s="20">
        <v>1</v>
      </c>
      <c r="TQ22" s="20">
        <v>1</v>
      </c>
      <c r="TR22" s="20">
        <v>1</v>
      </c>
      <c r="TS22" s="20">
        <v>0</v>
      </c>
      <c r="TT22" s="20">
        <v>0</v>
      </c>
      <c r="TX22" s="20">
        <v>23.33</v>
      </c>
      <c r="TY22" s="20">
        <v>5</v>
      </c>
      <c r="UB22" s="20">
        <v>18</v>
      </c>
      <c r="UC22" s="20" t="s">
        <v>16</v>
      </c>
      <c r="UD22" s="20" t="s">
        <v>8</v>
      </c>
      <c r="UE22" s="34">
        <v>1</v>
      </c>
      <c r="UF22" s="20">
        <v>11</v>
      </c>
      <c r="UG22" s="20">
        <v>4</v>
      </c>
      <c r="UH22" s="20" t="s">
        <v>249</v>
      </c>
      <c r="UI22" s="20" t="s">
        <v>123</v>
      </c>
      <c r="UJ22" s="20">
        <v>19</v>
      </c>
      <c r="UK22" s="20">
        <v>14</v>
      </c>
      <c r="UL22" s="20">
        <v>6</v>
      </c>
      <c r="UM22" s="20">
        <v>9</v>
      </c>
      <c r="UN22" s="20" t="s">
        <v>458</v>
      </c>
      <c r="UO22" s="33">
        <v>2</v>
      </c>
      <c r="UP22" s="20">
        <v>6</v>
      </c>
      <c r="UQ22" s="20">
        <v>4</v>
      </c>
      <c r="UR22" s="20" t="s">
        <v>192</v>
      </c>
      <c r="US22" s="20" t="s">
        <v>203</v>
      </c>
      <c r="UT22" s="20">
        <v>15</v>
      </c>
      <c r="UU22" s="20">
        <v>14</v>
      </c>
      <c r="UV22" s="20">
        <v>6</v>
      </c>
      <c r="UW22" s="20">
        <v>8</v>
      </c>
      <c r="UX22" s="20" t="s">
        <v>457</v>
      </c>
      <c r="UZ22" s="20">
        <v>1</v>
      </c>
      <c r="VA22" s="20">
        <v>1</v>
      </c>
      <c r="VB22" s="20">
        <v>0</v>
      </c>
      <c r="VC22" s="20">
        <v>0</v>
      </c>
      <c r="VD22" s="20">
        <v>1</v>
      </c>
      <c r="VE22" s="20">
        <v>1</v>
      </c>
      <c r="VF22" s="20">
        <v>1</v>
      </c>
      <c r="VG22" s="20">
        <v>0</v>
      </c>
      <c r="VK22" s="20">
        <v>30.3</v>
      </c>
      <c r="VL22" s="20">
        <v>4</v>
      </c>
      <c r="VO22" s="20">
        <v>18</v>
      </c>
      <c r="VP22" s="20" t="s">
        <v>20</v>
      </c>
      <c r="VQ22" s="20" t="s">
        <v>11</v>
      </c>
      <c r="VR22" s="33">
        <v>2</v>
      </c>
      <c r="VS22" s="20">
        <v>9</v>
      </c>
      <c r="VT22" s="20">
        <v>4</v>
      </c>
      <c r="VU22" s="20" t="s">
        <v>197</v>
      </c>
      <c r="VV22" s="20" t="s">
        <v>139</v>
      </c>
      <c r="VW22" s="20">
        <v>13</v>
      </c>
      <c r="VX22" s="20">
        <v>7</v>
      </c>
      <c r="VY22" s="20">
        <v>5</v>
      </c>
      <c r="VZ22" s="20">
        <v>5</v>
      </c>
      <c r="WA22" s="20" t="s">
        <v>460</v>
      </c>
      <c r="WB22" s="34">
        <v>1</v>
      </c>
      <c r="WC22" s="20">
        <v>14</v>
      </c>
      <c r="WD22" s="20">
        <v>6</v>
      </c>
      <c r="WE22" s="20" t="s">
        <v>207</v>
      </c>
      <c r="WF22" s="20" t="s">
        <v>129</v>
      </c>
      <c r="WG22" s="20">
        <v>11</v>
      </c>
      <c r="WH22" s="20">
        <v>22</v>
      </c>
      <c r="WI22" s="20">
        <v>8</v>
      </c>
      <c r="WJ22" s="20">
        <v>8</v>
      </c>
      <c r="WK22" s="20" t="s">
        <v>459</v>
      </c>
      <c r="WM22" s="20">
        <v>0</v>
      </c>
      <c r="WN22" s="20">
        <v>1</v>
      </c>
      <c r="WO22" s="20">
        <v>0</v>
      </c>
      <c r="WP22" s="20">
        <v>1</v>
      </c>
      <c r="WQ22" s="20">
        <v>0</v>
      </c>
      <c r="WR22" s="20">
        <v>0</v>
      </c>
      <c r="WS22" s="20">
        <v>1</v>
      </c>
      <c r="WT22" s="20">
        <v>0</v>
      </c>
      <c r="WX22" s="20">
        <v>1.59</v>
      </c>
      <c r="WY22" s="20">
        <v>2</v>
      </c>
      <c r="XB22" s="20">
        <v>18</v>
      </c>
      <c r="XC22" s="20" t="s">
        <v>8</v>
      </c>
      <c r="XD22" s="20" t="s">
        <v>34</v>
      </c>
      <c r="XE22" s="34">
        <v>0</v>
      </c>
      <c r="XF22" s="20">
        <v>12</v>
      </c>
      <c r="XG22" s="20">
        <v>2</v>
      </c>
      <c r="XH22" s="20" t="s">
        <v>272</v>
      </c>
      <c r="XI22" s="20" t="s">
        <v>171</v>
      </c>
      <c r="XJ22" s="20">
        <v>19</v>
      </c>
      <c r="XK22" s="20">
        <v>10</v>
      </c>
      <c r="XL22" s="20">
        <v>13</v>
      </c>
      <c r="XM22" s="20">
        <v>7</v>
      </c>
      <c r="XN22" s="20" t="s">
        <v>397</v>
      </c>
      <c r="XO22" s="33">
        <v>2</v>
      </c>
      <c r="XP22" s="20">
        <v>7</v>
      </c>
      <c r="XQ22" s="20">
        <v>4</v>
      </c>
      <c r="XR22" s="20" t="s">
        <v>226</v>
      </c>
      <c r="XS22" s="20" t="s">
        <v>161</v>
      </c>
      <c r="XT22" s="20">
        <v>16</v>
      </c>
      <c r="XU22" s="20">
        <v>12</v>
      </c>
      <c r="XV22" s="20">
        <v>8</v>
      </c>
      <c r="XW22" s="20">
        <v>12</v>
      </c>
      <c r="XX22" s="20" t="s">
        <v>398</v>
      </c>
      <c r="XZ22" s="20">
        <v>1</v>
      </c>
      <c r="YA22" s="20">
        <v>1</v>
      </c>
      <c r="YB22" s="20">
        <v>0</v>
      </c>
      <c r="YC22" s="20">
        <v>0</v>
      </c>
      <c r="YD22" s="20">
        <v>1</v>
      </c>
      <c r="YE22" s="20">
        <v>0</v>
      </c>
      <c r="YF22" s="20">
        <v>0</v>
      </c>
      <c r="YG22" s="20">
        <v>0</v>
      </c>
      <c r="YK22" s="20">
        <v>40.479999999999997</v>
      </c>
      <c r="YL22" s="20">
        <v>3</v>
      </c>
      <c r="YO22" s="20">
        <v>18</v>
      </c>
      <c r="YP22" s="20" t="s">
        <v>21</v>
      </c>
      <c r="YQ22" s="20" t="s">
        <v>13</v>
      </c>
      <c r="YR22" s="32">
        <v>2</v>
      </c>
      <c r="YS22" s="20">
        <v>14</v>
      </c>
      <c r="YT22" s="20">
        <v>5</v>
      </c>
      <c r="YU22" s="20" t="s">
        <v>297</v>
      </c>
      <c r="YV22" s="20" t="s">
        <v>126</v>
      </c>
      <c r="YW22" s="20">
        <v>19</v>
      </c>
      <c r="YX22" s="20">
        <v>13</v>
      </c>
      <c r="YY22" s="20">
        <v>5</v>
      </c>
      <c r="YZ22" s="20">
        <v>7</v>
      </c>
      <c r="ZA22" s="20" t="s">
        <v>462</v>
      </c>
      <c r="ZB22" s="32">
        <v>2</v>
      </c>
      <c r="ZC22" s="20">
        <v>15</v>
      </c>
      <c r="ZD22" s="20">
        <v>7</v>
      </c>
      <c r="ZE22" s="20" t="s">
        <v>461</v>
      </c>
      <c r="ZF22" s="20" t="s">
        <v>219</v>
      </c>
      <c r="ZG22" s="20">
        <v>14</v>
      </c>
      <c r="ZH22" s="20">
        <v>20</v>
      </c>
      <c r="ZI22" s="20">
        <v>5</v>
      </c>
      <c r="ZJ22" s="20">
        <v>9</v>
      </c>
      <c r="ZK22" s="20" t="s">
        <v>373</v>
      </c>
      <c r="ZM22" s="32">
        <v>1</v>
      </c>
      <c r="ZN22" s="32">
        <v>1</v>
      </c>
      <c r="ZO22" s="32">
        <v>1</v>
      </c>
      <c r="ZP22" s="32">
        <v>0</v>
      </c>
      <c r="ZQ22" s="32">
        <v>1</v>
      </c>
      <c r="ZR22" s="32">
        <v>1</v>
      </c>
      <c r="ZS22" s="32">
        <v>0</v>
      </c>
      <c r="ZT22" s="32">
        <v>1</v>
      </c>
      <c r="ZX22" s="32">
        <v>10.95</v>
      </c>
      <c r="ZY22" s="32">
        <v>5</v>
      </c>
      <c r="AAB22" s="20">
        <v>18</v>
      </c>
      <c r="AAC22" s="20" t="s">
        <v>34</v>
      </c>
      <c r="AAD22" s="20" t="s">
        <v>22</v>
      </c>
      <c r="AAE22" s="33">
        <v>2</v>
      </c>
      <c r="AAF22" s="20">
        <v>11</v>
      </c>
      <c r="AAG22" s="20">
        <v>2</v>
      </c>
      <c r="AAH22" s="20" t="s">
        <v>138</v>
      </c>
      <c r="AAI22" s="20" t="s">
        <v>176</v>
      </c>
      <c r="AAJ22" s="20">
        <v>21</v>
      </c>
      <c r="AAK22" s="20">
        <v>18</v>
      </c>
      <c r="AAL22" s="20">
        <v>10</v>
      </c>
      <c r="AAM22" s="20">
        <v>11</v>
      </c>
      <c r="AAN22" s="20" t="s">
        <v>215</v>
      </c>
      <c r="AAO22" s="34">
        <v>1</v>
      </c>
      <c r="AAP22" s="20">
        <v>17</v>
      </c>
      <c r="AAQ22" s="20">
        <v>4</v>
      </c>
      <c r="AAR22" s="20" t="s">
        <v>436</v>
      </c>
      <c r="AAS22" s="20" t="s">
        <v>203</v>
      </c>
      <c r="AAT22" s="20">
        <v>18</v>
      </c>
      <c r="AAU22" s="20">
        <v>17</v>
      </c>
      <c r="AAV22" s="20">
        <v>10</v>
      </c>
      <c r="AAW22" s="20">
        <v>11</v>
      </c>
      <c r="AAX22" s="20" t="s">
        <v>214</v>
      </c>
      <c r="AAZ22" s="20">
        <v>0</v>
      </c>
      <c r="ABA22" s="20">
        <v>0</v>
      </c>
      <c r="ABB22" s="20">
        <v>1</v>
      </c>
      <c r="ABC22" s="20">
        <v>1</v>
      </c>
      <c r="ABD22" s="20">
        <v>1</v>
      </c>
      <c r="ABE22" s="20">
        <v>1</v>
      </c>
      <c r="ABF22" s="20">
        <v>1</v>
      </c>
      <c r="ABG22" s="20">
        <v>1</v>
      </c>
      <c r="ABK22" s="20">
        <v>5.35</v>
      </c>
      <c r="ABL22" s="20">
        <v>3</v>
      </c>
      <c r="ABO22" s="20">
        <v>18</v>
      </c>
      <c r="ABP22" s="20" t="s">
        <v>7</v>
      </c>
      <c r="ABQ22" s="20" t="s">
        <v>23</v>
      </c>
      <c r="ABR22" s="34">
        <v>0</v>
      </c>
      <c r="ABS22" s="20">
        <v>9</v>
      </c>
      <c r="ABT22" s="20">
        <v>1</v>
      </c>
      <c r="ABU22" s="20" t="s">
        <v>175</v>
      </c>
      <c r="ABV22" s="20" t="s">
        <v>123</v>
      </c>
      <c r="ABW22" s="20">
        <v>20</v>
      </c>
      <c r="ABX22" s="20">
        <v>19</v>
      </c>
      <c r="ABY22" s="20">
        <v>15</v>
      </c>
      <c r="ABZ22" s="20">
        <v>16</v>
      </c>
      <c r="ACA22" s="20" t="s">
        <v>456</v>
      </c>
      <c r="ACB22" s="33">
        <v>1</v>
      </c>
      <c r="ACC22" s="20">
        <v>16</v>
      </c>
      <c r="ACD22" s="20">
        <v>2</v>
      </c>
      <c r="ACE22" s="20" t="s">
        <v>122</v>
      </c>
      <c r="ACF22" s="20" t="s">
        <v>134</v>
      </c>
      <c r="ACG22" s="20">
        <v>31</v>
      </c>
      <c r="ACH22" s="20">
        <v>16</v>
      </c>
      <c r="ACI22" s="20">
        <v>13</v>
      </c>
      <c r="ACJ22" s="20">
        <v>12</v>
      </c>
      <c r="ACK22" s="20" t="s">
        <v>455</v>
      </c>
      <c r="ACM22" s="20">
        <v>1</v>
      </c>
      <c r="ACN22" s="20">
        <v>1</v>
      </c>
      <c r="ACO22" s="20">
        <v>1</v>
      </c>
      <c r="ACP22" s="20">
        <v>1</v>
      </c>
      <c r="ACQ22" s="20">
        <v>0</v>
      </c>
      <c r="ACR22" s="20">
        <v>0</v>
      </c>
      <c r="ACS22" s="20">
        <v>1</v>
      </c>
      <c r="ACT22" s="20">
        <v>1</v>
      </c>
      <c r="ACX22" s="20">
        <v>1.39</v>
      </c>
      <c r="ACY22" s="20">
        <v>11</v>
      </c>
    </row>
    <row r="23" spans="1:779" x14ac:dyDescent="0.3">
      <c r="A23" s="27">
        <f>E23/G23</f>
        <v>0.75</v>
      </c>
      <c r="B23" s="20">
        <v>19</v>
      </c>
      <c r="C23" s="20" t="s">
        <v>5</v>
      </c>
      <c r="D23" s="20" t="s">
        <v>9</v>
      </c>
      <c r="E23" s="29">
        <v>6</v>
      </c>
      <c r="F23" s="20">
        <v>20</v>
      </c>
      <c r="G23" s="30">
        <v>8</v>
      </c>
      <c r="H23" s="27">
        <v>0.4</v>
      </c>
      <c r="I23" s="28">
        <v>0.87</v>
      </c>
      <c r="J23" s="20">
        <v>12</v>
      </c>
      <c r="K23" s="20">
        <v>4</v>
      </c>
      <c r="L23" s="20">
        <v>10</v>
      </c>
      <c r="M23" s="30">
        <v>6</v>
      </c>
      <c r="N23" s="27">
        <v>0.76500000000000001</v>
      </c>
      <c r="O23" s="31">
        <v>0</v>
      </c>
      <c r="P23" s="20">
        <v>9</v>
      </c>
      <c r="Q23" s="30">
        <v>3</v>
      </c>
      <c r="R23" s="27">
        <v>0.33329999999999999</v>
      </c>
      <c r="S23" s="28">
        <v>0.62</v>
      </c>
      <c r="T23" s="20">
        <v>14</v>
      </c>
      <c r="U23" s="20">
        <v>12</v>
      </c>
      <c r="V23" s="20">
        <v>5</v>
      </c>
      <c r="W23" s="30">
        <v>7</v>
      </c>
      <c r="X23" s="27">
        <v>0.23499999999999999</v>
      </c>
      <c r="Z23" s="20">
        <v>1</v>
      </c>
      <c r="AA23" s="20">
        <v>1</v>
      </c>
      <c r="AB23" s="20">
        <v>1</v>
      </c>
      <c r="AC23" s="20">
        <v>0</v>
      </c>
      <c r="AD23" s="20">
        <v>0</v>
      </c>
      <c r="AE23" s="20">
        <v>1</v>
      </c>
      <c r="AF23" s="20">
        <v>1</v>
      </c>
      <c r="AG23" s="20">
        <v>1</v>
      </c>
      <c r="AK23" s="20">
        <v>6.67</v>
      </c>
      <c r="AL23" s="20">
        <v>2</v>
      </c>
      <c r="AM23" s="20"/>
      <c r="AN23" s="20"/>
      <c r="AO23" s="20">
        <v>19</v>
      </c>
      <c r="AP23" s="20" t="s">
        <v>6</v>
      </c>
      <c r="AQ23" s="20" t="s">
        <v>16</v>
      </c>
      <c r="AR23" s="33">
        <v>5</v>
      </c>
      <c r="AS23" s="30">
        <v>23</v>
      </c>
      <c r="AT23" s="30">
        <v>9</v>
      </c>
      <c r="AU23" s="27">
        <v>0.39129999999999998</v>
      </c>
      <c r="AV23" s="28">
        <v>0.87</v>
      </c>
      <c r="AW23" s="20">
        <v>20</v>
      </c>
      <c r="AX23" s="20">
        <v>6</v>
      </c>
      <c r="AY23" s="30">
        <v>7</v>
      </c>
      <c r="AZ23" s="20">
        <v>5</v>
      </c>
      <c r="BA23" s="27">
        <v>0.53400000000000003</v>
      </c>
      <c r="BB23" s="34">
        <v>0</v>
      </c>
      <c r="BC23" s="20">
        <v>18</v>
      </c>
      <c r="BD23" s="20">
        <v>4</v>
      </c>
      <c r="BE23" s="20" t="s">
        <v>146</v>
      </c>
      <c r="BF23" s="20" t="s">
        <v>120</v>
      </c>
      <c r="BG23" s="20">
        <v>13</v>
      </c>
      <c r="BH23" s="20">
        <v>7</v>
      </c>
      <c r="BI23" s="20">
        <v>9</v>
      </c>
      <c r="BJ23" s="20">
        <v>12</v>
      </c>
      <c r="BK23" s="20" t="s">
        <v>466</v>
      </c>
      <c r="BM23" s="20">
        <v>1</v>
      </c>
      <c r="BN23" s="20">
        <v>1</v>
      </c>
      <c r="BO23" s="20">
        <v>1</v>
      </c>
      <c r="BP23" s="20">
        <v>1</v>
      </c>
      <c r="BQ23" s="20">
        <v>0</v>
      </c>
      <c r="BR23" s="20">
        <v>0</v>
      </c>
      <c r="BS23" s="20">
        <v>1</v>
      </c>
      <c r="BT23" s="20">
        <v>1</v>
      </c>
      <c r="BX23" s="20">
        <v>16.91</v>
      </c>
      <c r="BY23" s="20">
        <v>7</v>
      </c>
      <c r="BZ23" s="20"/>
      <c r="CA23" s="20"/>
      <c r="CB23" s="20">
        <v>19</v>
      </c>
      <c r="CC23" s="20" t="s">
        <v>10</v>
      </c>
      <c r="CD23" s="20" t="s">
        <v>7</v>
      </c>
      <c r="CE23" s="33">
        <v>2</v>
      </c>
      <c r="CF23" s="20">
        <v>10</v>
      </c>
      <c r="CG23" s="20">
        <v>3</v>
      </c>
      <c r="CH23" s="20" t="s">
        <v>237</v>
      </c>
      <c r="CI23" s="20" t="s">
        <v>123</v>
      </c>
      <c r="CJ23" s="20">
        <v>29</v>
      </c>
      <c r="CK23" s="20">
        <v>12</v>
      </c>
      <c r="CL23" s="20">
        <v>15</v>
      </c>
      <c r="CM23" s="20">
        <v>10</v>
      </c>
      <c r="CN23" s="20" t="s">
        <v>384</v>
      </c>
      <c r="CO23" s="34">
        <v>0</v>
      </c>
      <c r="CP23" s="20">
        <v>6</v>
      </c>
      <c r="CQ23" s="20">
        <v>1</v>
      </c>
      <c r="CR23" s="20" t="s">
        <v>272</v>
      </c>
      <c r="CS23" s="20" t="s">
        <v>144</v>
      </c>
      <c r="CT23" s="20">
        <v>20</v>
      </c>
      <c r="CU23" s="20">
        <v>16</v>
      </c>
      <c r="CV23" s="20">
        <v>14</v>
      </c>
      <c r="CW23" s="20">
        <v>14</v>
      </c>
      <c r="CX23" s="20" t="s">
        <v>385</v>
      </c>
      <c r="CZ23" s="20">
        <v>1</v>
      </c>
      <c r="DA23" s="20">
        <v>1</v>
      </c>
      <c r="DB23" s="20">
        <v>0</v>
      </c>
      <c r="DC23" s="20">
        <v>1</v>
      </c>
      <c r="DD23" s="20">
        <v>0</v>
      </c>
      <c r="DE23" s="20">
        <v>1</v>
      </c>
      <c r="DF23" s="20">
        <v>1</v>
      </c>
      <c r="DG23" s="20">
        <v>0</v>
      </c>
      <c r="DK23" s="20">
        <v>13.33</v>
      </c>
      <c r="DL23" s="20">
        <v>9</v>
      </c>
      <c r="DO23" s="20">
        <v>19</v>
      </c>
      <c r="DP23" s="20" t="s">
        <v>8</v>
      </c>
      <c r="DQ23" s="20" t="s">
        <v>34</v>
      </c>
      <c r="DR23" s="33">
        <v>2</v>
      </c>
      <c r="DS23" s="20">
        <v>7</v>
      </c>
      <c r="DT23" s="20">
        <v>4</v>
      </c>
      <c r="DU23" s="20" t="s">
        <v>226</v>
      </c>
      <c r="DV23" s="20" t="s">
        <v>161</v>
      </c>
      <c r="DW23" s="20">
        <v>16</v>
      </c>
      <c r="DX23" s="20">
        <v>12</v>
      </c>
      <c r="DY23" s="20">
        <v>8</v>
      </c>
      <c r="DZ23" s="20">
        <v>12</v>
      </c>
      <c r="EA23" s="20" t="s">
        <v>398</v>
      </c>
      <c r="EB23" s="34">
        <v>0</v>
      </c>
      <c r="EC23" s="20">
        <v>12</v>
      </c>
      <c r="ED23" s="20">
        <v>2</v>
      </c>
      <c r="EE23" s="20" t="s">
        <v>272</v>
      </c>
      <c r="EF23" s="20" t="s">
        <v>171</v>
      </c>
      <c r="EG23" s="20">
        <v>19</v>
      </c>
      <c r="EH23" s="20">
        <v>10</v>
      </c>
      <c r="EI23" s="20">
        <v>13</v>
      </c>
      <c r="EJ23" s="20">
        <v>7</v>
      </c>
      <c r="EK23" s="20" t="s">
        <v>397</v>
      </c>
      <c r="EM23" s="20">
        <v>1</v>
      </c>
      <c r="EN23" s="20">
        <v>1</v>
      </c>
      <c r="EO23" s="20">
        <v>0</v>
      </c>
      <c r="EP23" s="20">
        <v>0</v>
      </c>
      <c r="EQ23" s="20">
        <v>1</v>
      </c>
      <c r="ER23" s="20">
        <v>0</v>
      </c>
      <c r="ES23" s="20">
        <v>0</v>
      </c>
      <c r="ET23" s="20">
        <v>0</v>
      </c>
      <c r="EX23" s="20">
        <v>40.479999999999997</v>
      </c>
      <c r="EY23" s="20">
        <v>3</v>
      </c>
      <c r="FB23" s="20">
        <v>19</v>
      </c>
      <c r="FC23" s="20" t="s">
        <v>11</v>
      </c>
      <c r="FD23" s="20" t="s">
        <v>9</v>
      </c>
      <c r="FE23" s="34">
        <v>0</v>
      </c>
      <c r="FF23" s="20">
        <v>11</v>
      </c>
      <c r="FG23" s="20">
        <v>3</v>
      </c>
      <c r="FH23" s="20" t="s">
        <v>128</v>
      </c>
      <c r="FI23" s="20" t="s">
        <v>161</v>
      </c>
      <c r="FJ23" s="20">
        <v>15</v>
      </c>
      <c r="FK23" s="20">
        <v>15</v>
      </c>
      <c r="FL23" s="20">
        <v>6</v>
      </c>
      <c r="FM23" s="20">
        <v>13</v>
      </c>
      <c r="FN23" s="20" t="s">
        <v>349</v>
      </c>
      <c r="FO23" s="33">
        <v>2</v>
      </c>
      <c r="FP23" s="20">
        <v>4</v>
      </c>
      <c r="FQ23" s="20">
        <v>4</v>
      </c>
      <c r="FR23" s="20" t="s">
        <v>247</v>
      </c>
      <c r="FS23" s="20" t="s">
        <v>123</v>
      </c>
      <c r="FT23" s="20">
        <v>20</v>
      </c>
      <c r="FU23" s="20">
        <v>10</v>
      </c>
      <c r="FV23" s="20">
        <v>12</v>
      </c>
      <c r="FW23" s="20">
        <v>4</v>
      </c>
      <c r="FX23" s="20" t="s">
        <v>347</v>
      </c>
      <c r="FZ23" s="20">
        <v>1</v>
      </c>
      <c r="GA23" s="20">
        <v>1</v>
      </c>
      <c r="GB23" s="20">
        <v>0</v>
      </c>
      <c r="GC23" s="20">
        <v>1</v>
      </c>
      <c r="GD23" s="20">
        <v>0</v>
      </c>
      <c r="GE23" s="20">
        <v>1</v>
      </c>
      <c r="GF23" s="20">
        <v>1</v>
      </c>
      <c r="GG23" s="20">
        <v>0</v>
      </c>
      <c r="GK23" s="20">
        <v>72.73</v>
      </c>
      <c r="GL23" s="20">
        <v>5</v>
      </c>
      <c r="GO23" s="20">
        <v>19</v>
      </c>
      <c r="GP23" s="20" t="s">
        <v>10</v>
      </c>
      <c r="GQ23" s="20" t="s">
        <v>7</v>
      </c>
      <c r="GR23" s="34">
        <v>0</v>
      </c>
      <c r="GS23" s="20">
        <v>6</v>
      </c>
      <c r="GT23" s="20">
        <v>1</v>
      </c>
      <c r="GU23" s="20" t="s">
        <v>272</v>
      </c>
      <c r="GV23" s="20" t="s">
        <v>144</v>
      </c>
      <c r="GW23" s="20">
        <v>20</v>
      </c>
      <c r="GX23" s="20">
        <v>16</v>
      </c>
      <c r="GY23" s="20">
        <v>14</v>
      </c>
      <c r="GZ23" s="20">
        <v>14</v>
      </c>
      <c r="HA23" s="20" t="s">
        <v>385</v>
      </c>
      <c r="HB23" s="33">
        <v>2</v>
      </c>
      <c r="HC23" s="20">
        <v>10</v>
      </c>
      <c r="HD23" s="20">
        <v>3</v>
      </c>
      <c r="HE23" s="20" t="s">
        <v>237</v>
      </c>
      <c r="HF23" s="20" t="s">
        <v>123</v>
      </c>
      <c r="HG23" s="20">
        <v>29</v>
      </c>
      <c r="HH23" s="20">
        <v>12</v>
      </c>
      <c r="HI23" s="20">
        <v>15</v>
      </c>
      <c r="HJ23" s="20">
        <v>10</v>
      </c>
      <c r="HK23" s="20" t="s">
        <v>384</v>
      </c>
      <c r="HM23" s="20">
        <v>1</v>
      </c>
      <c r="HN23" s="20">
        <v>1</v>
      </c>
      <c r="HO23" s="20">
        <v>0</v>
      </c>
      <c r="HP23" s="20">
        <v>1</v>
      </c>
      <c r="HQ23" s="20">
        <v>0</v>
      </c>
      <c r="HR23" s="20">
        <v>1</v>
      </c>
      <c r="HS23" s="20">
        <v>1</v>
      </c>
      <c r="HT23" s="20">
        <v>0</v>
      </c>
      <c r="HX23" s="20">
        <v>13.33</v>
      </c>
      <c r="HY23" s="20">
        <v>9</v>
      </c>
      <c r="IB23" s="20">
        <v>19</v>
      </c>
      <c r="IC23" s="20" t="s">
        <v>11</v>
      </c>
      <c r="ID23" s="20" t="s">
        <v>9</v>
      </c>
      <c r="IE23" s="33">
        <v>2</v>
      </c>
      <c r="IF23" s="20">
        <v>4</v>
      </c>
      <c r="IG23" s="20">
        <v>4</v>
      </c>
      <c r="IH23" s="20" t="s">
        <v>247</v>
      </c>
      <c r="II23" s="20" t="s">
        <v>123</v>
      </c>
      <c r="IJ23" s="20">
        <v>20</v>
      </c>
      <c r="IK23" s="20">
        <v>10</v>
      </c>
      <c r="IL23" s="20">
        <v>12</v>
      </c>
      <c r="IM23" s="20">
        <v>4</v>
      </c>
      <c r="IN23" s="20" t="s">
        <v>347</v>
      </c>
      <c r="IO23" s="34">
        <v>0</v>
      </c>
      <c r="IP23" s="20">
        <v>11</v>
      </c>
      <c r="IQ23" s="20">
        <v>3</v>
      </c>
      <c r="IR23" s="20" t="s">
        <v>128</v>
      </c>
      <c r="IS23" s="20" t="s">
        <v>161</v>
      </c>
      <c r="IT23" s="20">
        <v>15</v>
      </c>
      <c r="IU23" s="20">
        <v>15</v>
      </c>
      <c r="IV23" s="20">
        <v>6</v>
      </c>
      <c r="IW23" s="20">
        <v>13</v>
      </c>
      <c r="IX23" s="20" t="s">
        <v>349</v>
      </c>
      <c r="IZ23" s="20">
        <v>1</v>
      </c>
      <c r="JA23" s="20">
        <v>1</v>
      </c>
      <c r="JB23" s="20">
        <v>0</v>
      </c>
      <c r="JC23" s="20">
        <v>1</v>
      </c>
      <c r="JD23" s="20">
        <v>0</v>
      </c>
      <c r="JE23" s="20">
        <v>1</v>
      </c>
      <c r="JF23" s="20">
        <v>1</v>
      </c>
      <c r="JG23" s="20">
        <v>0</v>
      </c>
      <c r="JK23" s="20">
        <v>72.73</v>
      </c>
      <c r="JL23" s="20">
        <v>5</v>
      </c>
      <c r="JO23" s="20">
        <v>19</v>
      </c>
      <c r="JP23" s="20" t="s">
        <v>15</v>
      </c>
      <c r="JQ23" s="20" t="s">
        <v>12</v>
      </c>
      <c r="JR23" s="32">
        <v>1</v>
      </c>
      <c r="JS23" s="20">
        <v>11</v>
      </c>
      <c r="JT23" s="20">
        <v>3</v>
      </c>
      <c r="JU23" s="20" t="s">
        <v>128</v>
      </c>
      <c r="JV23" s="20" t="s">
        <v>154</v>
      </c>
      <c r="JW23" s="20">
        <v>19</v>
      </c>
      <c r="JX23" s="20">
        <v>12</v>
      </c>
      <c r="JY23" s="20">
        <v>1</v>
      </c>
      <c r="JZ23" s="20">
        <v>14</v>
      </c>
      <c r="KA23" s="20" t="s">
        <v>467</v>
      </c>
      <c r="KB23" s="32">
        <v>1</v>
      </c>
      <c r="KC23" s="20">
        <v>5</v>
      </c>
      <c r="KD23" s="20">
        <v>3</v>
      </c>
      <c r="KE23" s="20" t="s">
        <v>173</v>
      </c>
      <c r="KF23" s="20" t="s">
        <v>120</v>
      </c>
      <c r="KG23" s="20">
        <v>23</v>
      </c>
      <c r="KH23" s="20">
        <v>19</v>
      </c>
      <c r="KI23" s="20">
        <v>5</v>
      </c>
      <c r="KJ23" s="20">
        <v>13</v>
      </c>
      <c r="KK23" s="20" t="s">
        <v>392</v>
      </c>
      <c r="KM23" s="32">
        <v>1</v>
      </c>
      <c r="KN23" s="32">
        <v>0</v>
      </c>
      <c r="KO23" s="32">
        <v>0</v>
      </c>
      <c r="KP23" s="32">
        <v>0</v>
      </c>
      <c r="KQ23" s="32">
        <v>0</v>
      </c>
      <c r="KR23" s="32">
        <v>0</v>
      </c>
      <c r="KS23" s="32">
        <v>0</v>
      </c>
      <c r="KT23" s="32">
        <v>0</v>
      </c>
      <c r="KX23" s="32">
        <v>32.729999999999997</v>
      </c>
      <c r="KY23" s="32">
        <v>4</v>
      </c>
      <c r="LB23" s="20">
        <v>19</v>
      </c>
      <c r="LC23" s="20" t="s">
        <v>13</v>
      </c>
      <c r="LD23" s="20" t="s">
        <v>17</v>
      </c>
      <c r="LE23" s="33">
        <v>2</v>
      </c>
      <c r="LF23" s="20">
        <v>24</v>
      </c>
      <c r="LG23" s="20">
        <v>7</v>
      </c>
      <c r="LH23" s="20" t="s">
        <v>468</v>
      </c>
      <c r="LI23" s="20" t="s">
        <v>144</v>
      </c>
      <c r="LJ23" s="20">
        <v>20</v>
      </c>
      <c r="LK23" s="20">
        <v>19</v>
      </c>
      <c r="LL23" s="20">
        <v>8</v>
      </c>
      <c r="LM23" s="20">
        <v>16</v>
      </c>
      <c r="LN23" s="20" t="s">
        <v>469</v>
      </c>
      <c r="LO23" s="34">
        <v>0</v>
      </c>
      <c r="LP23" s="20">
        <v>10</v>
      </c>
      <c r="LQ23" s="20">
        <v>3</v>
      </c>
      <c r="LR23" s="20" t="s">
        <v>237</v>
      </c>
      <c r="LS23" s="20" t="s">
        <v>154</v>
      </c>
      <c r="LT23" s="20">
        <v>19</v>
      </c>
      <c r="LU23" s="20">
        <v>15</v>
      </c>
      <c r="LV23" s="20">
        <v>9</v>
      </c>
      <c r="LW23" s="20">
        <v>9</v>
      </c>
      <c r="LX23" s="20" t="s">
        <v>470</v>
      </c>
      <c r="LZ23" s="20">
        <v>1</v>
      </c>
      <c r="MA23" s="20">
        <v>0</v>
      </c>
      <c r="MB23" s="20">
        <v>1</v>
      </c>
      <c r="MC23" s="20">
        <v>1</v>
      </c>
      <c r="MD23" s="20">
        <v>1</v>
      </c>
      <c r="ME23" s="20">
        <v>0</v>
      </c>
      <c r="MF23" s="20">
        <v>0</v>
      </c>
      <c r="MG23" s="20">
        <v>1</v>
      </c>
      <c r="MK23" s="20">
        <v>0.83</v>
      </c>
      <c r="ML23" s="20">
        <v>1</v>
      </c>
      <c r="MO23" s="20">
        <v>19</v>
      </c>
      <c r="MP23" s="20" t="s">
        <v>22</v>
      </c>
      <c r="MQ23" s="20" t="s">
        <v>14</v>
      </c>
      <c r="MR23" s="34">
        <v>0</v>
      </c>
      <c r="MS23" s="20">
        <v>11</v>
      </c>
      <c r="MT23" s="20">
        <v>2</v>
      </c>
      <c r="MU23" s="20" t="s">
        <v>138</v>
      </c>
      <c r="MV23" s="20" t="s">
        <v>123</v>
      </c>
      <c r="MW23" s="20">
        <v>23</v>
      </c>
      <c r="MX23" s="20">
        <v>15</v>
      </c>
      <c r="MY23" s="20">
        <v>9</v>
      </c>
      <c r="MZ23" s="20">
        <v>5</v>
      </c>
      <c r="NA23" s="20" t="s">
        <v>357</v>
      </c>
      <c r="NB23" s="33">
        <v>1</v>
      </c>
      <c r="NC23" s="20">
        <v>9</v>
      </c>
      <c r="ND23" s="20">
        <v>3</v>
      </c>
      <c r="NE23" s="20" t="s">
        <v>209</v>
      </c>
      <c r="NF23" s="20" t="s">
        <v>154</v>
      </c>
      <c r="NG23" s="20">
        <v>16</v>
      </c>
      <c r="NH23" s="20">
        <v>16</v>
      </c>
      <c r="NI23" s="20">
        <v>15</v>
      </c>
      <c r="NJ23" s="20">
        <v>13</v>
      </c>
      <c r="NK23" s="20" t="s">
        <v>361</v>
      </c>
      <c r="NM23" s="20">
        <v>1</v>
      </c>
      <c r="NN23" s="20">
        <v>1</v>
      </c>
      <c r="NO23" s="20">
        <v>1</v>
      </c>
      <c r="NP23" s="20">
        <v>0</v>
      </c>
      <c r="NQ23" s="20">
        <v>1</v>
      </c>
      <c r="NR23" s="20">
        <v>1</v>
      </c>
      <c r="NS23" s="20">
        <v>0</v>
      </c>
      <c r="NT23" s="20">
        <v>1</v>
      </c>
      <c r="NX23" s="20">
        <v>15.15</v>
      </c>
      <c r="NY23" s="20">
        <v>7</v>
      </c>
      <c r="OB23" s="20">
        <v>19</v>
      </c>
      <c r="OC23" s="20" t="s">
        <v>15</v>
      </c>
      <c r="OD23" s="20" t="s">
        <v>12</v>
      </c>
      <c r="OE23" s="32">
        <v>1</v>
      </c>
      <c r="OF23" s="20">
        <v>5</v>
      </c>
      <c r="OG23" s="20">
        <v>3</v>
      </c>
      <c r="OH23" s="20" t="s">
        <v>173</v>
      </c>
      <c r="OI23" s="20" t="s">
        <v>120</v>
      </c>
      <c r="OJ23" s="20">
        <v>23</v>
      </c>
      <c r="OK23" s="20">
        <v>19</v>
      </c>
      <c r="OL23" s="20">
        <v>5</v>
      </c>
      <c r="OM23" s="20">
        <v>13</v>
      </c>
      <c r="ON23" s="20" t="s">
        <v>392</v>
      </c>
      <c r="OO23" s="32">
        <v>1</v>
      </c>
      <c r="OP23" s="20">
        <v>11</v>
      </c>
      <c r="OQ23" s="20">
        <v>3</v>
      </c>
      <c r="OR23" s="20" t="s">
        <v>128</v>
      </c>
      <c r="OS23" s="20" t="s">
        <v>154</v>
      </c>
      <c r="OT23" s="20">
        <v>19</v>
      </c>
      <c r="OU23" s="20">
        <v>12</v>
      </c>
      <c r="OV23" s="20">
        <v>1</v>
      </c>
      <c r="OW23" s="20">
        <v>14</v>
      </c>
      <c r="OX23" s="20" t="s">
        <v>467</v>
      </c>
      <c r="OZ23" s="32">
        <v>1</v>
      </c>
      <c r="PA23" s="32">
        <v>0</v>
      </c>
      <c r="PB23" s="32">
        <v>0</v>
      </c>
      <c r="PC23" s="32">
        <v>0</v>
      </c>
      <c r="PD23" s="32">
        <v>0</v>
      </c>
      <c r="PE23" s="32">
        <v>0</v>
      </c>
      <c r="PF23" s="32">
        <v>0</v>
      </c>
      <c r="PG23" s="32">
        <v>0</v>
      </c>
      <c r="PK23" s="32">
        <v>32.729999999999997</v>
      </c>
      <c r="PL23" s="32">
        <v>4</v>
      </c>
      <c r="PO23" s="20">
        <v>19</v>
      </c>
      <c r="PP23" s="20" t="s">
        <v>13</v>
      </c>
      <c r="PQ23" s="20" t="s">
        <v>17</v>
      </c>
      <c r="PR23" s="34">
        <v>0</v>
      </c>
      <c r="PS23" s="20">
        <v>10</v>
      </c>
      <c r="PT23" s="20">
        <v>3</v>
      </c>
      <c r="PU23" s="20" t="s">
        <v>237</v>
      </c>
      <c r="PV23" s="20" t="s">
        <v>154</v>
      </c>
      <c r="PW23" s="20">
        <v>19</v>
      </c>
      <c r="PX23" s="20">
        <v>15</v>
      </c>
      <c r="PY23" s="20">
        <v>9</v>
      </c>
      <c r="PZ23" s="20">
        <v>9</v>
      </c>
      <c r="QA23" s="20" t="s">
        <v>470</v>
      </c>
      <c r="QB23" s="33">
        <v>2</v>
      </c>
      <c r="QC23" s="20">
        <v>24</v>
      </c>
      <c r="QD23" s="20">
        <v>7</v>
      </c>
      <c r="QE23" s="20" t="s">
        <v>468</v>
      </c>
      <c r="QF23" s="20" t="s">
        <v>144</v>
      </c>
      <c r="QG23" s="20">
        <v>20</v>
      </c>
      <c r="QH23" s="20">
        <v>19</v>
      </c>
      <c r="QI23" s="20">
        <v>8</v>
      </c>
      <c r="QJ23" s="20">
        <v>16</v>
      </c>
      <c r="QK23" s="20" t="s">
        <v>469</v>
      </c>
      <c r="QM23" s="20">
        <v>1</v>
      </c>
      <c r="QN23" s="20">
        <v>0</v>
      </c>
      <c r="QO23" s="20">
        <v>1</v>
      </c>
      <c r="QP23" s="20">
        <v>1</v>
      </c>
      <c r="QQ23" s="20">
        <v>1</v>
      </c>
      <c r="QR23" s="20">
        <v>0</v>
      </c>
      <c r="QS23" s="20">
        <v>0</v>
      </c>
      <c r="QT23" s="20">
        <v>1</v>
      </c>
      <c r="QX23" s="20">
        <v>0.83</v>
      </c>
      <c r="QY23" s="20">
        <v>1</v>
      </c>
      <c r="RB23" s="20">
        <v>19</v>
      </c>
      <c r="RC23" s="20" t="s">
        <v>19</v>
      </c>
      <c r="RD23" s="20" t="s">
        <v>18</v>
      </c>
      <c r="RE23" s="34">
        <v>1</v>
      </c>
      <c r="RF23" s="20">
        <v>7</v>
      </c>
      <c r="RG23" s="20">
        <v>4</v>
      </c>
      <c r="RH23" s="20" t="s">
        <v>226</v>
      </c>
      <c r="RI23" s="20" t="s">
        <v>151</v>
      </c>
      <c r="RJ23" s="20">
        <v>27</v>
      </c>
      <c r="RK23" s="20">
        <v>19</v>
      </c>
      <c r="RL23" s="20">
        <v>9</v>
      </c>
      <c r="RM23" s="20">
        <v>3</v>
      </c>
      <c r="RN23" s="20" t="s">
        <v>471</v>
      </c>
      <c r="RO23" s="33">
        <v>2</v>
      </c>
      <c r="RP23" s="20">
        <v>20</v>
      </c>
      <c r="RQ23" s="20">
        <v>6</v>
      </c>
      <c r="RR23" s="20" t="s">
        <v>237</v>
      </c>
      <c r="RS23" s="20" t="s">
        <v>123</v>
      </c>
      <c r="RT23" s="20">
        <v>17</v>
      </c>
      <c r="RU23" s="20">
        <v>19</v>
      </c>
      <c r="RV23" s="20">
        <v>10</v>
      </c>
      <c r="RW23" s="20">
        <v>9</v>
      </c>
      <c r="RX23" s="20" t="s">
        <v>472</v>
      </c>
      <c r="RZ23" s="20">
        <v>1</v>
      </c>
      <c r="SA23" s="20">
        <v>0</v>
      </c>
      <c r="SB23" s="20">
        <v>1</v>
      </c>
      <c r="SC23" s="20">
        <v>0</v>
      </c>
      <c r="SD23" s="20">
        <v>0</v>
      </c>
      <c r="SE23" s="20">
        <v>1</v>
      </c>
      <c r="SF23" s="20">
        <v>0</v>
      </c>
      <c r="SG23" s="20">
        <v>1</v>
      </c>
      <c r="SK23" s="20">
        <v>27.14</v>
      </c>
      <c r="SL23" s="20">
        <v>10</v>
      </c>
      <c r="SO23" s="20">
        <v>19</v>
      </c>
      <c r="SP23" s="20" t="s">
        <v>19</v>
      </c>
      <c r="SQ23" s="20" t="s">
        <v>18</v>
      </c>
      <c r="SR23" s="33">
        <v>2</v>
      </c>
      <c r="SS23" s="20">
        <v>20</v>
      </c>
      <c r="ST23" s="20">
        <v>6</v>
      </c>
      <c r="SU23" s="20" t="s">
        <v>237</v>
      </c>
      <c r="SV23" s="20" t="s">
        <v>123</v>
      </c>
      <c r="SW23" s="20">
        <v>17</v>
      </c>
      <c r="SX23" s="20">
        <v>19</v>
      </c>
      <c r="SY23" s="20">
        <v>10</v>
      </c>
      <c r="SZ23" s="20">
        <v>9</v>
      </c>
      <c r="TA23" s="20" t="s">
        <v>472</v>
      </c>
      <c r="TB23" s="34">
        <v>1</v>
      </c>
      <c r="TC23" s="20">
        <v>7</v>
      </c>
      <c r="TD23" s="20">
        <v>4</v>
      </c>
      <c r="TE23" s="20" t="s">
        <v>226</v>
      </c>
      <c r="TF23" s="20" t="s">
        <v>151</v>
      </c>
      <c r="TG23" s="20">
        <v>27</v>
      </c>
      <c r="TH23" s="20">
        <v>19</v>
      </c>
      <c r="TI23" s="20">
        <v>9</v>
      </c>
      <c r="TJ23" s="20">
        <v>3</v>
      </c>
      <c r="TK23" s="20" t="s">
        <v>471</v>
      </c>
      <c r="TM23" s="20">
        <v>1</v>
      </c>
      <c r="TN23" s="20">
        <v>0</v>
      </c>
      <c r="TO23" s="20">
        <v>1</v>
      </c>
      <c r="TP23" s="20">
        <v>0</v>
      </c>
      <c r="TQ23" s="20">
        <v>0</v>
      </c>
      <c r="TR23" s="20">
        <v>1</v>
      </c>
      <c r="TS23" s="20">
        <v>0</v>
      </c>
      <c r="TT23" s="20">
        <v>1</v>
      </c>
      <c r="TX23" s="20">
        <v>27.14</v>
      </c>
      <c r="TY23" s="20">
        <v>10</v>
      </c>
      <c r="UB23" s="20">
        <v>19</v>
      </c>
      <c r="UC23" s="20" t="s">
        <v>6</v>
      </c>
      <c r="UD23" s="20" t="s">
        <v>16</v>
      </c>
      <c r="UE23" s="34">
        <v>0</v>
      </c>
      <c r="UF23" s="20">
        <v>18</v>
      </c>
      <c r="UG23" s="20">
        <v>4</v>
      </c>
      <c r="UH23" s="20" t="s">
        <v>146</v>
      </c>
      <c r="UI23" s="20" t="s">
        <v>120</v>
      </c>
      <c r="UJ23" s="20">
        <v>13</v>
      </c>
      <c r="UK23" s="20">
        <v>7</v>
      </c>
      <c r="UL23" s="20">
        <v>9</v>
      </c>
      <c r="UM23" s="20">
        <v>12</v>
      </c>
      <c r="UN23" s="20" t="s">
        <v>466</v>
      </c>
      <c r="UO23" s="33">
        <v>5</v>
      </c>
      <c r="UP23" s="20">
        <v>23</v>
      </c>
      <c r="UQ23" s="20">
        <v>9</v>
      </c>
      <c r="UR23" s="20" t="s">
        <v>316</v>
      </c>
      <c r="US23" s="20" t="s">
        <v>136</v>
      </c>
      <c r="UT23" s="20">
        <v>20</v>
      </c>
      <c r="UU23" s="20">
        <v>6</v>
      </c>
      <c r="UV23" s="20">
        <v>7</v>
      </c>
      <c r="UW23" s="20">
        <v>5</v>
      </c>
      <c r="UX23" s="20" t="s">
        <v>473</v>
      </c>
      <c r="UZ23" s="20">
        <v>1</v>
      </c>
      <c r="VA23" s="20">
        <v>1</v>
      </c>
      <c r="VB23" s="20">
        <v>1</v>
      </c>
      <c r="VC23" s="20">
        <v>1</v>
      </c>
      <c r="VD23" s="20">
        <v>0</v>
      </c>
      <c r="VE23" s="20">
        <v>0</v>
      </c>
      <c r="VF23" s="20">
        <v>1</v>
      </c>
      <c r="VG23" s="20">
        <v>1</v>
      </c>
      <c r="VK23" s="20">
        <v>16.91</v>
      </c>
      <c r="VL23" s="20">
        <v>7</v>
      </c>
      <c r="VO23" s="20">
        <v>19</v>
      </c>
      <c r="VP23" s="20" t="s">
        <v>5</v>
      </c>
      <c r="VQ23" s="20" t="s">
        <v>20</v>
      </c>
      <c r="VR23" s="34">
        <v>0</v>
      </c>
      <c r="VS23" s="20">
        <v>8</v>
      </c>
      <c r="VT23" s="20">
        <v>4</v>
      </c>
      <c r="VU23" s="20" t="s">
        <v>125</v>
      </c>
      <c r="VV23" s="20" t="s">
        <v>161</v>
      </c>
      <c r="VW23" s="20">
        <v>21</v>
      </c>
      <c r="VX23" s="20">
        <v>7</v>
      </c>
      <c r="VY23" s="20">
        <v>9</v>
      </c>
      <c r="VZ23" s="20">
        <v>5</v>
      </c>
      <c r="WA23" s="20" t="s">
        <v>157</v>
      </c>
      <c r="WB23" s="33">
        <v>4</v>
      </c>
      <c r="WC23" s="20">
        <v>17</v>
      </c>
      <c r="WD23" s="20">
        <v>8</v>
      </c>
      <c r="WE23" s="20" t="s">
        <v>474</v>
      </c>
      <c r="WF23" s="20" t="s">
        <v>179</v>
      </c>
      <c r="WG23" s="20">
        <v>14</v>
      </c>
      <c r="WH23" s="20">
        <v>5</v>
      </c>
      <c r="WI23" s="20">
        <v>9</v>
      </c>
      <c r="WJ23" s="20">
        <v>8</v>
      </c>
      <c r="WK23" s="20" t="s">
        <v>159</v>
      </c>
      <c r="WM23" s="20">
        <v>1</v>
      </c>
      <c r="WN23" s="20">
        <v>0</v>
      </c>
      <c r="WO23" s="20">
        <v>1</v>
      </c>
      <c r="WP23" s="20">
        <v>0</v>
      </c>
      <c r="WQ23" s="20">
        <v>0</v>
      </c>
      <c r="WR23" s="20">
        <v>0</v>
      </c>
      <c r="WS23" s="20">
        <v>0</v>
      </c>
      <c r="WT23" s="20">
        <v>1</v>
      </c>
      <c r="WX23" s="20">
        <v>2.94</v>
      </c>
      <c r="WY23" s="20">
        <v>7</v>
      </c>
      <c r="XB23" s="20">
        <v>19</v>
      </c>
      <c r="XC23" s="20" t="s">
        <v>6</v>
      </c>
      <c r="XD23" s="20" t="s">
        <v>34</v>
      </c>
      <c r="XE23" s="34">
        <v>1</v>
      </c>
      <c r="XF23" s="20">
        <v>9</v>
      </c>
      <c r="XG23" s="20">
        <v>2</v>
      </c>
      <c r="XH23" s="20" t="s">
        <v>146</v>
      </c>
      <c r="XI23" s="20" t="s">
        <v>171</v>
      </c>
      <c r="XJ23" s="20">
        <v>14</v>
      </c>
      <c r="XK23" s="20">
        <v>2</v>
      </c>
      <c r="XL23" s="20">
        <v>9</v>
      </c>
      <c r="XM23" s="20">
        <v>4</v>
      </c>
      <c r="XN23" s="20" t="s">
        <v>328</v>
      </c>
      <c r="XO23" s="33">
        <v>5</v>
      </c>
      <c r="XP23" s="20">
        <v>17</v>
      </c>
      <c r="XQ23" s="20">
        <v>9</v>
      </c>
      <c r="XR23" s="20" t="s">
        <v>475</v>
      </c>
      <c r="XS23" s="20" t="s">
        <v>288</v>
      </c>
      <c r="XT23" s="20">
        <v>13</v>
      </c>
      <c r="XU23" s="20">
        <v>7</v>
      </c>
      <c r="XV23" s="20">
        <v>18</v>
      </c>
      <c r="XW23" s="20">
        <v>5</v>
      </c>
      <c r="XX23" s="20" t="s">
        <v>329</v>
      </c>
      <c r="XZ23" s="20">
        <v>1</v>
      </c>
      <c r="YA23" s="20">
        <v>1</v>
      </c>
      <c r="YB23" s="20">
        <v>1</v>
      </c>
      <c r="YC23" s="20">
        <v>0</v>
      </c>
      <c r="YD23" s="20">
        <v>1</v>
      </c>
      <c r="YE23" s="20">
        <v>1</v>
      </c>
      <c r="YF23" s="20">
        <v>0</v>
      </c>
      <c r="YG23" s="20">
        <v>1</v>
      </c>
      <c r="YK23" s="20">
        <v>30.72</v>
      </c>
      <c r="YL23" s="20">
        <v>1</v>
      </c>
      <c r="YO23" s="20">
        <v>19</v>
      </c>
      <c r="YP23" s="20" t="s">
        <v>23</v>
      </c>
      <c r="YQ23" s="20" t="s">
        <v>21</v>
      </c>
      <c r="YR23" s="34">
        <v>1</v>
      </c>
      <c r="YS23" s="20">
        <v>10</v>
      </c>
      <c r="YT23" s="20">
        <v>4</v>
      </c>
      <c r="YU23" s="20" t="s">
        <v>133</v>
      </c>
      <c r="YV23" s="20" t="s">
        <v>203</v>
      </c>
      <c r="YW23" s="20">
        <v>24</v>
      </c>
      <c r="YX23" s="20">
        <v>15</v>
      </c>
      <c r="YY23" s="20">
        <v>5</v>
      </c>
      <c r="YZ23" s="20">
        <v>5</v>
      </c>
      <c r="ZA23" s="20" t="s">
        <v>262</v>
      </c>
      <c r="ZB23" s="33">
        <v>2</v>
      </c>
      <c r="ZC23" s="20">
        <v>10</v>
      </c>
      <c r="ZD23" s="20">
        <v>4</v>
      </c>
      <c r="ZE23" s="20" t="s">
        <v>133</v>
      </c>
      <c r="ZF23" s="20" t="s">
        <v>126</v>
      </c>
      <c r="ZG23" s="20">
        <v>10</v>
      </c>
      <c r="ZH23" s="20">
        <v>37</v>
      </c>
      <c r="ZI23" s="20">
        <v>5</v>
      </c>
      <c r="ZJ23" s="20">
        <v>14</v>
      </c>
      <c r="ZK23" s="20" t="s">
        <v>260</v>
      </c>
      <c r="ZM23" s="20">
        <v>0</v>
      </c>
      <c r="ZN23" s="20">
        <v>0</v>
      </c>
      <c r="ZO23" s="20">
        <v>0</v>
      </c>
      <c r="ZP23" s="20">
        <v>0</v>
      </c>
      <c r="ZQ23" s="20">
        <v>1</v>
      </c>
      <c r="ZR23" s="20">
        <v>0</v>
      </c>
      <c r="ZS23" s="20">
        <v>0</v>
      </c>
      <c r="ZT23" s="20">
        <v>0</v>
      </c>
      <c r="ZX23" s="20">
        <v>0</v>
      </c>
      <c r="ZY23" s="20">
        <v>14</v>
      </c>
      <c r="AAB23" s="20">
        <v>19</v>
      </c>
      <c r="AAC23" s="20" t="s">
        <v>22</v>
      </c>
      <c r="AAD23" s="20" t="s">
        <v>14</v>
      </c>
      <c r="AAE23" s="33">
        <v>1</v>
      </c>
      <c r="AAF23" s="20">
        <v>9</v>
      </c>
      <c r="AAG23" s="20">
        <v>3</v>
      </c>
      <c r="AAH23" s="20" t="s">
        <v>209</v>
      </c>
      <c r="AAI23" s="20" t="s">
        <v>154</v>
      </c>
      <c r="AAJ23" s="20">
        <v>16</v>
      </c>
      <c r="AAK23" s="20">
        <v>16</v>
      </c>
      <c r="AAL23" s="20">
        <v>15</v>
      </c>
      <c r="AAM23" s="20">
        <v>13</v>
      </c>
      <c r="AAN23" s="20" t="s">
        <v>361</v>
      </c>
      <c r="AAO23" s="34">
        <v>0</v>
      </c>
      <c r="AAP23" s="20">
        <v>11</v>
      </c>
      <c r="AAQ23" s="20">
        <v>2</v>
      </c>
      <c r="AAR23" s="20" t="s">
        <v>138</v>
      </c>
      <c r="AAS23" s="20" t="s">
        <v>123</v>
      </c>
      <c r="AAT23" s="20">
        <v>23</v>
      </c>
      <c r="AAU23" s="20">
        <v>15</v>
      </c>
      <c r="AAV23" s="20">
        <v>9</v>
      </c>
      <c r="AAW23" s="20">
        <v>5</v>
      </c>
      <c r="AAX23" s="20" t="s">
        <v>357</v>
      </c>
      <c r="AAZ23" s="20">
        <v>1</v>
      </c>
      <c r="ABA23" s="20">
        <v>1</v>
      </c>
      <c r="ABB23" s="20">
        <v>1</v>
      </c>
      <c r="ABC23" s="20">
        <v>0</v>
      </c>
      <c r="ABD23" s="20">
        <v>1</v>
      </c>
      <c r="ABE23" s="20">
        <v>1</v>
      </c>
      <c r="ABF23" s="20">
        <v>0</v>
      </c>
      <c r="ABG23" s="20">
        <v>1</v>
      </c>
      <c r="ABK23" s="20">
        <v>15.15</v>
      </c>
      <c r="ABL23" s="20">
        <v>7</v>
      </c>
      <c r="ABO23" s="20">
        <v>19</v>
      </c>
      <c r="ABP23" s="20" t="s">
        <v>23</v>
      </c>
      <c r="ABQ23" s="20" t="s">
        <v>21</v>
      </c>
      <c r="ABR23" s="33">
        <v>2</v>
      </c>
      <c r="ABS23" s="20">
        <v>10</v>
      </c>
      <c r="ABT23" s="20">
        <v>4</v>
      </c>
      <c r="ABU23" s="20" t="s">
        <v>133</v>
      </c>
      <c r="ABV23" s="20" t="s">
        <v>126</v>
      </c>
      <c r="ABW23" s="20">
        <v>10</v>
      </c>
      <c r="ABX23" s="20">
        <v>37</v>
      </c>
      <c r="ABY23" s="20">
        <v>5</v>
      </c>
      <c r="ABZ23" s="20">
        <v>14</v>
      </c>
      <c r="ACA23" s="20" t="s">
        <v>260</v>
      </c>
      <c r="ACB23" s="34">
        <v>1</v>
      </c>
      <c r="ACC23" s="20">
        <v>10</v>
      </c>
      <c r="ACD23" s="20">
        <v>4</v>
      </c>
      <c r="ACE23" s="20" t="s">
        <v>133</v>
      </c>
      <c r="ACF23" s="20" t="s">
        <v>203</v>
      </c>
      <c r="ACG23" s="20">
        <v>24</v>
      </c>
      <c r="ACH23" s="20">
        <v>15</v>
      </c>
      <c r="ACI23" s="20">
        <v>5</v>
      </c>
      <c r="ACJ23" s="20">
        <v>5</v>
      </c>
      <c r="ACK23" s="20" t="s">
        <v>262</v>
      </c>
      <c r="ACM23" s="20">
        <v>0</v>
      </c>
      <c r="ACN23" s="20">
        <v>0</v>
      </c>
      <c r="ACO23" s="20">
        <v>0</v>
      </c>
      <c r="ACP23" s="20">
        <v>0</v>
      </c>
      <c r="ACQ23" s="20">
        <v>1</v>
      </c>
      <c r="ACR23" s="20">
        <v>0</v>
      </c>
      <c r="ACS23" s="20">
        <v>0</v>
      </c>
      <c r="ACT23" s="20">
        <v>0</v>
      </c>
      <c r="ACX23" s="20">
        <v>0</v>
      </c>
      <c r="ACY23" s="20">
        <v>14</v>
      </c>
    </row>
    <row r="24" spans="1:779" x14ac:dyDescent="0.3">
      <c r="A24" s="27"/>
      <c r="B24" s="20">
        <v>20</v>
      </c>
      <c r="C24" s="20" t="s">
        <v>12</v>
      </c>
      <c r="D24" s="20" t="s">
        <v>5</v>
      </c>
      <c r="E24" s="33">
        <v>2</v>
      </c>
      <c r="F24" s="20">
        <v>12</v>
      </c>
      <c r="G24" s="30">
        <v>6</v>
      </c>
      <c r="H24" s="27">
        <v>0.5</v>
      </c>
      <c r="I24" s="28">
        <v>0.85</v>
      </c>
      <c r="J24" s="20">
        <v>19</v>
      </c>
      <c r="K24" s="20">
        <v>8</v>
      </c>
      <c r="L24" s="20">
        <v>8</v>
      </c>
      <c r="M24" s="30">
        <v>15</v>
      </c>
      <c r="N24" s="27">
        <v>0.65800000000000003</v>
      </c>
      <c r="O24" s="34">
        <v>1</v>
      </c>
      <c r="P24" s="20">
        <v>15</v>
      </c>
      <c r="Q24" s="30">
        <v>9</v>
      </c>
      <c r="R24" s="27">
        <v>0.6</v>
      </c>
      <c r="S24" s="28">
        <v>0.68</v>
      </c>
      <c r="T24" s="20">
        <v>23</v>
      </c>
      <c r="U24" s="20">
        <v>12</v>
      </c>
      <c r="V24" s="20">
        <v>7</v>
      </c>
      <c r="W24" s="30">
        <v>10</v>
      </c>
      <c r="X24" s="27">
        <v>0.34200000000000003</v>
      </c>
      <c r="Z24" s="20">
        <v>0</v>
      </c>
      <c r="AA24" s="20">
        <v>0</v>
      </c>
      <c r="AB24" s="20">
        <v>1</v>
      </c>
      <c r="AC24" s="20">
        <v>0</v>
      </c>
      <c r="AD24" s="20">
        <v>0</v>
      </c>
      <c r="AE24" s="20">
        <v>1</v>
      </c>
      <c r="AF24" s="20">
        <v>0</v>
      </c>
      <c r="AG24" s="20">
        <v>1</v>
      </c>
      <c r="AK24" s="20">
        <v>10</v>
      </c>
      <c r="AL24" s="20">
        <v>4</v>
      </c>
      <c r="AM24" s="20"/>
      <c r="AN24" s="20"/>
      <c r="AO24" s="20">
        <v>20</v>
      </c>
      <c r="AP24" s="20" t="s">
        <v>6</v>
      </c>
      <c r="AQ24" s="20" t="s">
        <v>34</v>
      </c>
      <c r="AR24" s="33">
        <v>5</v>
      </c>
      <c r="AS24" s="30">
        <v>17</v>
      </c>
      <c r="AT24" s="30">
        <v>9</v>
      </c>
      <c r="AU24" s="27">
        <v>0.52939999999999998</v>
      </c>
      <c r="AV24" s="28">
        <v>0.92</v>
      </c>
      <c r="AW24" s="20">
        <v>13</v>
      </c>
      <c r="AX24" s="20">
        <v>7</v>
      </c>
      <c r="AY24" s="30">
        <v>18</v>
      </c>
      <c r="AZ24" s="20">
        <v>5</v>
      </c>
      <c r="BA24" s="27">
        <v>0.67300000000000004</v>
      </c>
      <c r="BB24" s="34">
        <v>1</v>
      </c>
      <c r="BC24" s="20">
        <v>9</v>
      </c>
      <c r="BD24" s="20">
        <v>2</v>
      </c>
      <c r="BE24" s="20" t="s">
        <v>146</v>
      </c>
      <c r="BF24" s="20" t="s">
        <v>171</v>
      </c>
      <c r="BG24" s="20">
        <v>14</v>
      </c>
      <c r="BH24" s="20">
        <v>2</v>
      </c>
      <c r="BI24" s="20">
        <v>9</v>
      </c>
      <c r="BJ24" s="20">
        <v>4</v>
      </c>
      <c r="BK24" s="20" t="s">
        <v>328</v>
      </c>
      <c r="BM24" s="20">
        <v>1</v>
      </c>
      <c r="BN24" s="20">
        <v>1</v>
      </c>
      <c r="BO24" s="20">
        <v>1</v>
      </c>
      <c r="BP24" s="20">
        <v>0</v>
      </c>
      <c r="BQ24" s="20">
        <v>1</v>
      </c>
      <c r="BR24" s="20">
        <v>1</v>
      </c>
      <c r="BS24" s="20">
        <v>0</v>
      </c>
      <c r="BT24" s="20">
        <v>1</v>
      </c>
      <c r="BX24" s="20">
        <v>30.72</v>
      </c>
      <c r="BY24" s="20">
        <v>1</v>
      </c>
      <c r="BZ24" s="20"/>
      <c r="CA24" s="20"/>
      <c r="CB24" s="20">
        <v>20</v>
      </c>
      <c r="CC24" s="20" t="s">
        <v>15</v>
      </c>
      <c r="CD24" s="20" t="s">
        <v>7</v>
      </c>
      <c r="CE24" s="33">
        <v>3</v>
      </c>
      <c r="CF24" s="20">
        <v>11</v>
      </c>
      <c r="CG24" s="20">
        <v>5</v>
      </c>
      <c r="CH24" s="20" t="s">
        <v>358</v>
      </c>
      <c r="CI24" s="20" t="s">
        <v>154</v>
      </c>
      <c r="CJ24" s="20">
        <v>38</v>
      </c>
      <c r="CK24" s="20">
        <v>16</v>
      </c>
      <c r="CL24" s="20">
        <v>7</v>
      </c>
      <c r="CM24" s="20">
        <v>9</v>
      </c>
      <c r="CN24" s="20" t="s">
        <v>476</v>
      </c>
      <c r="CO24" s="34">
        <v>0</v>
      </c>
      <c r="CP24" s="20">
        <v>11</v>
      </c>
      <c r="CQ24" s="20">
        <v>3</v>
      </c>
      <c r="CR24" s="20" t="s">
        <v>128</v>
      </c>
      <c r="CS24" s="20" t="s">
        <v>258</v>
      </c>
      <c r="CT24" s="20">
        <v>15</v>
      </c>
      <c r="CU24" s="20">
        <v>11</v>
      </c>
      <c r="CV24" s="20">
        <v>14</v>
      </c>
      <c r="CW24" s="20">
        <v>26</v>
      </c>
      <c r="CX24" s="20" t="s">
        <v>477</v>
      </c>
      <c r="CZ24" s="20">
        <v>1</v>
      </c>
      <c r="DA24" s="20">
        <v>1</v>
      </c>
      <c r="DB24" s="20">
        <v>0</v>
      </c>
      <c r="DC24" s="20">
        <v>1</v>
      </c>
      <c r="DD24" s="20">
        <v>1</v>
      </c>
      <c r="DE24" s="20">
        <v>0</v>
      </c>
      <c r="DF24" s="20">
        <v>1</v>
      </c>
      <c r="DG24" s="20">
        <v>0</v>
      </c>
      <c r="DK24" s="20">
        <v>18.18</v>
      </c>
      <c r="DL24" s="20">
        <v>23</v>
      </c>
      <c r="DO24" s="20">
        <v>20</v>
      </c>
      <c r="DP24" s="20" t="s">
        <v>8</v>
      </c>
      <c r="DQ24" s="20" t="s">
        <v>14</v>
      </c>
      <c r="DR24" s="32">
        <v>0</v>
      </c>
      <c r="DS24" s="20">
        <v>9</v>
      </c>
      <c r="DT24" s="20">
        <v>2</v>
      </c>
      <c r="DU24" s="20" t="s">
        <v>146</v>
      </c>
      <c r="DV24" s="20" t="s">
        <v>129</v>
      </c>
      <c r="DW24" s="20">
        <v>25</v>
      </c>
      <c r="DX24" s="20">
        <v>14</v>
      </c>
      <c r="DY24" s="20">
        <v>11</v>
      </c>
      <c r="DZ24" s="20">
        <v>14</v>
      </c>
      <c r="EA24" s="20" t="s">
        <v>478</v>
      </c>
      <c r="EB24" s="32">
        <v>0</v>
      </c>
      <c r="EC24" s="20">
        <v>15</v>
      </c>
      <c r="ED24" s="20">
        <v>2</v>
      </c>
      <c r="EE24" s="20" t="s">
        <v>479</v>
      </c>
      <c r="EF24" s="20" t="s">
        <v>171</v>
      </c>
      <c r="EG24" s="20">
        <v>17</v>
      </c>
      <c r="EH24" s="20">
        <v>15</v>
      </c>
      <c r="EI24" s="20">
        <v>12</v>
      </c>
      <c r="EJ24" s="20">
        <v>17</v>
      </c>
      <c r="EK24" s="20" t="s">
        <v>480</v>
      </c>
      <c r="EM24" s="32">
        <v>1</v>
      </c>
      <c r="EN24" s="32">
        <v>0</v>
      </c>
      <c r="EO24" s="32">
        <v>1</v>
      </c>
      <c r="EP24" s="32">
        <v>0</v>
      </c>
      <c r="EQ24" s="32">
        <v>1</v>
      </c>
      <c r="ER24" s="32">
        <v>1</v>
      </c>
      <c r="ES24" s="32">
        <v>0</v>
      </c>
      <c r="ET24" s="32">
        <v>0</v>
      </c>
      <c r="EX24" s="32">
        <v>8.89</v>
      </c>
      <c r="EY24" s="32">
        <v>8</v>
      </c>
      <c r="FB24" s="20">
        <v>20</v>
      </c>
      <c r="FC24" s="20" t="s">
        <v>5</v>
      </c>
      <c r="FD24" s="20" t="s">
        <v>9</v>
      </c>
      <c r="FE24" s="34">
        <v>0</v>
      </c>
      <c r="FF24" s="20">
        <v>9</v>
      </c>
      <c r="FG24" s="20">
        <v>3</v>
      </c>
      <c r="FH24" s="20" t="s">
        <v>209</v>
      </c>
      <c r="FI24" s="20" t="s">
        <v>126</v>
      </c>
      <c r="FJ24" s="20">
        <v>14</v>
      </c>
      <c r="FK24" s="20">
        <v>12</v>
      </c>
      <c r="FL24" s="20">
        <v>5</v>
      </c>
      <c r="FM24" s="20">
        <v>7</v>
      </c>
      <c r="FN24" s="20" t="s">
        <v>481</v>
      </c>
      <c r="FO24" s="33">
        <v>6</v>
      </c>
      <c r="FP24" s="20">
        <v>20</v>
      </c>
      <c r="FQ24" s="20">
        <v>8</v>
      </c>
      <c r="FR24" s="20" t="s">
        <v>133</v>
      </c>
      <c r="FS24" s="20" t="s">
        <v>136</v>
      </c>
      <c r="FT24" s="20">
        <v>12</v>
      </c>
      <c r="FU24" s="20">
        <v>4</v>
      </c>
      <c r="FV24" s="20">
        <v>10</v>
      </c>
      <c r="FW24" s="20">
        <v>6</v>
      </c>
      <c r="FX24" s="20" t="s">
        <v>482</v>
      </c>
      <c r="FZ24" s="20">
        <v>1</v>
      </c>
      <c r="GA24" s="20">
        <v>1</v>
      </c>
      <c r="GB24" s="20">
        <v>1</v>
      </c>
      <c r="GC24" s="20">
        <v>0</v>
      </c>
      <c r="GD24" s="20">
        <v>0</v>
      </c>
      <c r="GE24" s="20">
        <v>1</v>
      </c>
      <c r="GF24" s="20">
        <v>1</v>
      </c>
      <c r="GG24" s="20">
        <v>1</v>
      </c>
      <c r="GK24" s="20">
        <v>6.67</v>
      </c>
      <c r="GL24" s="20">
        <v>2</v>
      </c>
      <c r="GO24" s="20">
        <v>20</v>
      </c>
      <c r="GP24" s="20" t="s">
        <v>10</v>
      </c>
      <c r="GQ24" s="20" t="s">
        <v>23</v>
      </c>
      <c r="GR24" s="33">
        <v>4</v>
      </c>
      <c r="GS24" s="20">
        <v>14</v>
      </c>
      <c r="GT24" s="20">
        <v>6</v>
      </c>
      <c r="GU24" s="20" t="s">
        <v>207</v>
      </c>
      <c r="GV24" s="20" t="s">
        <v>154</v>
      </c>
      <c r="GW24" s="20">
        <v>17</v>
      </c>
      <c r="GX24" s="20">
        <v>10</v>
      </c>
      <c r="GY24" s="20">
        <v>6</v>
      </c>
      <c r="GZ24" s="20">
        <v>12</v>
      </c>
      <c r="HA24" s="20" t="s">
        <v>172</v>
      </c>
      <c r="HB24" s="34">
        <v>3</v>
      </c>
      <c r="HC24" s="20">
        <v>17</v>
      </c>
      <c r="HD24" s="20">
        <v>7</v>
      </c>
      <c r="HE24" s="20" t="s">
        <v>166</v>
      </c>
      <c r="HF24" s="20" t="s">
        <v>156</v>
      </c>
      <c r="HG24" s="20">
        <v>20</v>
      </c>
      <c r="HH24" s="20">
        <v>26</v>
      </c>
      <c r="HI24" s="20">
        <v>10</v>
      </c>
      <c r="HJ24" s="20">
        <v>5</v>
      </c>
      <c r="HK24" s="20" t="s">
        <v>174</v>
      </c>
      <c r="HM24" s="20">
        <v>0</v>
      </c>
      <c r="HN24" s="20">
        <v>1</v>
      </c>
      <c r="HO24" s="20">
        <v>1</v>
      </c>
      <c r="HP24" s="20">
        <v>0</v>
      </c>
      <c r="HQ24" s="20">
        <v>0</v>
      </c>
      <c r="HR24" s="20">
        <v>0</v>
      </c>
      <c r="HS24" s="20">
        <v>0</v>
      </c>
      <c r="HT24" s="20">
        <v>1</v>
      </c>
      <c r="HX24" s="20">
        <v>1.68</v>
      </c>
      <c r="HY24" s="20">
        <v>3</v>
      </c>
      <c r="IB24" s="20">
        <v>20</v>
      </c>
      <c r="IC24" s="20" t="s">
        <v>11</v>
      </c>
      <c r="ID24" s="20" t="s">
        <v>12</v>
      </c>
      <c r="IE24" s="33">
        <v>2</v>
      </c>
      <c r="IF24" s="20">
        <v>8</v>
      </c>
      <c r="IG24" s="20">
        <v>4</v>
      </c>
      <c r="IH24" s="20" t="s">
        <v>125</v>
      </c>
      <c r="II24" s="20" t="s">
        <v>134</v>
      </c>
      <c r="IJ24" s="20">
        <v>21</v>
      </c>
      <c r="IK24" s="20">
        <v>12</v>
      </c>
      <c r="IL24" s="20">
        <v>3</v>
      </c>
      <c r="IM24" s="20">
        <v>12</v>
      </c>
      <c r="IN24" s="20" t="s">
        <v>483</v>
      </c>
      <c r="IO24" s="34">
        <v>1</v>
      </c>
      <c r="IP24" s="20">
        <v>14</v>
      </c>
      <c r="IQ24" s="20">
        <v>3</v>
      </c>
      <c r="IR24" s="20" t="s">
        <v>119</v>
      </c>
      <c r="IS24" s="20" t="s">
        <v>151</v>
      </c>
      <c r="IT24" s="20">
        <v>21</v>
      </c>
      <c r="IU24" s="20">
        <v>18</v>
      </c>
      <c r="IV24" s="20">
        <v>7</v>
      </c>
      <c r="IW24" s="20">
        <v>17</v>
      </c>
      <c r="IX24" s="20" t="s">
        <v>484</v>
      </c>
      <c r="IZ24" s="20">
        <v>1</v>
      </c>
      <c r="JA24" s="20">
        <v>1</v>
      </c>
      <c r="JB24" s="20">
        <v>1</v>
      </c>
      <c r="JC24" s="20">
        <v>0</v>
      </c>
      <c r="JD24" s="20">
        <v>0</v>
      </c>
      <c r="JE24" s="20">
        <v>0</v>
      </c>
      <c r="JF24" s="20">
        <v>1</v>
      </c>
      <c r="JG24" s="20">
        <v>1</v>
      </c>
      <c r="JK24" s="20">
        <v>28.57</v>
      </c>
      <c r="JL24" s="20">
        <v>0</v>
      </c>
      <c r="JO24" s="20">
        <v>20</v>
      </c>
      <c r="JP24" s="20" t="s">
        <v>11</v>
      </c>
      <c r="JQ24" s="20" t="s">
        <v>12</v>
      </c>
      <c r="JR24" s="34">
        <v>1</v>
      </c>
      <c r="JS24" s="20">
        <v>14</v>
      </c>
      <c r="JT24" s="20">
        <v>3</v>
      </c>
      <c r="JU24" s="20" t="s">
        <v>119</v>
      </c>
      <c r="JV24" s="20" t="s">
        <v>151</v>
      </c>
      <c r="JW24" s="20">
        <v>21</v>
      </c>
      <c r="JX24" s="20">
        <v>18</v>
      </c>
      <c r="JY24" s="20">
        <v>7</v>
      </c>
      <c r="JZ24" s="20">
        <v>17</v>
      </c>
      <c r="KA24" s="20" t="s">
        <v>484</v>
      </c>
      <c r="KB24" s="33">
        <v>2</v>
      </c>
      <c r="KC24" s="20">
        <v>8</v>
      </c>
      <c r="KD24" s="20">
        <v>4</v>
      </c>
      <c r="KE24" s="20" t="s">
        <v>125</v>
      </c>
      <c r="KF24" s="20" t="s">
        <v>134</v>
      </c>
      <c r="KG24" s="20">
        <v>21</v>
      </c>
      <c r="KH24" s="20">
        <v>12</v>
      </c>
      <c r="KI24" s="20">
        <v>3</v>
      </c>
      <c r="KJ24" s="20">
        <v>12</v>
      </c>
      <c r="KK24" s="20" t="s">
        <v>483</v>
      </c>
      <c r="KM24" s="20">
        <v>1</v>
      </c>
      <c r="KN24" s="20">
        <v>1</v>
      </c>
      <c r="KO24" s="20">
        <v>1</v>
      </c>
      <c r="KP24" s="20">
        <v>0</v>
      </c>
      <c r="KQ24" s="20">
        <v>0</v>
      </c>
      <c r="KR24" s="20">
        <v>0</v>
      </c>
      <c r="KS24" s="20">
        <v>1</v>
      </c>
      <c r="KT24" s="20">
        <v>1</v>
      </c>
      <c r="KX24" s="20">
        <v>28.57</v>
      </c>
      <c r="KY24" s="20">
        <v>0</v>
      </c>
      <c r="LB24" s="20">
        <v>20</v>
      </c>
      <c r="LC24" s="20" t="s">
        <v>13</v>
      </c>
      <c r="LD24" s="20" t="s">
        <v>16</v>
      </c>
      <c r="LE24" s="32">
        <v>1</v>
      </c>
      <c r="LF24" s="20">
        <v>16</v>
      </c>
      <c r="LG24" s="20">
        <v>6</v>
      </c>
      <c r="LH24" s="20" t="s">
        <v>153</v>
      </c>
      <c r="LI24" s="20" t="s">
        <v>120</v>
      </c>
      <c r="LJ24" s="20">
        <v>21</v>
      </c>
      <c r="LK24" s="20">
        <v>16</v>
      </c>
      <c r="LL24" s="20">
        <v>11</v>
      </c>
      <c r="LM24" s="20">
        <v>6</v>
      </c>
      <c r="LN24" s="20" t="s">
        <v>228</v>
      </c>
      <c r="LO24" s="32">
        <v>1</v>
      </c>
      <c r="LP24" s="20">
        <v>7</v>
      </c>
      <c r="LQ24" s="20">
        <v>4</v>
      </c>
      <c r="LR24" s="20" t="s">
        <v>226</v>
      </c>
      <c r="LS24" s="20" t="s">
        <v>151</v>
      </c>
      <c r="LT24" s="20">
        <v>21</v>
      </c>
      <c r="LU24" s="20">
        <v>13</v>
      </c>
      <c r="LV24" s="20">
        <v>3</v>
      </c>
      <c r="LW24" s="20">
        <v>14</v>
      </c>
      <c r="LX24" s="20" t="s">
        <v>227</v>
      </c>
      <c r="LZ24" s="32">
        <v>1</v>
      </c>
      <c r="MA24" s="32">
        <v>0</v>
      </c>
      <c r="MB24" s="32">
        <v>1</v>
      </c>
      <c r="MC24" s="32">
        <v>0</v>
      </c>
      <c r="MD24" s="32">
        <v>1</v>
      </c>
      <c r="ME24" s="32">
        <v>1</v>
      </c>
      <c r="MF24" s="32">
        <v>1</v>
      </c>
      <c r="MG24" s="32">
        <v>1</v>
      </c>
      <c r="MK24" s="32">
        <v>19.64</v>
      </c>
      <c r="ML24" s="32">
        <v>0</v>
      </c>
      <c r="MO24" s="20">
        <v>20</v>
      </c>
      <c r="MP24" s="20" t="s">
        <v>8</v>
      </c>
      <c r="MQ24" s="20" t="s">
        <v>14</v>
      </c>
      <c r="MR24" s="32">
        <v>0</v>
      </c>
      <c r="MS24" s="20">
        <v>15</v>
      </c>
      <c r="MT24" s="20">
        <v>2</v>
      </c>
      <c r="MU24" s="20" t="s">
        <v>479</v>
      </c>
      <c r="MV24" s="20" t="s">
        <v>171</v>
      </c>
      <c r="MW24" s="20">
        <v>17</v>
      </c>
      <c r="MX24" s="20">
        <v>15</v>
      </c>
      <c r="MY24" s="20">
        <v>12</v>
      </c>
      <c r="MZ24" s="20">
        <v>17</v>
      </c>
      <c r="NA24" s="20" t="s">
        <v>480</v>
      </c>
      <c r="NB24" s="32">
        <v>0</v>
      </c>
      <c r="NC24" s="20">
        <v>9</v>
      </c>
      <c r="ND24" s="20">
        <v>2</v>
      </c>
      <c r="NE24" s="20" t="s">
        <v>146</v>
      </c>
      <c r="NF24" s="20" t="s">
        <v>129</v>
      </c>
      <c r="NG24" s="20">
        <v>25</v>
      </c>
      <c r="NH24" s="20">
        <v>14</v>
      </c>
      <c r="NI24" s="20">
        <v>11</v>
      </c>
      <c r="NJ24" s="20">
        <v>14</v>
      </c>
      <c r="NK24" s="20" t="s">
        <v>478</v>
      </c>
      <c r="NM24" s="32">
        <v>1</v>
      </c>
      <c r="NN24" s="32">
        <v>0</v>
      </c>
      <c r="NO24" s="32">
        <v>1</v>
      </c>
      <c r="NP24" s="32">
        <v>0</v>
      </c>
      <c r="NQ24" s="32">
        <v>1</v>
      </c>
      <c r="NR24" s="32">
        <v>1</v>
      </c>
      <c r="NS24" s="32">
        <v>0</v>
      </c>
      <c r="NT24" s="32">
        <v>0</v>
      </c>
      <c r="NX24" s="32">
        <v>8.89</v>
      </c>
      <c r="NY24" s="32">
        <v>8</v>
      </c>
      <c r="OB24" s="20">
        <v>20</v>
      </c>
      <c r="OC24" s="20" t="s">
        <v>15</v>
      </c>
      <c r="OD24" s="20" t="s">
        <v>7</v>
      </c>
      <c r="OE24" s="34">
        <v>0</v>
      </c>
      <c r="OF24" s="20">
        <v>11</v>
      </c>
      <c r="OG24" s="20">
        <v>3</v>
      </c>
      <c r="OH24" s="20" t="s">
        <v>128</v>
      </c>
      <c r="OI24" s="20" t="s">
        <v>258</v>
      </c>
      <c r="OJ24" s="20">
        <v>15</v>
      </c>
      <c r="OK24" s="20">
        <v>11</v>
      </c>
      <c r="OL24" s="20">
        <v>14</v>
      </c>
      <c r="OM24" s="20">
        <v>26</v>
      </c>
      <c r="ON24" s="20" t="s">
        <v>477</v>
      </c>
      <c r="OO24" s="33">
        <v>3</v>
      </c>
      <c r="OP24" s="20">
        <v>11</v>
      </c>
      <c r="OQ24" s="20">
        <v>5</v>
      </c>
      <c r="OR24" s="20" t="s">
        <v>358</v>
      </c>
      <c r="OS24" s="20" t="s">
        <v>154</v>
      </c>
      <c r="OT24" s="20">
        <v>38</v>
      </c>
      <c r="OU24" s="20">
        <v>16</v>
      </c>
      <c r="OV24" s="20">
        <v>7</v>
      </c>
      <c r="OW24" s="20">
        <v>9</v>
      </c>
      <c r="OX24" s="20" t="s">
        <v>476</v>
      </c>
      <c r="OZ24" s="20">
        <v>1</v>
      </c>
      <c r="PA24" s="20">
        <v>1</v>
      </c>
      <c r="PB24" s="20">
        <v>0</v>
      </c>
      <c r="PC24" s="20">
        <v>1</v>
      </c>
      <c r="PD24" s="20">
        <v>1</v>
      </c>
      <c r="PE24" s="20">
        <v>0</v>
      </c>
      <c r="PF24" s="20">
        <v>1</v>
      </c>
      <c r="PG24" s="20">
        <v>0</v>
      </c>
      <c r="PK24" s="20">
        <v>18.18</v>
      </c>
      <c r="PL24" s="20">
        <v>23</v>
      </c>
      <c r="PO24" s="20">
        <v>20</v>
      </c>
      <c r="PP24" s="20" t="s">
        <v>17</v>
      </c>
      <c r="PQ24" s="20" t="s">
        <v>21</v>
      </c>
      <c r="PR24" s="32">
        <v>2</v>
      </c>
      <c r="PS24" s="20">
        <v>13</v>
      </c>
      <c r="PT24" s="20">
        <v>5</v>
      </c>
      <c r="PU24" s="20" t="s">
        <v>202</v>
      </c>
      <c r="PV24" s="20" t="s">
        <v>154</v>
      </c>
      <c r="PW24" s="20">
        <v>21</v>
      </c>
      <c r="PX24" s="20">
        <v>19</v>
      </c>
      <c r="PY24" s="20">
        <v>14</v>
      </c>
      <c r="PZ24" s="20">
        <v>10</v>
      </c>
      <c r="QA24" s="20" t="s">
        <v>439</v>
      </c>
      <c r="QB24" s="32">
        <v>2</v>
      </c>
      <c r="QC24" s="20">
        <v>18</v>
      </c>
      <c r="QD24" s="20">
        <v>8</v>
      </c>
      <c r="QE24" s="20" t="s">
        <v>197</v>
      </c>
      <c r="QF24" s="20" t="s">
        <v>161</v>
      </c>
      <c r="QG24" s="20">
        <v>26</v>
      </c>
      <c r="QH24" s="20">
        <v>14</v>
      </c>
      <c r="QI24" s="20">
        <v>6</v>
      </c>
      <c r="QJ24" s="20">
        <v>16</v>
      </c>
      <c r="QK24" s="20" t="s">
        <v>440</v>
      </c>
      <c r="QM24" s="32">
        <v>1</v>
      </c>
      <c r="QN24" s="32">
        <v>1</v>
      </c>
      <c r="QO24" s="32">
        <v>1</v>
      </c>
      <c r="QP24" s="32">
        <v>1</v>
      </c>
      <c r="QQ24" s="32">
        <v>0</v>
      </c>
      <c r="QR24" s="32">
        <v>0</v>
      </c>
      <c r="QS24" s="32">
        <v>0</v>
      </c>
      <c r="QT24" s="32">
        <v>0</v>
      </c>
      <c r="QX24" s="32">
        <v>5.98</v>
      </c>
      <c r="QY24" s="32">
        <v>5</v>
      </c>
      <c r="RB24" s="20">
        <v>20</v>
      </c>
      <c r="RC24" s="20" t="s">
        <v>22</v>
      </c>
      <c r="RD24" s="20" t="s">
        <v>18</v>
      </c>
      <c r="RE24" s="34">
        <v>1</v>
      </c>
      <c r="RF24" s="20">
        <v>13</v>
      </c>
      <c r="RG24" s="20">
        <v>6</v>
      </c>
      <c r="RH24" s="20" t="s">
        <v>350</v>
      </c>
      <c r="RI24" s="20" t="s">
        <v>120</v>
      </c>
      <c r="RJ24" s="20">
        <v>22</v>
      </c>
      <c r="RK24" s="20">
        <v>11</v>
      </c>
      <c r="RL24" s="20">
        <v>9</v>
      </c>
      <c r="RM24" s="20">
        <v>9</v>
      </c>
      <c r="RN24" s="20" t="s">
        <v>485</v>
      </c>
      <c r="RO24" s="33">
        <v>3</v>
      </c>
      <c r="RP24" s="20">
        <v>18</v>
      </c>
      <c r="RQ24" s="20">
        <v>4</v>
      </c>
      <c r="RR24" s="20" t="s">
        <v>146</v>
      </c>
      <c r="RS24" s="20" t="s">
        <v>176</v>
      </c>
      <c r="RT24" s="20">
        <v>16</v>
      </c>
      <c r="RU24" s="20">
        <v>13</v>
      </c>
      <c r="RV24" s="20">
        <v>15</v>
      </c>
      <c r="RW24" s="20">
        <v>14</v>
      </c>
      <c r="RX24" s="20" t="s">
        <v>486</v>
      </c>
      <c r="RZ24" s="20">
        <v>0</v>
      </c>
      <c r="SA24" s="20">
        <v>0</v>
      </c>
      <c r="SB24" s="20">
        <v>0</v>
      </c>
      <c r="SC24" s="20">
        <v>0</v>
      </c>
      <c r="SD24" s="20">
        <v>1</v>
      </c>
      <c r="SE24" s="20">
        <v>1</v>
      </c>
      <c r="SF24" s="20">
        <v>0</v>
      </c>
      <c r="SG24" s="20">
        <v>0</v>
      </c>
      <c r="SK24" s="20">
        <v>23.93</v>
      </c>
      <c r="SL24" s="20">
        <v>6</v>
      </c>
      <c r="SO24" s="20">
        <v>20</v>
      </c>
      <c r="SP24" s="20" t="s">
        <v>19</v>
      </c>
      <c r="SQ24" s="20" t="s">
        <v>20</v>
      </c>
      <c r="SR24" s="33">
        <v>5</v>
      </c>
      <c r="SS24" s="20">
        <v>12</v>
      </c>
      <c r="ST24" s="20">
        <v>7</v>
      </c>
      <c r="SU24" s="20" t="s">
        <v>405</v>
      </c>
      <c r="SV24" s="20" t="s">
        <v>203</v>
      </c>
      <c r="SW24" s="20">
        <v>16</v>
      </c>
      <c r="SX24" s="20">
        <v>23</v>
      </c>
      <c r="SY24" s="20">
        <v>4</v>
      </c>
      <c r="SZ24" s="20">
        <v>5</v>
      </c>
      <c r="TA24" s="20" t="s">
        <v>487</v>
      </c>
      <c r="TB24" s="34">
        <v>1</v>
      </c>
      <c r="TC24" s="20">
        <v>4</v>
      </c>
      <c r="TD24" s="20">
        <v>1</v>
      </c>
      <c r="TE24" s="20" t="s">
        <v>131</v>
      </c>
      <c r="TF24" s="20" t="s">
        <v>280</v>
      </c>
      <c r="TG24" s="20">
        <v>12</v>
      </c>
      <c r="TH24" s="20">
        <v>10</v>
      </c>
      <c r="TI24" s="20">
        <v>6</v>
      </c>
      <c r="TJ24" s="20">
        <v>13</v>
      </c>
      <c r="TK24" s="20" t="s">
        <v>488</v>
      </c>
      <c r="TM24" s="20">
        <v>1</v>
      </c>
      <c r="TN24" s="20">
        <v>1</v>
      </c>
      <c r="TO24" s="20">
        <v>1</v>
      </c>
      <c r="TP24" s="20">
        <v>1</v>
      </c>
      <c r="TQ24" s="20">
        <v>1</v>
      </c>
      <c r="TR24" s="20">
        <v>0</v>
      </c>
      <c r="TS24" s="20">
        <v>1</v>
      </c>
      <c r="TT24" s="20">
        <v>1</v>
      </c>
      <c r="TX24" s="20">
        <v>33.33</v>
      </c>
      <c r="TY24" s="20">
        <v>4</v>
      </c>
      <c r="UB24" s="20">
        <v>20</v>
      </c>
      <c r="UC24" s="20" t="s">
        <v>13</v>
      </c>
      <c r="UD24" s="20" t="s">
        <v>16</v>
      </c>
      <c r="UE24" s="32">
        <v>1</v>
      </c>
      <c r="UF24" s="20">
        <v>7</v>
      </c>
      <c r="UG24" s="20">
        <v>4</v>
      </c>
      <c r="UH24" s="20" t="s">
        <v>226</v>
      </c>
      <c r="UI24" s="20" t="s">
        <v>151</v>
      </c>
      <c r="UJ24" s="20">
        <v>21</v>
      </c>
      <c r="UK24" s="20">
        <v>13</v>
      </c>
      <c r="UL24" s="20">
        <v>3</v>
      </c>
      <c r="UM24" s="20">
        <v>14</v>
      </c>
      <c r="UN24" s="20" t="s">
        <v>227</v>
      </c>
      <c r="UO24" s="32">
        <v>1</v>
      </c>
      <c r="UP24" s="20">
        <v>16</v>
      </c>
      <c r="UQ24" s="20">
        <v>6</v>
      </c>
      <c r="UR24" s="20" t="s">
        <v>153</v>
      </c>
      <c r="US24" s="20" t="s">
        <v>120</v>
      </c>
      <c r="UT24" s="20">
        <v>21</v>
      </c>
      <c r="UU24" s="20">
        <v>16</v>
      </c>
      <c r="UV24" s="20">
        <v>11</v>
      </c>
      <c r="UW24" s="20">
        <v>6</v>
      </c>
      <c r="UX24" s="20" t="s">
        <v>228</v>
      </c>
      <c r="UZ24" s="32">
        <v>1</v>
      </c>
      <c r="VA24" s="32">
        <v>0</v>
      </c>
      <c r="VB24" s="32">
        <v>1</v>
      </c>
      <c r="VC24" s="32">
        <v>0</v>
      </c>
      <c r="VD24" s="32">
        <v>1</v>
      </c>
      <c r="VE24" s="32">
        <v>1</v>
      </c>
      <c r="VF24" s="32">
        <v>1</v>
      </c>
      <c r="VG24" s="32">
        <v>1</v>
      </c>
      <c r="VK24" s="32">
        <v>19.64</v>
      </c>
      <c r="VL24" s="32">
        <v>0</v>
      </c>
      <c r="VO24" s="20">
        <v>20</v>
      </c>
      <c r="VP24" s="20" t="s">
        <v>19</v>
      </c>
      <c r="VQ24" s="20" t="s">
        <v>20</v>
      </c>
      <c r="VR24" s="34">
        <v>1</v>
      </c>
      <c r="VS24" s="20">
        <v>4</v>
      </c>
      <c r="VT24" s="20">
        <v>1</v>
      </c>
      <c r="VU24" s="20" t="s">
        <v>131</v>
      </c>
      <c r="VV24" s="20" t="s">
        <v>280</v>
      </c>
      <c r="VW24" s="20">
        <v>12</v>
      </c>
      <c r="VX24" s="20">
        <v>10</v>
      </c>
      <c r="VY24" s="20">
        <v>6</v>
      </c>
      <c r="VZ24" s="20">
        <v>13</v>
      </c>
      <c r="WA24" s="20" t="s">
        <v>488</v>
      </c>
      <c r="WB24" s="33">
        <v>5</v>
      </c>
      <c r="WC24" s="20">
        <v>12</v>
      </c>
      <c r="WD24" s="20">
        <v>7</v>
      </c>
      <c r="WE24" s="20" t="s">
        <v>405</v>
      </c>
      <c r="WF24" s="20" t="s">
        <v>203</v>
      </c>
      <c r="WG24" s="20">
        <v>16</v>
      </c>
      <c r="WH24" s="20">
        <v>23</v>
      </c>
      <c r="WI24" s="20">
        <v>4</v>
      </c>
      <c r="WJ24" s="20">
        <v>5</v>
      </c>
      <c r="WK24" s="20" t="s">
        <v>487</v>
      </c>
      <c r="WM24" s="20">
        <v>1</v>
      </c>
      <c r="WN24" s="20">
        <v>1</v>
      </c>
      <c r="WO24" s="20">
        <v>1</v>
      </c>
      <c r="WP24" s="20">
        <v>1</v>
      </c>
      <c r="WQ24" s="20">
        <v>1</v>
      </c>
      <c r="WR24" s="20">
        <v>0</v>
      </c>
      <c r="WS24" s="20">
        <v>1</v>
      </c>
      <c r="WT24" s="20">
        <v>1</v>
      </c>
      <c r="WX24" s="20">
        <v>33.33</v>
      </c>
      <c r="WY24" s="20">
        <v>4</v>
      </c>
      <c r="XB24" s="20">
        <v>20</v>
      </c>
      <c r="XC24" s="20" t="s">
        <v>34</v>
      </c>
      <c r="XD24" s="20" t="s">
        <v>13</v>
      </c>
      <c r="XE24" s="33">
        <v>5</v>
      </c>
      <c r="XF24" s="20">
        <v>11</v>
      </c>
      <c r="XG24" s="20">
        <v>7</v>
      </c>
      <c r="XH24" s="20" t="s">
        <v>178</v>
      </c>
      <c r="XI24" s="20" t="s">
        <v>147</v>
      </c>
      <c r="XJ24" s="20">
        <v>20</v>
      </c>
      <c r="XK24" s="20">
        <v>16</v>
      </c>
      <c r="XL24" s="20">
        <v>12</v>
      </c>
      <c r="XM24" s="20">
        <v>6</v>
      </c>
      <c r="XN24" s="20" t="s">
        <v>174</v>
      </c>
      <c r="XO24" s="34">
        <v>1</v>
      </c>
      <c r="XP24" s="20">
        <v>9</v>
      </c>
      <c r="XQ24" s="20">
        <v>3</v>
      </c>
      <c r="XR24" s="20" t="s">
        <v>209</v>
      </c>
      <c r="XS24" s="20" t="s">
        <v>144</v>
      </c>
      <c r="XT24" s="20">
        <v>13</v>
      </c>
      <c r="XU24" s="20">
        <v>19</v>
      </c>
      <c r="XV24" s="20">
        <v>12</v>
      </c>
      <c r="XW24" s="20">
        <v>11</v>
      </c>
      <c r="XX24" s="20" t="s">
        <v>172</v>
      </c>
      <c r="XZ24" s="20">
        <v>1</v>
      </c>
      <c r="YA24" s="20">
        <v>1</v>
      </c>
      <c r="YB24" s="20">
        <v>0</v>
      </c>
      <c r="YC24" s="20">
        <v>1</v>
      </c>
      <c r="YD24" s="20">
        <v>0</v>
      </c>
      <c r="YE24" s="20">
        <v>0</v>
      </c>
      <c r="YF24" s="20">
        <v>1</v>
      </c>
      <c r="YG24" s="20">
        <v>0</v>
      </c>
      <c r="YK24" s="20">
        <v>30.3</v>
      </c>
      <c r="YL24" s="20">
        <v>7</v>
      </c>
      <c r="YO24" s="20">
        <v>20</v>
      </c>
      <c r="YP24" s="20" t="s">
        <v>17</v>
      </c>
      <c r="YQ24" s="20" t="s">
        <v>21</v>
      </c>
      <c r="YR24" s="32">
        <v>2</v>
      </c>
      <c r="YS24" s="20">
        <v>18</v>
      </c>
      <c r="YT24" s="20">
        <v>8</v>
      </c>
      <c r="YU24" s="20" t="s">
        <v>197</v>
      </c>
      <c r="YV24" s="20" t="s">
        <v>161</v>
      </c>
      <c r="YW24" s="20">
        <v>26</v>
      </c>
      <c r="YX24" s="20">
        <v>14</v>
      </c>
      <c r="YY24" s="20">
        <v>6</v>
      </c>
      <c r="YZ24" s="20">
        <v>16</v>
      </c>
      <c r="ZA24" s="20" t="s">
        <v>440</v>
      </c>
      <c r="ZB24" s="32">
        <v>2</v>
      </c>
      <c r="ZC24" s="20">
        <v>13</v>
      </c>
      <c r="ZD24" s="20">
        <v>5</v>
      </c>
      <c r="ZE24" s="20" t="s">
        <v>202</v>
      </c>
      <c r="ZF24" s="20" t="s">
        <v>154</v>
      </c>
      <c r="ZG24" s="20">
        <v>21</v>
      </c>
      <c r="ZH24" s="20">
        <v>19</v>
      </c>
      <c r="ZI24" s="20">
        <v>14</v>
      </c>
      <c r="ZJ24" s="20">
        <v>10</v>
      </c>
      <c r="ZK24" s="20" t="s">
        <v>439</v>
      </c>
      <c r="ZM24" s="32">
        <v>1</v>
      </c>
      <c r="ZN24" s="32">
        <v>1</v>
      </c>
      <c r="ZO24" s="32">
        <v>1</v>
      </c>
      <c r="ZP24" s="32">
        <v>1</v>
      </c>
      <c r="ZQ24" s="32">
        <v>0</v>
      </c>
      <c r="ZR24" s="32">
        <v>0</v>
      </c>
      <c r="ZS24" s="32">
        <v>0</v>
      </c>
      <c r="ZT24" s="32">
        <v>0</v>
      </c>
      <c r="ZX24" s="32">
        <v>5.98</v>
      </c>
      <c r="ZY24" s="32">
        <v>5</v>
      </c>
      <c r="AAB24" s="20">
        <v>20</v>
      </c>
      <c r="AAC24" s="20" t="s">
        <v>22</v>
      </c>
      <c r="AAD24" s="20" t="s">
        <v>18</v>
      </c>
      <c r="AAE24" s="33">
        <v>3</v>
      </c>
      <c r="AAF24" s="20">
        <v>18</v>
      </c>
      <c r="AAG24" s="20">
        <v>4</v>
      </c>
      <c r="AAH24" s="20" t="s">
        <v>146</v>
      </c>
      <c r="AAI24" s="20" t="s">
        <v>176</v>
      </c>
      <c r="AAJ24" s="20">
        <v>16</v>
      </c>
      <c r="AAK24" s="20">
        <v>13</v>
      </c>
      <c r="AAL24" s="20">
        <v>15</v>
      </c>
      <c r="AAM24" s="20">
        <v>14</v>
      </c>
      <c r="AAN24" s="20" t="s">
        <v>486</v>
      </c>
      <c r="AAO24" s="34">
        <v>1</v>
      </c>
      <c r="AAP24" s="20">
        <v>13</v>
      </c>
      <c r="AAQ24" s="20">
        <v>6</v>
      </c>
      <c r="AAR24" s="20" t="s">
        <v>350</v>
      </c>
      <c r="AAS24" s="20" t="s">
        <v>120</v>
      </c>
      <c r="AAT24" s="20">
        <v>22</v>
      </c>
      <c r="AAU24" s="20">
        <v>11</v>
      </c>
      <c r="AAV24" s="20">
        <v>9</v>
      </c>
      <c r="AAW24" s="20">
        <v>9</v>
      </c>
      <c r="AAX24" s="20" t="s">
        <v>485</v>
      </c>
      <c r="AAZ24" s="20">
        <v>0</v>
      </c>
      <c r="ABA24" s="20">
        <v>0</v>
      </c>
      <c r="ABB24" s="20">
        <v>0</v>
      </c>
      <c r="ABC24" s="20">
        <v>0</v>
      </c>
      <c r="ABD24" s="20">
        <v>1</v>
      </c>
      <c r="ABE24" s="20">
        <v>1</v>
      </c>
      <c r="ABF24" s="20">
        <v>0</v>
      </c>
      <c r="ABG24" s="20">
        <v>0</v>
      </c>
      <c r="ABK24" s="20">
        <v>23.93</v>
      </c>
      <c r="ABL24" s="20">
        <v>6</v>
      </c>
      <c r="ABO24" s="20">
        <v>20</v>
      </c>
      <c r="ABP24" s="20" t="s">
        <v>10</v>
      </c>
      <c r="ABQ24" s="20" t="s">
        <v>23</v>
      </c>
      <c r="ABR24" s="34">
        <v>3</v>
      </c>
      <c r="ABS24" s="20">
        <v>17</v>
      </c>
      <c r="ABT24" s="20">
        <v>7</v>
      </c>
      <c r="ABU24" s="20" t="s">
        <v>166</v>
      </c>
      <c r="ABV24" s="20" t="s">
        <v>156</v>
      </c>
      <c r="ABW24" s="20">
        <v>20</v>
      </c>
      <c r="ABX24" s="20">
        <v>26</v>
      </c>
      <c r="ABY24" s="20">
        <v>10</v>
      </c>
      <c r="ABZ24" s="20">
        <v>5</v>
      </c>
      <c r="ACA24" s="20" t="s">
        <v>174</v>
      </c>
      <c r="ACB24" s="33">
        <v>4</v>
      </c>
      <c r="ACC24" s="20">
        <v>14</v>
      </c>
      <c r="ACD24" s="20">
        <v>6</v>
      </c>
      <c r="ACE24" s="20" t="s">
        <v>207</v>
      </c>
      <c r="ACF24" s="20" t="s">
        <v>154</v>
      </c>
      <c r="ACG24" s="20">
        <v>17</v>
      </c>
      <c r="ACH24" s="20">
        <v>10</v>
      </c>
      <c r="ACI24" s="20">
        <v>6</v>
      </c>
      <c r="ACJ24" s="20">
        <v>12</v>
      </c>
      <c r="ACK24" s="20" t="s">
        <v>172</v>
      </c>
      <c r="ACM24" s="20">
        <v>0</v>
      </c>
      <c r="ACN24" s="20">
        <v>1</v>
      </c>
      <c r="ACO24" s="20">
        <v>1</v>
      </c>
      <c r="ACP24" s="20">
        <v>0</v>
      </c>
      <c r="ACQ24" s="20">
        <v>0</v>
      </c>
      <c r="ACR24" s="20">
        <v>0</v>
      </c>
      <c r="ACS24" s="20">
        <v>0</v>
      </c>
      <c r="ACT24" s="20">
        <v>1</v>
      </c>
      <c r="ACX24" s="20">
        <v>1.68</v>
      </c>
      <c r="ACY24" s="20">
        <v>3</v>
      </c>
    </row>
    <row r="25" spans="1:779" x14ac:dyDescent="0.3">
      <c r="A25" s="27"/>
      <c r="B25" s="20">
        <v>21</v>
      </c>
      <c r="C25" s="20" t="s">
        <v>5</v>
      </c>
      <c r="D25" s="20" t="s">
        <v>7</v>
      </c>
      <c r="E25" s="29">
        <v>2</v>
      </c>
      <c r="F25" s="20">
        <v>10</v>
      </c>
      <c r="G25" s="30">
        <v>4</v>
      </c>
      <c r="H25" s="27">
        <v>0.4</v>
      </c>
      <c r="I25" s="28">
        <v>0.89</v>
      </c>
      <c r="J25" s="20">
        <v>28</v>
      </c>
      <c r="K25" s="20">
        <v>13</v>
      </c>
      <c r="L25" s="20">
        <v>13</v>
      </c>
      <c r="M25" s="30">
        <v>19</v>
      </c>
      <c r="N25" s="27">
        <v>0.71199999999999997</v>
      </c>
      <c r="O25" s="31">
        <v>1</v>
      </c>
      <c r="P25" s="20">
        <v>7</v>
      </c>
      <c r="Q25" s="30">
        <v>4</v>
      </c>
      <c r="R25" s="27">
        <v>0.57140000000000002</v>
      </c>
      <c r="S25" s="28">
        <v>0.75</v>
      </c>
      <c r="T25" s="20">
        <v>32</v>
      </c>
      <c r="U25" s="20">
        <v>7</v>
      </c>
      <c r="V25" s="20">
        <v>12</v>
      </c>
      <c r="W25" s="30">
        <v>8</v>
      </c>
      <c r="X25" s="27">
        <v>0.28799999999999998</v>
      </c>
      <c r="Z25" s="20">
        <v>0</v>
      </c>
      <c r="AA25" s="20">
        <v>0</v>
      </c>
      <c r="AB25" s="20">
        <v>1</v>
      </c>
      <c r="AC25" s="20">
        <v>0</v>
      </c>
      <c r="AD25" s="20">
        <v>1</v>
      </c>
      <c r="AE25" s="20">
        <v>1</v>
      </c>
      <c r="AF25" s="20">
        <v>0</v>
      </c>
      <c r="AG25" s="20">
        <v>1</v>
      </c>
      <c r="AK25" s="20">
        <v>17.14</v>
      </c>
      <c r="AL25" s="20">
        <v>4</v>
      </c>
      <c r="AM25" s="20"/>
      <c r="AN25" s="20"/>
      <c r="AO25" s="20">
        <v>21</v>
      </c>
      <c r="AP25" s="20" t="s">
        <v>14</v>
      </c>
      <c r="AQ25" s="20" t="s">
        <v>6</v>
      </c>
      <c r="AR25" s="32">
        <v>1</v>
      </c>
      <c r="AS25" s="30">
        <v>18</v>
      </c>
      <c r="AT25" s="30">
        <v>8</v>
      </c>
      <c r="AU25" s="27">
        <v>0.44440000000000002</v>
      </c>
      <c r="AV25" s="28">
        <v>0.88</v>
      </c>
      <c r="AW25" s="20">
        <v>22</v>
      </c>
      <c r="AX25" s="20">
        <v>18</v>
      </c>
      <c r="AY25" s="30">
        <v>21</v>
      </c>
      <c r="AZ25" s="20">
        <v>12</v>
      </c>
      <c r="BA25" s="27">
        <v>0.63700000000000001</v>
      </c>
      <c r="BB25" s="32">
        <v>1</v>
      </c>
      <c r="BC25" s="20">
        <v>4</v>
      </c>
      <c r="BD25" s="20">
        <v>2</v>
      </c>
      <c r="BE25" s="20" t="s">
        <v>125</v>
      </c>
      <c r="BF25" s="20" t="s">
        <v>203</v>
      </c>
      <c r="BG25" s="20">
        <v>26</v>
      </c>
      <c r="BH25" s="20">
        <v>11</v>
      </c>
      <c r="BI25" s="20">
        <v>6</v>
      </c>
      <c r="BJ25" s="20">
        <v>10</v>
      </c>
      <c r="BK25" s="20" t="s">
        <v>274</v>
      </c>
      <c r="BM25" s="32">
        <v>1</v>
      </c>
      <c r="BN25" s="32">
        <v>0</v>
      </c>
      <c r="BO25" s="32">
        <v>1</v>
      </c>
      <c r="BP25" s="32">
        <v>0</v>
      </c>
      <c r="BQ25" s="32">
        <v>1</v>
      </c>
      <c r="BR25" s="32">
        <v>1</v>
      </c>
      <c r="BS25" s="32">
        <v>0</v>
      </c>
      <c r="BT25" s="32">
        <v>1</v>
      </c>
      <c r="BX25" s="32">
        <v>5.56</v>
      </c>
      <c r="BY25" s="32">
        <v>4</v>
      </c>
      <c r="BZ25" s="20"/>
      <c r="CA25" s="20"/>
      <c r="CB25" s="20">
        <v>21</v>
      </c>
      <c r="CC25" s="20" t="s">
        <v>7</v>
      </c>
      <c r="CD25" s="20" t="s">
        <v>11</v>
      </c>
      <c r="CE25" s="32">
        <v>0</v>
      </c>
      <c r="CF25" s="20">
        <v>20</v>
      </c>
      <c r="CG25" s="20">
        <v>3</v>
      </c>
      <c r="CH25" s="20" t="s">
        <v>489</v>
      </c>
      <c r="CI25" s="20" t="s">
        <v>168</v>
      </c>
      <c r="CJ25" s="20">
        <v>19</v>
      </c>
      <c r="CK25" s="20">
        <v>23</v>
      </c>
      <c r="CL25" s="20">
        <v>16</v>
      </c>
      <c r="CM25" s="20">
        <v>9</v>
      </c>
      <c r="CN25" s="20" t="s">
        <v>356</v>
      </c>
      <c r="CO25" s="32">
        <v>0</v>
      </c>
      <c r="CP25" s="20">
        <v>7</v>
      </c>
      <c r="CQ25" s="20">
        <v>1</v>
      </c>
      <c r="CR25" s="20" t="s">
        <v>164</v>
      </c>
      <c r="CS25" s="20" t="s">
        <v>331</v>
      </c>
      <c r="CT25" s="20">
        <v>17</v>
      </c>
      <c r="CU25" s="20">
        <v>23</v>
      </c>
      <c r="CV25" s="20">
        <v>4</v>
      </c>
      <c r="CW25" s="20">
        <v>10</v>
      </c>
      <c r="CX25" s="20" t="s">
        <v>355</v>
      </c>
      <c r="CZ25" s="32">
        <v>1</v>
      </c>
      <c r="DA25" s="32">
        <v>1</v>
      </c>
      <c r="DB25" s="32">
        <v>1</v>
      </c>
      <c r="DC25" s="32">
        <v>1</v>
      </c>
      <c r="DD25" s="32">
        <v>0</v>
      </c>
      <c r="DE25" s="32">
        <v>1</v>
      </c>
      <c r="DF25" s="32">
        <v>1</v>
      </c>
      <c r="DG25" s="32">
        <v>1</v>
      </c>
      <c r="DK25" s="32">
        <v>0.71</v>
      </c>
      <c r="DL25" s="32">
        <v>2</v>
      </c>
      <c r="DO25" s="20">
        <v>21</v>
      </c>
      <c r="DP25" s="20" t="s">
        <v>18</v>
      </c>
      <c r="DQ25" s="20" t="s">
        <v>8</v>
      </c>
      <c r="DR25" s="32">
        <v>2</v>
      </c>
      <c r="DS25" s="20">
        <v>14</v>
      </c>
      <c r="DT25" s="20">
        <v>5</v>
      </c>
      <c r="DU25" s="20" t="s">
        <v>297</v>
      </c>
      <c r="DV25" s="20" t="s">
        <v>134</v>
      </c>
      <c r="DW25" s="20">
        <v>17</v>
      </c>
      <c r="DX25" s="20">
        <v>10</v>
      </c>
      <c r="DY25" s="20">
        <v>9</v>
      </c>
      <c r="DZ25" s="20">
        <v>10</v>
      </c>
      <c r="EA25" s="20" t="s">
        <v>490</v>
      </c>
      <c r="EB25" s="32">
        <v>2</v>
      </c>
      <c r="EC25" s="20">
        <v>11</v>
      </c>
      <c r="ED25" s="20">
        <v>5</v>
      </c>
      <c r="EE25" s="20" t="s">
        <v>358</v>
      </c>
      <c r="EF25" s="20" t="s">
        <v>144</v>
      </c>
      <c r="EG25" s="20">
        <v>15</v>
      </c>
      <c r="EH25" s="20">
        <v>17</v>
      </c>
      <c r="EI25" s="20">
        <v>3</v>
      </c>
      <c r="EJ25" s="20">
        <v>9</v>
      </c>
      <c r="EK25" s="20" t="s">
        <v>491</v>
      </c>
      <c r="EM25" s="32">
        <v>1</v>
      </c>
      <c r="EN25" s="32">
        <v>0</v>
      </c>
      <c r="EO25" s="32">
        <v>1</v>
      </c>
      <c r="EP25" s="32">
        <v>1</v>
      </c>
      <c r="EQ25" s="32">
        <v>0</v>
      </c>
      <c r="ER25" s="32">
        <v>1</v>
      </c>
      <c r="ES25" s="32">
        <v>0</v>
      </c>
      <c r="ET25" s="32">
        <v>1</v>
      </c>
      <c r="EX25" s="32">
        <v>9.74</v>
      </c>
      <c r="EY25" s="32">
        <v>2</v>
      </c>
      <c r="FB25" s="20">
        <v>21</v>
      </c>
      <c r="FC25" s="20" t="s">
        <v>9</v>
      </c>
      <c r="FD25" s="20" t="s">
        <v>19</v>
      </c>
      <c r="FE25" s="33">
        <v>5</v>
      </c>
      <c r="FF25" s="20">
        <v>10</v>
      </c>
      <c r="FG25" s="20">
        <v>5</v>
      </c>
      <c r="FH25" s="20" t="s">
        <v>125</v>
      </c>
      <c r="FI25" s="20" t="s">
        <v>147</v>
      </c>
      <c r="FJ25" s="20">
        <v>22</v>
      </c>
      <c r="FK25" s="20">
        <v>23</v>
      </c>
      <c r="FL25" s="20">
        <v>4</v>
      </c>
      <c r="FM25" s="20">
        <v>11</v>
      </c>
      <c r="FN25" s="20" t="s">
        <v>321</v>
      </c>
      <c r="FO25" s="34">
        <v>2</v>
      </c>
      <c r="FP25" s="20">
        <v>9</v>
      </c>
      <c r="FQ25" s="20">
        <v>2</v>
      </c>
      <c r="FR25" s="20" t="s">
        <v>146</v>
      </c>
      <c r="FS25" s="20" t="s">
        <v>139</v>
      </c>
      <c r="FT25" s="20">
        <v>20</v>
      </c>
      <c r="FU25" s="20">
        <v>20</v>
      </c>
      <c r="FV25" s="20">
        <v>5</v>
      </c>
      <c r="FW25" s="20">
        <v>12</v>
      </c>
      <c r="FX25" s="20" t="s">
        <v>322</v>
      </c>
      <c r="FZ25" s="20">
        <v>1</v>
      </c>
      <c r="GA25" s="20">
        <v>1</v>
      </c>
      <c r="GB25" s="20">
        <v>1</v>
      </c>
      <c r="GC25" s="20">
        <v>1</v>
      </c>
      <c r="GD25" s="20">
        <v>1</v>
      </c>
      <c r="GE25" s="20">
        <v>0</v>
      </c>
      <c r="GF25" s="20">
        <v>1</v>
      </c>
      <c r="GG25" s="20">
        <v>1</v>
      </c>
      <c r="GK25" s="20">
        <v>27.78</v>
      </c>
      <c r="GL25" s="20">
        <v>2</v>
      </c>
      <c r="GO25" s="20">
        <v>21</v>
      </c>
      <c r="GP25" s="20" t="s">
        <v>21</v>
      </c>
      <c r="GQ25" s="20" t="s">
        <v>10</v>
      </c>
      <c r="GR25" s="34">
        <v>0</v>
      </c>
      <c r="GS25" s="20">
        <v>3</v>
      </c>
      <c r="GT25" s="20">
        <v>1</v>
      </c>
      <c r="GU25" s="20" t="s">
        <v>209</v>
      </c>
      <c r="GV25" s="20" t="s">
        <v>446</v>
      </c>
      <c r="GW25" s="20">
        <v>23</v>
      </c>
      <c r="GX25" s="20">
        <v>23</v>
      </c>
      <c r="GY25" s="20">
        <v>14</v>
      </c>
      <c r="GZ25" s="20">
        <v>9</v>
      </c>
      <c r="HA25" s="20" t="s">
        <v>290</v>
      </c>
      <c r="HB25" s="33">
        <v>3</v>
      </c>
      <c r="HC25" s="20">
        <v>26</v>
      </c>
      <c r="HD25" s="20">
        <v>10</v>
      </c>
      <c r="HE25" s="20" t="s">
        <v>202</v>
      </c>
      <c r="HF25" s="20" t="s">
        <v>219</v>
      </c>
      <c r="HG25" s="20">
        <v>22</v>
      </c>
      <c r="HH25" s="20">
        <v>18</v>
      </c>
      <c r="HI25" s="20">
        <v>13</v>
      </c>
      <c r="HJ25" s="20">
        <v>13</v>
      </c>
      <c r="HK25" s="20" t="s">
        <v>292</v>
      </c>
      <c r="HM25" s="20">
        <v>1</v>
      </c>
      <c r="HN25" s="20">
        <v>1</v>
      </c>
      <c r="HO25" s="20">
        <v>1</v>
      </c>
      <c r="HP25" s="20">
        <v>0</v>
      </c>
      <c r="HQ25" s="20">
        <v>0</v>
      </c>
      <c r="HR25" s="20">
        <v>0</v>
      </c>
      <c r="HS25" s="20">
        <v>0</v>
      </c>
      <c r="HT25" s="20">
        <v>1</v>
      </c>
      <c r="HX25" s="20">
        <v>5.13</v>
      </c>
      <c r="HY25" s="20">
        <v>1</v>
      </c>
      <c r="IB25" s="20">
        <v>21</v>
      </c>
      <c r="IC25" s="20" t="s">
        <v>7</v>
      </c>
      <c r="ID25" s="20" t="s">
        <v>11</v>
      </c>
      <c r="IE25" s="32">
        <v>0</v>
      </c>
      <c r="IF25" s="20">
        <v>7</v>
      </c>
      <c r="IG25" s="20">
        <v>1</v>
      </c>
      <c r="IH25" s="20" t="s">
        <v>164</v>
      </c>
      <c r="II25" s="20" t="s">
        <v>331</v>
      </c>
      <c r="IJ25" s="20">
        <v>17</v>
      </c>
      <c r="IK25" s="20">
        <v>23</v>
      </c>
      <c r="IL25" s="20">
        <v>4</v>
      </c>
      <c r="IM25" s="20">
        <v>10</v>
      </c>
      <c r="IN25" s="20" t="s">
        <v>355</v>
      </c>
      <c r="IO25" s="32">
        <v>0</v>
      </c>
      <c r="IP25" s="20">
        <v>20</v>
      </c>
      <c r="IQ25" s="20">
        <v>3</v>
      </c>
      <c r="IR25" s="20" t="s">
        <v>489</v>
      </c>
      <c r="IS25" s="20" t="s">
        <v>168</v>
      </c>
      <c r="IT25" s="20">
        <v>19</v>
      </c>
      <c r="IU25" s="20">
        <v>23</v>
      </c>
      <c r="IV25" s="20">
        <v>16</v>
      </c>
      <c r="IW25" s="20">
        <v>9</v>
      </c>
      <c r="IX25" s="20" t="s">
        <v>356</v>
      </c>
      <c r="IZ25" s="32">
        <v>1</v>
      </c>
      <c r="JA25" s="32">
        <v>1</v>
      </c>
      <c r="JB25" s="32">
        <v>1</v>
      </c>
      <c r="JC25" s="32">
        <v>1</v>
      </c>
      <c r="JD25" s="32">
        <v>0</v>
      </c>
      <c r="JE25" s="32">
        <v>1</v>
      </c>
      <c r="JF25" s="32">
        <v>1</v>
      </c>
      <c r="JG25" s="32">
        <v>1</v>
      </c>
      <c r="JK25" s="32">
        <v>0.71</v>
      </c>
      <c r="JL25" s="32">
        <v>2</v>
      </c>
      <c r="JO25" s="20">
        <v>21</v>
      </c>
      <c r="JP25" s="20" t="s">
        <v>12</v>
      </c>
      <c r="JQ25" s="20" t="s">
        <v>5</v>
      </c>
      <c r="JR25" s="34">
        <v>1</v>
      </c>
      <c r="JS25" s="20">
        <v>15</v>
      </c>
      <c r="JT25" s="20">
        <v>9</v>
      </c>
      <c r="JU25" s="20" t="s">
        <v>173</v>
      </c>
      <c r="JV25" s="20" t="s">
        <v>139</v>
      </c>
      <c r="JW25" s="20">
        <v>23</v>
      </c>
      <c r="JX25" s="20">
        <v>12</v>
      </c>
      <c r="JY25" s="20">
        <v>7</v>
      </c>
      <c r="JZ25" s="20">
        <v>10</v>
      </c>
      <c r="KA25" s="20" t="s">
        <v>492</v>
      </c>
      <c r="KB25" s="33">
        <v>2</v>
      </c>
      <c r="KC25" s="20">
        <v>12</v>
      </c>
      <c r="KD25" s="20">
        <v>6</v>
      </c>
      <c r="KE25" s="20" t="s">
        <v>125</v>
      </c>
      <c r="KF25" s="20" t="s">
        <v>258</v>
      </c>
      <c r="KG25" s="20">
        <v>19</v>
      </c>
      <c r="KH25" s="20">
        <v>8</v>
      </c>
      <c r="KI25" s="20">
        <v>8</v>
      </c>
      <c r="KJ25" s="20">
        <v>15</v>
      </c>
      <c r="KK25" s="20" t="s">
        <v>493</v>
      </c>
      <c r="KM25" s="20">
        <v>0</v>
      </c>
      <c r="KN25" s="20">
        <v>0</v>
      </c>
      <c r="KO25" s="20">
        <v>1</v>
      </c>
      <c r="KP25" s="20">
        <v>0</v>
      </c>
      <c r="KQ25" s="20">
        <v>0</v>
      </c>
      <c r="KR25" s="20">
        <v>1</v>
      </c>
      <c r="KS25" s="20">
        <v>0</v>
      </c>
      <c r="KT25" s="20">
        <v>1</v>
      </c>
      <c r="KX25" s="20">
        <v>10</v>
      </c>
      <c r="KY25" s="20">
        <v>4</v>
      </c>
      <c r="LB25" s="20">
        <v>21</v>
      </c>
      <c r="LC25" s="20" t="s">
        <v>34</v>
      </c>
      <c r="LD25" s="20" t="s">
        <v>13</v>
      </c>
      <c r="LE25" s="34">
        <v>1</v>
      </c>
      <c r="LF25" s="20">
        <v>9</v>
      </c>
      <c r="LG25" s="20">
        <v>3</v>
      </c>
      <c r="LH25" s="20" t="s">
        <v>209</v>
      </c>
      <c r="LI25" s="20" t="s">
        <v>144</v>
      </c>
      <c r="LJ25" s="20">
        <v>13</v>
      </c>
      <c r="LK25" s="20">
        <v>19</v>
      </c>
      <c r="LL25" s="20">
        <v>12</v>
      </c>
      <c r="LM25" s="20">
        <v>11</v>
      </c>
      <c r="LN25" s="20" t="s">
        <v>172</v>
      </c>
      <c r="LO25" s="33">
        <v>5</v>
      </c>
      <c r="LP25" s="20">
        <v>11</v>
      </c>
      <c r="LQ25" s="20">
        <v>7</v>
      </c>
      <c r="LR25" s="20" t="s">
        <v>178</v>
      </c>
      <c r="LS25" s="20" t="s">
        <v>147</v>
      </c>
      <c r="LT25" s="20">
        <v>20</v>
      </c>
      <c r="LU25" s="20">
        <v>16</v>
      </c>
      <c r="LV25" s="20">
        <v>12</v>
      </c>
      <c r="LW25" s="20">
        <v>6</v>
      </c>
      <c r="LX25" s="20" t="s">
        <v>174</v>
      </c>
      <c r="LZ25" s="20">
        <v>1</v>
      </c>
      <c r="MA25" s="20">
        <v>1</v>
      </c>
      <c r="MB25" s="20">
        <v>0</v>
      </c>
      <c r="MC25" s="20">
        <v>1</v>
      </c>
      <c r="MD25" s="20">
        <v>0</v>
      </c>
      <c r="ME25" s="20">
        <v>0</v>
      </c>
      <c r="MF25" s="20">
        <v>1</v>
      </c>
      <c r="MG25" s="20">
        <v>0</v>
      </c>
      <c r="MK25" s="20">
        <v>30.3</v>
      </c>
      <c r="ML25" s="20">
        <v>7</v>
      </c>
      <c r="MO25" s="20">
        <v>21</v>
      </c>
      <c r="MP25" s="20" t="s">
        <v>14</v>
      </c>
      <c r="MQ25" s="20" t="s">
        <v>6</v>
      </c>
      <c r="MR25" s="32">
        <v>1</v>
      </c>
      <c r="MS25" s="20">
        <v>4</v>
      </c>
      <c r="MT25" s="20">
        <v>2</v>
      </c>
      <c r="MU25" s="20" t="s">
        <v>125</v>
      </c>
      <c r="MV25" s="20" t="s">
        <v>203</v>
      </c>
      <c r="MW25" s="20">
        <v>26</v>
      </c>
      <c r="MX25" s="20">
        <v>11</v>
      </c>
      <c r="MY25" s="20">
        <v>6</v>
      </c>
      <c r="MZ25" s="20">
        <v>10</v>
      </c>
      <c r="NA25" s="20" t="s">
        <v>274</v>
      </c>
      <c r="NB25" s="32">
        <v>1</v>
      </c>
      <c r="NC25" s="20">
        <v>18</v>
      </c>
      <c r="ND25" s="20">
        <v>8</v>
      </c>
      <c r="NE25" s="20" t="s">
        <v>197</v>
      </c>
      <c r="NF25" s="20" t="s">
        <v>199</v>
      </c>
      <c r="NG25" s="20">
        <v>22</v>
      </c>
      <c r="NH25" s="20">
        <v>18</v>
      </c>
      <c r="NI25" s="20">
        <v>21</v>
      </c>
      <c r="NJ25" s="20">
        <v>12</v>
      </c>
      <c r="NK25" s="20" t="s">
        <v>275</v>
      </c>
      <c r="NM25" s="32">
        <v>1</v>
      </c>
      <c r="NN25" s="32">
        <v>0</v>
      </c>
      <c r="NO25" s="32">
        <v>1</v>
      </c>
      <c r="NP25" s="32">
        <v>0</v>
      </c>
      <c r="NQ25" s="32">
        <v>1</v>
      </c>
      <c r="NR25" s="32">
        <v>1</v>
      </c>
      <c r="NS25" s="32">
        <v>0</v>
      </c>
      <c r="NT25" s="32">
        <v>1</v>
      </c>
      <c r="NX25" s="32">
        <v>5.56</v>
      </c>
      <c r="NY25" s="32">
        <v>4</v>
      </c>
      <c r="OB25" s="20">
        <v>21</v>
      </c>
      <c r="OC25" s="20" t="s">
        <v>23</v>
      </c>
      <c r="OD25" s="20" t="s">
        <v>15</v>
      </c>
      <c r="OE25" s="34">
        <v>2</v>
      </c>
      <c r="OF25" s="20">
        <v>13</v>
      </c>
      <c r="OG25" s="20">
        <v>4</v>
      </c>
      <c r="OH25" s="20" t="s">
        <v>337</v>
      </c>
      <c r="OI25" s="20" t="s">
        <v>258</v>
      </c>
      <c r="OJ25" s="20">
        <v>18</v>
      </c>
      <c r="OK25" s="20">
        <v>10</v>
      </c>
      <c r="OL25" s="20">
        <v>8</v>
      </c>
      <c r="OM25" s="20">
        <v>8</v>
      </c>
      <c r="ON25" s="20" t="s">
        <v>494</v>
      </c>
      <c r="OO25" s="33">
        <v>3</v>
      </c>
      <c r="OP25" s="20">
        <v>12</v>
      </c>
      <c r="OQ25" s="20">
        <v>8</v>
      </c>
      <c r="OR25" s="20" t="s">
        <v>192</v>
      </c>
      <c r="OS25" s="20" t="s">
        <v>219</v>
      </c>
      <c r="OT25" s="20">
        <v>12</v>
      </c>
      <c r="OU25" s="20">
        <v>13</v>
      </c>
      <c r="OV25" s="20">
        <v>14</v>
      </c>
      <c r="OW25" s="20">
        <v>8</v>
      </c>
      <c r="OX25" s="20" t="s">
        <v>495</v>
      </c>
      <c r="OZ25" s="20">
        <v>1</v>
      </c>
      <c r="PA25" s="20">
        <v>1</v>
      </c>
      <c r="PB25" s="20">
        <v>0</v>
      </c>
      <c r="PC25" s="20">
        <v>0</v>
      </c>
      <c r="PD25" s="20">
        <v>1</v>
      </c>
      <c r="PE25" s="20">
        <v>1</v>
      </c>
      <c r="PF25" s="20">
        <v>0</v>
      </c>
      <c r="PG25" s="20">
        <v>0</v>
      </c>
      <c r="PK25" s="20">
        <v>35.9</v>
      </c>
      <c r="PL25" s="20">
        <v>6</v>
      </c>
      <c r="PO25" s="20">
        <v>21</v>
      </c>
      <c r="PP25" s="20" t="s">
        <v>16</v>
      </c>
      <c r="PQ25" s="20" t="s">
        <v>17</v>
      </c>
      <c r="PR25" s="32">
        <v>1</v>
      </c>
      <c r="PS25" s="20">
        <v>10</v>
      </c>
      <c r="PT25" s="20">
        <v>3</v>
      </c>
      <c r="PU25" s="20" t="s">
        <v>237</v>
      </c>
      <c r="PV25" s="20" t="s">
        <v>129</v>
      </c>
      <c r="PW25" s="20">
        <v>17</v>
      </c>
      <c r="PX25" s="20">
        <v>16</v>
      </c>
      <c r="PY25" s="20">
        <v>11</v>
      </c>
      <c r="PZ25" s="20">
        <v>16</v>
      </c>
      <c r="QA25" s="20" t="s">
        <v>441</v>
      </c>
      <c r="QB25" s="32">
        <v>1</v>
      </c>
      <c r="QC25" s="20">
        <v>10</v>
      </c>
      <c r="QD25" s="20">
        <v>2</v>
      </c>
      <c r="QE25" s="20" t="s">
        <v>141</v>
      </c>
      <c r="QF25" s="20" t="s">
        <v>176</v>
      </c>
      <c r="QG25" s="20">
        <v>27</v>
      </c>
      <c r="QH25" s="20">
        <v>13</v>
      </c>
      <c r="QI25" s="20">
        <v>7</v>
      </c>
      <c r="QJ25" s="20">
        <v>10</v>
      </c>
      <c r="QK25" s="20" t="s">
        <v>442</v>
      </c>
      <c r="QM25" s="32">
        <v>1</v>
      </c>
      <c r="QN25" s="32">
        <v>1</v>
      </c>
      <c r="QO25" s="32">
        <v>1</v>
      </c>
      <c r="QP25" s="32">
        <v>0</v>
      </c>
      <c r="QQ25" s="32">
        <v>1</v>
      </c>
      <c r="QR25" s="32">
        <v>1</v>
      </c>
      <c r="QS25" s="32">
        <v>0</v>
      </c>
      <c r="QT25" s="32">
        <v>1</v>
      </c>
      <c r="QX25" s="32">
        <v>10</v>
      </c>
      <c r="QY25" s="32">
        <v>10</v>
      </c>
      <c r="RB25" s="20">
        <v>21</v>
      </c>
      <c r="RC25" s="20" t="s">
        <v>18</v>
      </c>
      <c r="RD25" s="20" t="s">
        <v>8</v>
      </c>
      <c r="RE25" s="32">
        <v>2</v>
      </c>
      <c r="RF25" s="20">
        <v>11</v>
      </c>
      <c r="RG25" s="20">
        <v>5</v>
      </c>
      <c r="RH25" s="20" t="s">
        <v>358</v>
      </c>
      <c r="RI25" s="20" t="s">
        <v>144</v>
      </c>
      <c r="RJ25" s="20">
        <v>15</v>
      </c>
      <c r="RK25" s="20">
        <v>17</v>
      </c>
      <c r="RL25" s="20">
        <v>3</v>
      </c>
      <c r="RM25" s="20">
        <v>9</v>
      </c>
      <c r="RN25" s="20" t="s">
        <v>491</v>
      </c>
      <c r="RO25" s="32">
        <v>2</v>
      </c>
      <c r="RP25" s="20">
        <v>14</v>
      </c>
      <c r="RQ25" s="20">
        <v>5</v>
      </c>
      <c r="RR25" s="20" t="s">
        <v>297</v>
      </c>
      <c r="RS25" s="20" t="s">
        <v>134</v>
      </c>
      <c r="RT25" s="20">
        <v>17</v>
      </c>
      <c r="RU25" s="20">
        <v>10</v>
      </c>
      <c r="RV25" s="20">
        <v>9</v>
      </c>
      <c r="RW25" s="20">
        <v>10</v>
      </c>
      <c r="RX25" s="20" t="s">
        <v>490</v>
      </c>
      <c r="RZ25" s="32">
        <v>1</v>
      </c>
      <c r="SA25" s="32">
        <v>0</v>
      </c>
      <c r="SB25" s="32">
        <v>1</v>
      </c>
      <c r="SC25" s="32">
        <v>1</v>
      </c>
      <c r="SD25" s="32">
        <v>0</v>
      </c>
      <c r="SE25" s="32">
        <v>1</v>
      </c>
      <c r="SF25" s="32">
        <v>0</v>
      </c>
      <c r="SG25" s="32">
        <v>1</v>
      </c>
      <c r="SK25" s="32">
        <v>9.74</v>
      </c>
      <c r="SL25" s="32">
        <v>2</v>
      </c>
      <c r="SO25" s="20">
        <v>21</v>
      </c>
      <c r="SP25" s="20" t="s">
        <v>9</v>
      </c>
      <c r="SQ25" s="20" t="s">
        <v>19</v>
      </c>
      <c r="SR25" s="34">
        <v>2</v>
      </c>
      <c r="SS25" s="20">
        <v>9</v>
      </c>
      <c r="ST25" s="20">
        <v>2</v>
      </c>
      <c r="SU25" s="20" t="s">
        <v>146</v>
      </c>
      <c r="SV25" s="20" t="s">
        <v>139</v>
      </c>
      <c r="SW25" s="20">
        <v>20</v>
      </c>
      <c r="SX25" s="20">
        <v>20</v>
      </c>
      <c r="SY25" s="20">
        <v>5</v>
      </c>
      <c r="SZ25" s="20">
        <v>12</v>
      </c>
      <c r="TA25" s="20" t="s">
        <v>322</v>
      </c>
      <c r="TB25" s="33">
        <v>5</v>
      </c>
      <c r="TC25" s="20">
        <v>10</v>
      </c>
      <c r="TD25" s="20">
        <v>5</v>
      </c>
      <c r="TE25" s="20" t="s">
        <v>125</v>
      </c>
      <c r="TF25" s="20" t="s">
        <v>147</v>
      </c>
      <c r="TG25" s="20">
        <v>22</v>
      </c>
      <c r="TH25" s="20">
        <v>23</v>
      </c>
      <c r="TI25" s="20">
        <v>4</v>
      </c>
      <c r="TJ25" s="20">
        <v>11</v>
      </c>
      <c r="TK25" s="20" t="s">
        <v>321</v>
      </c>
      <c r="TM25" s="20">
        <v>1</v>
      </c>
      <c r="TN25" s="20">
        <v>1</v>
      </c>
      <c r="TO25" s="20">
        <v>1</v>
      </c>
      <c r="TP25" s="20">
        <v>1</v>
      </c>
      <c r="TQ25" s="20">
        <v>1</v>
      </c>
      <c r="TR25" s="20">
        <v>0</v>
      </c>
      <c r="TS25" s="20">
        <v>1</v>
      </c>
      <c r="TT25" s="20">
        <v>1</v>
      </c>
      <c r="TX25" s="20">
        <v>27.78</v>
      </c>
      <c r="TY25" s="20">
        <v>2</v>
      </c>
      <c r="UB25" s="20">
        <v>21</v>
      </c>
      <c r="UC25" s="20" t="s">
        <v>16</v>
      </c>
      <c r="UD25" s="20" t="s">
        <v>17</v>
      </c>
      <c r="UE25" s="32">
        <v>1</v>
      </c>
      <c r="UF25" s="20">
        <v>10</v>
      </c>
      <c r="UG25" s="20">
        <v>2</v>
      </c>
      <c r="UH25" s="20" t="s">
        <v>141</v>
      </c>
      <c r="UI25" s="20" t="s">
        <v>176</v>
      </c>
      <c r="UJ25" s="20">
        <v>27</v>
      </c>
      <c r="UK25" s="20">
        <v>13</v>
      </c>
      <c r="UL25" s="20">
        <v>7</v>
      </c>
      <c r="UM25" s="20">
        <v>10</v>
      </c>
      <c r="UN25" s="20" t="s">
        <v>442</v>
      </c>
      <c r="UO25" s="32">
        <v>1</v>
      </c>
      <c r="UP25" s="20">
        <v>10</v>
      </c>
      <c r="UQ25" s="20">
        <v>3</v>
      </c>
      <c r="UR25" s="20" t="s">
        <v>237</v>
      </c>
      <c r="US25" s="20" t="s">
        <v>129</v>
      </c>
      <c r="UT25" s="20">
        <v>17</v>
      </c>
      <c r="UU25" s="20">
        <v>16</v>
      </c>
      <c r="UV25" s="20">
        <v>11</v>
      </c>
      <c r="UW25" s="20">
        <v>16</v>
      </c>
      <c r="UX25" s="20" t="s">
        <v>441</v>
      </c>
      <c r="UZ25" s="32">
        <v>1</v>
      </c>
      <c r="VA25" s="32">
        <v>1</v>
      </c>
      <c r="VB25" s="32">
        <v>1</v>
      </c>
      <c r="VC25" s="32">
        <v>0</v>
      </c>
      <c r="VD25" s="32">
        <v>1</v>
      </c>
      <c r="VE25" s="32">
        <v>1</v>
      </c>
      <c r="VF25" s="32">
        <v>0</v>
      </c>
      <c r="VG25" s="32">
        <v>1</v>
      </c>
      <c r="VK25" s="32">
        <v>10</v>
      </c>
      <c r="VL25" s="32">
        <v>10</v>
      </c>
      <c r="VO25" s="20">
        <v>21</v>
      </c>
      <c r="VP25" s="20" t="s">
        <v>20</v>
      </c>
      <c r="VQ25" s="20" t="s">
        <v>22</v>
      </c>
      <c r="VR25" s="33">
        <v>3</v>
      </c>
      <c r="VS25" s="20">
        <v>20</v>
      </c>
      <c r="VT25" s="20">
        <v>9</v>
      </c>
      <c r="VU25" s="20" t="s">
        <v>382</v>
      </c>
      <c r="VV25" s="20" t="s">
        <v>176</v>
      </c>
      <c r="VW25" s="20">
        <v>21</v>
      </c>
      <c r="VX25" s="20">
        <v>14</v>
      </c>
      <c r="VY25" s="20">
        <v>9</v>
      </c>
      <c r="VZ25" s="20">
        <v>9</v>
      </c>
      <c r="WA25" s="20" t="s">
        <v>345</v>
      </c>
      <c r="WB25" s="34">
        <v>2</v>
      </c>
      <c r="WC25" s="20">
        <v>9</v>
      </c>
      <c r="WD25" s="20">
        <v>2</v>
      </c>
      <c r="WE25" s="20" t="s">
        <v>146</v>
      </c>
      <c r="WF25" s="20" t="s">
        <v>123</v>
      </c>
      <c r="WG25" s="20">
        <v>14</v>
      </c>
      <c r="WH25" s="20">
        <v>9</v>
      </c>
      <c r="WI25" s="20">
        <v>10</v>
      </c>
      <c r="WJ25" s="20">
        <v>15</v>
      </c>
      <c r="WK25" s="20" t="s">
        <v>346</v>
      </c>
      <c r="WM25" s="20">
        <v>1</v>
      </c>
      <c r="WN25" s="20">
        <v>1</v>
      </c>
      <c r="WO25" s="20">
        <v>1</v>
      </c>
      <c r="WP25" s="20">
        <v>1</v>
      </c>
      <c r="WQ25" s="20">
        <v>1</v>
      </c>
      <c r="WR25" s="20">
        <v>0</v>
      </c>
      <c r="WS25" s="20">
        <v>1</v>
      </c>
      <c r="WT25" s="20">
        <v>0</v>
      </c>
      <c r="WX25" s="20">
        <v>22.78</v>
      </c>
      <c r="WY25" s="20">
        <v>7</v>
      </c>
      <c r="XB25" s="20">
        <v>21</v>
      </c>
      <c r="XC25" s="20" t="s">
        <v>17</v>
      </c>
      <c r="XD25" s="20" t="s">
        <v>34</v>
      </c>
      <c r="XE25" s="33">
        <v>1</v>
      </c>
      <c r="XF25" s="20">
        <v>7</v>
      </c>
      <c r="XG25" s="20">
        <v>3</v>
      </c>
      <c r="XH25" s="20" t="s">
        <v>207</v>
      </c>
      <c r="XI25" s="20" t="s">
        <v>126</v>
      </c>
      <c r="XJ25" s="20">
        <v>25</v>
      </c>
      <c r="XK25" s="20">
        <v>12</v>
      </c>
      <c r="XL25" s="20">
        <v>16</v>
      </c>
      <c r="XM25" s="20">
        <v>5</v>
      </c>
      <c r="XN25" s="20" t="s">
        <v>496</v>
      </c>
      <c r="XO25" s="34">
        <v>0</v>
      </c>
      <c r="XP25" s="20">
        <v>15</v>
      </c>
      <c r="XQ25" s="20">
        <v>2</v>
      </c>
      <c r="XR25" s="20" t="s">
        <v>479</v>
      </c>
      <c r="XS25" s="20" t="s">
        <v>171</v>
      </c>
      <c r="XT25" s="20">
        <v>17</v>
      </c>
      <c r="XU25" s="20">
        <v>24</v>
      </c>
      <c r="XV25" s="20">
        <v>11</v>
      </c>
      <c r="XW25" s="20">
        <v>14</v>
      </c>
      <c r="XX25" s="20" t="s">
        <v>371</v>
      </c>
      <c r="XZ25" s="20">
        <v>1</v>
      </c>
      <c r="YA25" s="20">
        <v>1</v>
      </c>
      <c r="YB25" s="20">
        <v>0</v>
      </c>
      <c r="YC25" s="20">
        <v>1</v>
      </c>
      <c r="YD25" s="20">
        <v>0</v>
      </c>
      <c r="YE25" s="20">
        <v>1</v>
      </c>
      <c r="YF25" s="20">
        <v>1</v>
      </c>
      <c r="YG25" s="20">
        <v>0</v>
      </c>
      <c r="YK25" s="20">
        <v>29.52</v>
      </c>
      <c r="YL25" s="20">
        <v>8</v>
      </c>
      <c r="YO25" s="20">
        <v>21</v>
      </c>
      <c r="YP25" s="20" t="s">
        <v>21</v>
      </c>
      <c r="YQ25" s="20" t="s">
        <v>10</v>
      </c>
      <c r="YR25" s="33">
        <v>3</v>
      </c>
      <c r="YS25" s="20">
        <v>26</v>
      </c>
      <c r="YT25" s="20">
        <v>10</v>
      </c>
      <c r="YU25" s="20" t="s">
        <v>202</v>
      </c>
      <c r="YV25" s="20" t="s">
        <v>219</v>
      </c>
      <c r="YW25" s="20">
        <v>22</v>
      </c>
      <c r="YX25" s="20">
        <v>18</v>
      </c>
      <c r="YY25" s="20">
        <v>13</v>
      </c>
      <c r="YZ25" s="20">
        <v>13</v>
      </c>
      <c r="ZA25" s="20" t="s">
        <v>292</v>
      </c>
      <c r="ZB25" s="34">
        <v>0</v>
      </c>
      <c r="ZC25" s="20">
        <v>3</v>
      </c>
      <c r="ZD25" s="20">
        <v>1</v>
      </c>
      <c r="ZE25" s="20" t="s">
        <v>209</v>
      </c>
      <c r="ZF25" s="20" t="s">
        <v>446</v>
      </c>
      <c r="ZG25" s="20">
        <v>23</v>
      </c>
      <c r="ZH25" s="20">
        <v>23</v>
      </c>
      <c r="ZI25" s="20">
        <v>14</v>
      </c>
      <c r="ZJ25" s="20">
        <v>9</v>
      </c>
      <c r="ZK25" s="20" t="s">
        <v>290</v>
      </c>
      <c r="ZM25" s="20">
        <v>1</v>
      </c>
      <c r="ZN25" s="20">
        <v>1</v>
      </c>
      <c r="ZO25" s="20">
        <v>1</v>
      </c>
      <c r="ZP25" s="20">
        <v>0</v>
      </c>
      <c r="ZQ25" s="20">
        <v>0</v>
      </c>
      <c r="ZR25" s="20">
        <v>0</v>
      </c>
      <c r="ZS25" s="20">
        <v>0</v>
      </c>
      <c r="ZT25" s="20">
        <v>1</v>
      </c>
      <c r="ZX25" s="20">
        <v>5.13</v>
      </c>
      <c r="ZY25" s="20">
        <v>1</v>
      </c>
      <c r="AAB25" s="20">
        <v>21</v>
      </c>
      <c r="AAC25" s="20" t="s">
        <v>20</v>
      </c>
      <c r="AAD25" s="20" t="s">
        <v>22</v>
      </c>
      <c r="AAE25" s="34">
        <v>2</v>
      </c>
      <c r="AAF25" s="20">
        <v>9</v>
      </c>
      <c r="AAG25" s="20">
        <v>2</v>
      </c>
      <c r="AAH25" s="20" t="s">
        <v>146</v>
      </c>
      <c r="AAI25" s="20" t="s">
        <v>123</v>
      </c>
      <c r="AAJ25" s="20">
        <v>14</v>
      </c>
      <c r="AAK25" s="20">
        <v>9</v>
      </c>
      <c r="AAL25" s="20">
        <v>10</v>
      </c>
      <c r="AAM25" s="20">
        <v>15</v>
      </c>
      <c r="AAN25" s="20" t="s">
        <v>346</v>
      </c>
      <c r="AAO25" s="33">
        <v>3</v>
      </c>
      <c r="AAP25" s="20">
        <v>20</v>
      </c>
      <c r="AAQ25" s="20">
        <v>9</v>
      </c>
      <c r="AAR25" s="20" t="s">
        <v>382</v>
      </c>
      <c r="AAS25" s="20" t="s">
        <v>176</v>
      </c>
      <c r="AAT25" s="20">
        <v>21</v>
      </c>
      <c r="AAU25" s="20">
        <v>14</v>
      </c>
      <c r="AAV25" s="20">
        <v>9</v>
      </c>
      <c r="AAW25" s="20">
        <v>9</v>
      </c>
      <c r="AAX25" s="20" t="s">
        <v>345</v>
      </c>
      <c r="AAZ25" s="20">
        <v>1</v>
      </c>
      <c r="ABA25" s="20">
        <v>1</v>
      </c>
      <c r="ABB25" s="20">
        <v>1</v>
      </c>
      <c r="ABC25" s="20">
        <v>1</v>
      </c>
      <c r="ABD25" s="20">
        <v>1</v>
      </c>
      <c r="ABE25" s="20">
        <v>0</v>
      </c>
      <c r="ABF25" s="20">
        <v>1</v>
      </c>
      <c r="ABG25" s="20">
        <v>0</v>
      </c>
      <c r="ABK25" s="20">
        <v>22.78</v>
      </c>
      <c r="ABL25" s="20">
        <v>7</v>
      </c>
      <c r="ABO25" s="20">
        <v>21</v>
      </c>
      <c r="ABP25" s="20" t="s">
        <v>23</v>
      </c>
      <c r="ABQ25" s="20" t="s">
        <v>15</v>
      </c>
      <c r="ABR25" s="33">
        <v>3</v>
      </c>
      <c r="ABS25" s="20">
        <v>12</v>
      </c>
      <c r="ABT25" s="20">
        <v>8</v>
      </c>
      <c r="ABU25" s="20" t="s">
        <v>192</v>
      </c>
      <c r="ABV25" s="20" t="s">
        <v>219</v>
      </c>
      <c r="ABW25" s="20">
        <v>12</v>
      </c>
      <c r="ABX25" s="20">
        <v>13</v>
      </c>
      <c r="ABY25" s="20">
        <v>14</v>
      </c>
      <c r="ABZ25" s="20">
        <v>8</v>
      </c>
      <c r="ACA25" s="20" t="s">
        <v>495</v>
      </c>
      <c r="ACB25" s="34">
        <v>2</v>
      </c>
      <c r="ACC25" s="20">
        <v>13</v>
      </c>
      <c r="ACD25" s="20">
        <v>4</v>
      </c>
      <c r="ACE25" s="20" t="s">
        <v>337</v>
      </c>
      <c r="ACF25" s="20" t="s">
        <v>258</v>
      </c>
      <c r="ACG25" s="20">
        <v>18</v>
      </c>
      <c r="ACH25" s="20">
        <v>10</v>
      </c>
      <c r="ACI25" s="20">
        <v>8</v>
      </c>
      <c r="ACJ25" s="20">
        <v>8</v>
      </c>
      <c r="ACK25" s="20" t="s">
        <v>494</v>
      </c>
      <c r="ACM25" s="20">
        <v>1</v>
      </c>
      <c r="ACN25" s="20">
        <v>1</v>
      </c>
      <c r="ACO25" s="20">
        <v>0</v>
      </c>
      <c r="ACP25" s="20">
        <v>0</v>
      </c>
      <c r="ACQ25" s="20">
        <v>1</v>
      </c>
      <c r="ACR25" s="20">
        <v>1</v>
      </c>
      <c r="ACS25" s="20">
        <v>0</v>
      </c>
      <c r="ACT25" s="20">
        <v>0</v>
      </c>
      <c r="ACX25" s="20">
        <v>35.9</v>
      </c>
      <c r="ACY25" s="20">
        <v>6</v>
      </c>
    </row>
    <row r="26" spans="1:779" x14ac:dyDescent="0.3">
      <c r="A26" s="27">
        <f>E26/G26</f>
        <v>0.5</v>
      </c>
      <c r="B26" s="20">
        <v>22</v>
      </c>
      <c r="C26" s="20" t="s">
        <v>23</v>
      </c>
      <c r="D26" s="20" t="s">
        <v>5</v>
      </c>
      <c r="E26" s="29">
        <v>2</v>
      </c>
      <c r="F26" s="20">
        <v>11</v>
      </c>
      <c r="G26" s="30">
        <v>4</v>
      </c>
      <c r="H26" s="27">
        <v>0.36359999999999998</v>
      </c>
      <c r="I26" s="28">
        <v>0.86</v>
      </c>
      <c r="J26" s="20">
        <v>28</v>
      </c>
      <c r="K26" s="20">
        <v>8</v>
      </c>
      <c r="L26" s="20">
        <v>3</v>
      </c>
      <c r="M26" s="30">
        <v>10</v>
      </c>
      <c r="N26" s="27">
        <v>0.69599999999999995</v>
      </c>
      <c r="O26" s="31">
        <v>0</v>
      </c>
      <c r="P26" s="20">
        <v>11</v>
      </c>
      <c r="Q26" s="30">
        <v>3</v>
      </c>
      <c r="R26" s="27">
        <v>0.2727</v>
      </c>
      <c r="S26" s="28">
        <v>0.72</v>
      </c>
      <c r="T26" s="20">
        <v>20</v>
      </c>
      <c r="U26" s="20">
        <v>5</v>
      </c>
      <c r="V26" s="20">
        <v>9</v>
      </c>
      <c r="W26" s="30">
        <v>21</v>
      </c>
      <c r="X26" s="27">
        <v>0.30399999999999999</v>
      </c>
      <c r="Z26" s="20">
        <v>1</v>
      </c>
      <c r="AA26" s="20">
        <v>1</v>
      </c>
      <c r="AB26" s="20">
        <v>1</v>
      </c>
      <c r="AC26" s="20">
        <v>1</v>
      </c>
      <c r="AD26" s="20">
        <v>1</v>
      </c>
      <c r="AE26" s="20">
        <v>0</v>
      </c>
      <c r="AF26" s="20">
        <v>1</v>
      </c>
      <c r="AG26" s="20">
        <v>1</v>
      </c>
      <c r="AK26" s="20">
        <v>9.09</v>
      </c>
      <c r="AL26" s="20">
        <v>8</v>
      </c>
      <c r="AM26" s="20"/>
      <c r="AN26" s="20"/>
      <c r="AO26" s="20">
        <v>22</v>
      </c>
      <c r="AP26" s="20" t="s">
        <v>6</v>
      </c>
      <c r="AQ26" s="20" t="s">
        <v>18</v>
      </c>
      <c r="AR26" s="33">
        <v>6</v>
      </c>
      <c r="AS26" s="30">
        <v>18</v>
      </c>
      <c r="AT26" s="30">
        <v>7</v>
      </c>
      <c r="AU26" s="27">
        <v>0.38890000000000002</v>
      </c>
      <c r="AV26" s="28">
        <v>0.89</v>
      </c>
      <c r="AW26" s="20">
        <v>12</v>
      </c>
      <c r="AX26" s="20">
        <v>12</v>
      </c>
      <c r="AY26" s="30">
        <v>16</v>
      </c>
      <c r="AZ26" s="20">
        <v>8</v>
      </c>
      <c r="BA26" s="27">
        <v>0.67600000000000005</v>
      </c>
      <c r="BB26" s="34">
        <v>0</v>
      </c>
      <c r="BC26" s="20">
        <v>15</v>
      </c>
      <c r="BD26" s="20">
        <v>5</v>
      </c>
      <c r="BE26" s="20" t="s">
        <v>209</v>
      </c>
      <c r="BF26" s="20" t="s">
        <v>161</v>
      </c>
      <c r="BG26" s="20">
        <v>17</v>
      </c>
      <c r="BH26" s="20">
        <v>7</v>
      </c>
      <c r="BI26" s="20">
        <v>14</v>
      </c>
      <c r="BJ26" s="20">
        <v>9</v>
      </c>
      <c r="BK26" s="20" t="s">
        <v>497</v>
      </c>
      <c r="BM26" s="20">
        <v>1</v>
      </c>
      <c r="BN26" s="20">
        <v>1</v>
      </c>
      <c r="BO26" s="20">
        <v>1</v>
      </c>
      <c r="BP26" s="20">
        <v>0</v>
      </c>
      <c r="BQ26" s="20">
        <v>1</v>
      </c>
      <c r="BR26" s="20">
        <v>1</v>
      </c>
      <c r="BS26" s="20">
        <v>1</v>
      </c>
      <c r="BT26" s="20">
        <v>1</v>
      </c>
      <c r="BX26" s="20">
        <v>5.56</v>
      </c>
      <c r="BY26" s="20">
        <v>5</v>
      </c>
      <c r="BZ26" s="20"/>
      <c r="CA26" s="20"/>
      <c r="CB26" s="20">
        <v>22</v>
      </c>
      <c r="CC26" s="20" t="s">
        <v>5</v>
      </c>
      <c r="CD26" s="20" t="s">
        <v>7</v>
      </c>
      <c r="CE26" s="34">
        <v>1</v>
      </c>
      <c r="CF26" s="20">
        <v>7</v>
      </c>
      <c r="CG26" s="20">
        <v>4</v>
      </c>
      <c r="CH26" s="20" t="s">
        <v>226</v>
      </c>
      <c r="CI26" s="20" t="s">
        <v>176</v>
      </c>
      <c r="CJ26" s="20">
        <v>32</v>
      </c>
      <c r="CK26" s="20">
        <v>7</v>
      </c>
      <c r="CL26" s="20">
        <v>12</v>
      </c>
      <c r="CM26" s="20">
        <v>8</v>
      </c>
      <c r="CN26" s="20" t="s">
        <v>498</v>
      </c>
      <c r="CO26" s="33">
        <v>2</v>
      </c>
      <c r="CP26" s="20">
        <v>10</v>
      </c>
      <c r="CQ26" s="20">
        <v>4</v>
      </c>
      <c r="CR26" s="20" t="s">
        <v>133</v>
      </c>
      <c r="CS26" s="20" t="s">
        <v>343</v>
      </c>
      <c r="CT26" s="20">
        <v>28</v>
      </c>
      <c r="CU26" s="20">
        <v>13</v>
      </c>
      <c r="CV26" s="20">
        <v>13</v>
      </c>
      <c r="CW26" s="20">
        <v>19</v>
      </c>
      <c r="CX26" s="20" t="s">
        <v>499</v>
      </c>
      <c r="CZ26" s="20">
        <v>0</v>
      </c>
      <c r="DA26" s="20">
        <v>0</v>
      </c>
      <c r="DB26" s="20">
        <v>1</v>
      </c>
      <c r="DC26" s="20">
        <v>0</v>
      </c>
      <c r="DD26" s="20">
        <v>1</v>
      </c>
      <c r="DE26" s="20">
        <v>1</v>
      </c>
      <c r="DF26" s="20">
        <v>0</v>
      </c>
      <c r="DG26" s="20">
        <v>1</v>
      </c>
      <c r="DK26" s="20">
        <v>17.14</v>
      </c>
      <c r="DL26" s="20">
        <v>4</v>
      </c>
      <c r="DO26" s="20">
        <v>22</v>
      </c>
      <c r="DP26" s="20" t="s">
        <v>8</v>
      </c>
      <c r="DQ26" s="20" t="s">
        <v>20</v>
      </c>
      <c r="DR26" s="33">
        <v>1</v>
      </c>
      <c r="DS26" s="20">
        <v>12</v>
      </c>
      <c r="DT26" s="20">
        <v>7</v>
      </c>
      <c r="DU26" s="20" t="s">
        <v>405</v>
      </c>
      <c r="DV26" s="20" t="s">
        <v>144</v>
      </c>
      <c r="DW26" s="20">
        <v>23</v>
      </c>
      <c r="DX26" s="20">
        <v>16</v>
      </c>
      <c r="DY26" s="20">
        <v>10</v>
      </c>
      <c r="DZ26" s="20">
        <v>9</v>
      </c>
      <c r="EA26" s="20" t="s">
        <v>391</v>
      </c>
      <c r="EB26" s="34">
        <v>0</v>
      </c>
      <c r="EC26" s="20">
        <v>7</v>
      </c>
      <c r="ED26" s="20">
        <v>2</v>
      </c>
      <c r="EE26" s="20" t="s">
        <v>170</v>
      </c>
      <c r="EF26" s="20" t="s">
        <v>123</v>
      </c>
      <c r="EG26" s="20">
        <v>18</v>
      </c>
      <c r="EH26" s="20">
        <v>13</v>
      </c>
      <c r="EI26" s="20">
        <v>7</v>
      </c>
      <c r="EJ26" s="20">
        <v>16</v>
      </c>
      <c r="EK26" s="20" t="s">
        <v>390</v>
      </c>
      <c r="EM26" s="20">
        <v>1</v>
      </c>
      <c r="EN26" s="20">
        <v>1</v>
      </c>
      <c r="EO26" s="20">
        <v>1</v>
      </c>
      <c r="EP26" s="20">
        <v>1</v>
      </c>
      <c r="EQ26" s="20">
        <v>1</v>
      </c>
      <c r="ER26" s="20">
        <v>1</v>
      </c>
      <c r="ES26" s="20">
        <v>1</v>
      </c>
      <c r="ET26" s="20">
        <v>1</v>
      </c>
      <c r="EX26" s="20">
        <v>29.76</v>
      </c>
      <c r="EY26" s="20">
        <v>5</v>
      </c>
      <c r="FB26" s="20">
        <v>22</v>
      </c>
      <c r="FC26" s="20" t="s">
        <v>22</v>
      </c>
      <c r="FD26" s="20" t="s">
        <v>9</v>
      </c>
      <c r="FE26" s="33">
        <v>1</v>
      </c>
      <c r="FF26" s="20">
        <v>12</v>
      </c>
      <c r="FG26" s="20">
        <v>3</v>
      </c>
      <c r="FH26" s="20" t="s">
        <v>131</v>
      </c>
      <c r="FI26" s="20" t="s">
        <v>307</v>
      </c>
      <c r="FJ26" s="20">
        <v>15</v>
      </c>
      <c r="FK26" s="20">
        <v>23</v>
      </c>
      <c r="FL26" s="20">
        <v>5</v>
      </c>
      <c r="FM26" s="20">
        <v>13</v>
      </c>
      <c r="FN26" s="20" t="s">
        <v>500</v>
      </c>
      <c r="FO26" s="34">
        <v>0</v>
      </c>
      <c r="FP26" s="20">
        <v>9</v>
      </c>
      <c r="FQ26" s="20">
        <v>3</v>
      </c>
      <c r="FR26" s="20" t="s">
        <v>209</v>
      </c>
      <c r="FS26" s="20" t="s">
        <v>203</v>
      </c>
      <c r="FT26" s="20">
        <v>27</v>
      </c>
      <c r="FU26" s="20">
        <v>8</v>
      </c>
      <c r="FV26" s="20">
        <v>15</v>
      </c>
      <c r="FW26" s="20">
        <v>7</v>
      </c>
      <c r="FX26" s="20" t="s">
        <v>446</v>
      </c>
      <c r="FZ26" s="20">
        <v>1</v>
      </c>
      <c r="GA26" s="20">
        <v>0</v>
      </c>
      <c r="GB26" s="20">
        <v>0</v>
      </c>
      <c r="GC26" s="20">
        <v>0</v>
      </c>
      <c r="GD26" s="20">
        <v>1</v>
      </c>
      <c r="GE26" s="20">
        <v>0</v>
      </c>
      <c r="GF26" s="20">
        <v>0</v>
      </c>
      <c r="GG26" s="20">
        <v>0</v>
      </c>
      <c r="GK26" s="20">
        <v>8.33</v>
      </c>
      <c r="GL26" s="20">
        <v>12</v>
      </c>
      <c r="GO26" s="20">
        <v>22</v>
      </c>
      <c r="GP26" s="20" t="s">
        <v>15</v>
      </c>
      <c r="GQ26" s="20" t="s">
        <v>10</v>
      </c>
      <c r="GR26" s="34">
        <v>1</v>
      </c>
      <c r="GS26" s="20">
        <v>5</v>
      </c>
      <c r="GT26" s="20">
        <v>2</v>
      </c>
      <c r="GU26" s="20" t="s">
        <v>133</v>
      </c>
      <c r="GV26" s="20" t="s">
        <v>123</v>
      </c>
      <c r="GW26" s="20">
        <v>21</v>
      </c>
      <c r="GX26" s="20">
        <v>13</v>
      </c>
      <c r="GY26" s="20">
        <v>11</v>
      </c>
      <c r="GZ26" s="20">
        <v>16</v>
      </c>
      <c r="HA26" s="20" t="s">
        <v>300</v>
      </c>
      <c r="HB26" s="33">
        <v>2</v>
      </c>
      <c r="HC26" s="20">
        <v>13</v>
      </c>
      <c r="HD26" s="20">
        <v>5</v>
      </c>
      <c r="HE26" s="20" t="s">
        <v>202</v>
      </c>
      <c r="HF26" s="20" t="s">
        <v>144</v>
      </c>
      <c r="HG26" s="20">
        <v>22</v>
      </c>
      <c r="HH26" s="20">
        <v>14</v>
      </c>
      <c r="HI26" s="20">
        <v>12</v>
      </c>
      <c r="HJ26" s="20">
        <v>15</v>
      </c>
      <c r="HK26" s="20" t="s">
        <v>299</v>
      </c>
      <c r="HM26" s="20">
        <v>1</v>
      </c>
      <c r="HN26" s="20">
        <v>0</v>
      </c>
      <c r="HO26" s="20">
        <v>1</v>
      </c>
      <c r="HP26" s="20">
        <v>1</v>
      </c>
      <c r="HQ26" s="20">
        <v>1</v>
      </c>
      <c r="HR26" s="20">
        <v>1</v>
      </c>
      <c r="HS26" s="20">
        <v>1</v>
      </c>
      <c r="HT26" s="20">
        <v>1</v>
      </c>
      <c r="HX26" s="20">
        <v>1.54</v>
      </c>
      <c r="HY26" s="20">
        <v>1</v>
      </c>
      <c r="IB26" s="20">
        <v>22</v>
      </c>
      <c r="IC26" s="20" t="s">
        <v>11</v>
      </c>
      <c r="ID26" s="20" t="s">
        <v>23</v>
      </c>
      <c r="IE26" s="33">
        <v>3</v>
      </c>
      <c r="IF26" s="20">
        <v>14</v>
      </c>
      <c r="IG26" s="20">
        <v>8</v>
      </c>
      <c r="IH26" s="20" t="s">
        <v>226</v>
      </c>
      <c r="II26" s="20" t="s">
        <v>144</v>
      </c>
      <c r="IJ26" s="20">
        <v>15</v>
      </c>
      <c r="IK26" s="20">
        <v>12</v>
      </c>
      <c r="IL26" s="20">
        <v>8</v>
      </c>
      <c r="IM26" s="20">
        <v>4</v>
      </c>
      <c r="IN26" s="20" t="s">
        <v>466</v>
      </c>
      <c r="IO26" s="34">
        <v>1</v>
      </c>
      <c r="IP26" s="20">
        <v>22</v>
      </c>
      <c r="IQ26" s="20">
        <v>4</v>
      </c>
      <c r="IR26" s="20" t="s">
        <v>138</v>
      </c>
      <c r="IS26" s="20" t="s">
        <v>168</v>
      </c>
      <c r="IT26" s="20">
        <v>9</v>
      </c>
      <c r="IU26" s="20">
        <v>7</v>
      </c>
      <c r="IV26" s="20">
        <v>11</v>
      </c>
      <c r="IW26" s="20">
        <v>8</v>
      </c>
      <c r="IX26" s="20" t="s">
        <v>473</v>
      </c>
      <c r="IZ26" s="20">
        <v>1</v>
      </c>
      <c r="JA26" s="20">
        <v>1</v>
      </c>
      <c r="JB26" s="20">
        <v>0</v>
      </c>
      <c r="JC26" s="20">
        <v>1</v>
      </c>
      <c r="JD26" s="20">
        <v>1</v>
      </c>
      <c r="JE26" s="20">
        <v>0</v>
      </c>
      <c r="JF26" s="20">
        <v>1</v>
      </c>
      <c r="JG26" s="20">
        <v>0</v>
      </c>
      <c r="JK26" s="20">
        <v>38.96</v>
      </c>
      <c r="JL26" s="20">
        <v>6</v>
      </c>
      <c r="JO26" s="20">
        <v>22</v>
      </c>
      <c r="JP26" s="20" t="s">
        <v>19</v>
      </c>
      <c r="JQ26" s="20" t="s">
        <v>12</v>
      </c>
      <c r="JR26" s="33">
        <v>2</v>
      </c>
      <c r="JS26" s="20">
        <v>7</v>
      </c>
      <c r="JT26" s="20">
        <v>4</v>
      </c>
      <c r="JU26" s="20" t="s">
        <v>226</v>
      </c>
      <c r="JV26" s="20" t="s">
        <v>283</v>
      </c>
      <c r="JW26" s="20">
        <v>23</v>
      </c>
      <c r="JX26" s="20">
        <v>28</v>
      </c>
      <c r="JY26" s="20">
        <v>6</v>
      </c>
      <c r="JZ26" s="20">
        <v>14</v>
      </c>
      <c r="KA26" s="20" t="s">
        <v>152</v>
      </c>
      <c r="KB26" s="34">
        <v>1</v>
      </c>
      <c r="KC26" s="20">
        <v>11</v>
      </c>
      <c r="KD26" s="20">
        <v>3</v>
      </c>
      <c r="KE26" s="20" t="s">
        <v>128</v>
      </c>
      <c r="KF26" s="20" t="s">
        <v>307</v>
      </c>
      <c r="KG26" s="20">
        <v>21</v>
      </c>
      <c r="KH26" s="20">
        <v>23</v>
      </c>
      <c r="KI26" s="20">
        <v>3</v>
      </c>
      <c r="KJ26" s="20">
        <v>16</v>
      </c>
      <c r="KK26" s="20" t="s">
        <v>155</v>
      </c>
      <c r="KM26" s="20">
        <v>1</v>
      </c>
      <c r="KN26" s="20">
        <v>1</v>
      </c>
      <c r="KO26" s="20">
        <v>0</v>
      </c>
      <c r="KP26" s="20">
        <v>1</v>
      </c>
      <c r="KQ26" s="20">
        <v>1</v>
      </c>
      <c r="KR26" s="20">
        <v>1</v>
      </c>
      <c r="KS26" s="20">
        <v>1</v>
      </c>
      <c r="KT26" s="20">
        <v>0</v>
      </c>
      <c r="KX26" s="20">
        <v>29.87</v>
      </c>
      <c r="KY26" s="20">
        <v>2</v>
      </c>
      <c r="LB26" s="20">
        <v>22</v>
      </c>
      <c r="LC26" s="20" t="s">
        <v>13</v>
      </c>
      <c r="LD26" s="20" t="s">
        <v>14</v>
      </c>
      <c r="LE26" s="33">
        <v>2</v>
      </c>
      <c r="LF26" s="20">
        <v>11</v>
      </c>
      <c r="LG26" s="20">
        <v>4</v>
      </c>
      <c r="LH26" s="20" t="s">
        <v>249</v>
      </c>
      <c r="LI26" s="20" t="s">
        <v>161</v>
      </c>
      <c r="LJ26" s="20">
        <v>18</v>
      </c>
      <c r="LK26" s="20">
        <v>12</v>
      </c>
      <c r="LL26" s="20">
        <v>2</v>
      </c>
      <c r="LM26" s="20">
        <v>6</v>
      </c>
      <c r="LN26" s="20" t="s">
        <v>488</v>
      </c>
      <c r="LO26" s="34">
        <v>1</v>
      </c>
      <c r="LP26" s="20">
        <v>8</v>
      </c>
      <c r="LQ26" s="20">
        <v>1</v>
      </c>
      <c r="LR26" s="20" t="s">
        <v>122</v>
      </c>
      <c r="LS26" s="20" t="s">
        <v>171</v>
      </c>
      <c r="LT26" s="20">
        <v>16</v>
      </c>
      <c r="LU26" s="20">
        <v>13</v>
      </c>
      <c r="LV26" s="20">
        <v>8</v>
      </c>
      <c r="LW26" s="20">
        <v>13</v>
      </c>
      <c r="LX26" s="20" t="s">
        <v>487</v>
      </c>
      <c r="LZ26" s="20">
        <v>1</v>
      </c>
      <c r="MA26" s="20">
        <v>1</v>
      </c>
      <c r="MB26" s="20">
        <v>0</v>
      </c>
      <c r="MC26" s="20">
        <v>1</v>
      </c>
      <c r="MD26" s="20">
        <v>0</v>
      </c>
      <c r="ME26" s="20">
        <v>0</v>
      </c>
      <c r="MF26" s="20">
        <v>1</v>
      </c>
      <c r="MG26" s="20">
        <v>0</v>
      </c>
      <c r="MK26" s="20">
        <v>23.86</v>
      </c>
      <c r="ML26" s="20">
        <v>2</v>
      </c>
      <c r="MO26" s="20">
        <v>22</v>
      </c>
      <c r="MP26" s="20" t="s">
        <v>13</v>
      </c>
      <c r="MQ26" s="20" t="s">
        <v>14</v>
      </c>
      <c r="MR26" s="34">
        <v>1</v>
      </c>
      <c r="MS26" s="20">
        <v>8</v>
      </c>
      <c r="MT26" s="20">
        <v>1</v>
      </c>
      <c r="MU26" s="20" t="s">
        <v>122</v>
      </c>
      <c r="MV26" s="20" t="s">
        <v>171</v>
      </c>
      <c r="MW26" s="20">
        <v>16</v>
      </c>
      <c r="MX26" s="20">
        <v>13</v>
      </c>
      <c r="MY26" s="20">
        <v>8</v>
      </c>
      <c r="MZ26" s="20">
        <v>13</v>
      </c>
      <c r="NA26" s="20" t="s">
        <v>487</v>
      </c>
      <c r="NB26" s="33">
        <v>2</v>
      </c>
      <c r="NC26" s="20">
        <v>11</v>
      </c>
      <c r="ND26" s="20">
        <v>4</v>
      </c>
      <c r="NE26" s="20" t="s">
        <v>249</v>
      </c>
      <c r="NF26" s="20" t="s">
        <v>161</v>
      </c>
      <c r="NG26" s="20">
        <v>18</v>
      </c>
      <c r="NH26" s="20">
        <v>12</v>
      </c>
      <c r="NI26" s="20">
        <v>2</v>
      </c>
      <c r="NJ26" s="20">
        <v>6</v>
      </c>
      <c r="NK26" s="20" t="s">
        <v>488</v>
      </c>
      <c r="NM26" s="20">
        <v>1</v>
      </c>
      <c r="NN26" s="20">
        <v>1</v>
      </c>
      <c r="NO26" s="20">
        <v>0</v>
      </c>
      <c r="NP26" s="20">
        <v>1</v>
      </c>
      <c r="NQ26" s="20">
        <v>0</v>
      </c>
      <c r="NR26" s="20">
        <v>0</v>
      </c>
      <c r="NS26" s="20">
        <v>1</v>
      </c>
      <c r="NT26" s="20">
        <v>0</v>
      </c>
      <c r="NX26" s="20">
        <v>23.86</v>
      </c>
      <c r="NY26" s="20">
        <v>2</v>
      </c>
      <c r="OB26" s="20">
        <v>22</v>
      </c>
      <c r="OC26" s="20" t="s">
        <v>15</v>
      </c>
      <c r="OD26" s="20" t="s">
        <v>10</v>
      </c>
      <c r="OE26" s="33">
        <v>2</v>
      </c>
      <c r="OF26" s="20">
        <v>13</v>
      </c>
      <c r="OG26" s="20">
        <v>5</v>
      </c>
      <c r="OH26" s="20" t="s">
        <v>202</v>
      </c>
      <c r="OI26" s="20" t="s">
        <v>144</v>
      </c>
      <c r="OJ26" s="20">
        <v>22</v>
      </c>
      <c r="OK26" s="20">
        <v>14</v>
      </c>
      <c r="OL26" s="20">
        <v>12</v>
      </c>
      <c r="OM26" s="20">
        <v>15</v>
      </c>
      <c r="ON26" s="20" t="s">
        <v>299</v>
      </c>
      <c r="OO26" s="34">
        <v>1</v>
      </c>
      <c r="OP26" s="20">
        <v>5</v>
      </c>
      <c r="OQ26" s="20">
        <v>2</v>
      </c>
      <c r="OR26" s="20" t="s">
        <v>133</v>
      </c>
      <c r="OS26" s="20" t="s">
        <v>123</v>
      </c>
      <c r="OT26" s="20">
        <v>21</v>
      </c>
      <c r="OU26" s="20">
        <v>13</v>
      </c>
      <c r="OV26" s="20">
        <v>11</v>
      </c>
      <c r="OW26" s="20">
        <v>16</v>
      </c>
      <c r="OX26" s="20" t="s">
        <v>300</v>
      </c>
      <c r="OZ26" s="20">
        <v>1</v>
      </c>
      <c r="PA26" s="20">
        <v>0</v>
      </c>
      <c r="PB26" s="20">
        <v>1</v>
      </c>
      <c r="PC26" s="20">
        <v>1</v>
      </c>
      <c r="PD26" s="20">
        <v>1</v>
      </c>
      <c r="PE26" s="20">
        <v>1</v>
      </c>
      <c r="PF26" s="20">
        <v>1</v>
      </c>
      <c r="PG26" s="20">
        <v>1</v>
      </c>
      <c r="PK26" s="20">
        <v>1.54</v>
      </c>
      <c r="PL26" s="20">
        <v>1</v>
      </c>
      <c r="PO26" s="20">
        <v>22</v>
      </c>
      <c r="PP26" s="20" t="s">
        <v>17</v>
      </c>
      <c r="PQ26" s="20" t="s">
        <v>34</v>
      </c>
      <c r="PR26" s="34">
        <v>0</v>
      </c>
      <c r="PS26" s="20">
        <v>15</v>
      </c>
      <c r="PT26" s="20">
        <v>2</v>
      </c>
      <c r="PU26" s="20" t="s">
        <v>479</v>
      </c>
      <c r="PV26" s="20" t="s">
        <v>171</v>
      </c>
      <c r="PW26" s="20">
        <v>17</v>
      </c>
      <c r="PX26" s="20">
        <v>24</v>
      </c>
      <c r="PY26" s="20">
        <v>11</v>
      </c>
      <c r="PZ26" s="20">
        <v>14</v>
      </c>
      <c r="QA26" s="20" t="s">
        <v>371</v>
      </c>
      <c r="QB26" s="33">
        <v>1</v>
      </c>
      <c r="QC26" s="20">
        <v>7</v>
      </c>
      <c r="QD26" s="20">
        <v>3</v>
      </c>
      <c r="QE26" s="20" t="s">
        <v>207</v>
      </c>
      <c r="QF26" s="20" t="s">
        <v>126</v>
      </c>
      <c r="QG26" s="20">
        <v>25</v>
      </c>
      <c r="QH26" s="20">
        <v>12</v>
      </c>
      <c r="QI26" s="20">
        <v>16</v>
      </c>
      <c r="QJ26" s="20">
        <v>5</v>
      </c>
      <c r="QK26" s="20" t="s">
        <v>496</v>
      </c>
      <c r="QM26" s="20">
        <v>1</v>
      </c>
      <c r="QN26" s="20">
        <v>1</v>
      </c>
      <c r="QO26" s="20">
        <v>0</v>
      </c>
      <c r="QP26" s="20">
        <v>1</v>
      </c>
      <c r="QQ26" s="20">
        <v>0</v>
      </c>
      <c r="QR26" s="20">
        <v>1</v>
      </c>
      <c r="QS26" s="20">
        <v>1</v>
      </c>
      <c r="QT26" s="20">
        <v>0</v>
      </c>
      <c r="QX26" s="20">
        <v>29.52</v>
      </c>
      <c r="QY26" s="20">
        <v>8</v>
      </c>
      <c r="RB26" s="20">
        <v>22</v>
      </c>
      <c r="RC26" s="20" t="s">
        <v>6</v>
      </c>
      <c r="RD26" s="20" t="s">
        <v>18</v>
      </c>
      <c r="RE26" s="34">
        <v>0</v>
      </c>
      <c r="RF26" s="20">
        <v>15</v>
      </c>
      <c r="RG26" s="20">
        <v>5</v>
      </c>
      <c r="RH26" s="20" t="s">
        <v>209</v>
      </c>
      <c r="RI26" s="20" t="s">
        <v>161</v>
      </c>
      <c r="RJ26" s="20">
        <v>17</v>
      </c>
      <c r="RK26" s="20">
        <v>7</v>
      </c>
      <c r="RL26" s="20">
        <v>14</v>
      </c>
      <c r="RM26" s="20">
        <v>9</v>
      </c>
      <c r="RN26" s="20" t="s">
        <v>497</v>
      </c>
      <c r="RO26" s="33">
        <v>6</v>
      </c>
      <c r="RP26" s="20">
        <v>18</v>
      </c>
      <c r="RQ26" s="20">
        <v>7</v>
      </c>
      <c r="RR26" s="20" t="s">
        <v>261</v>
      </c>
      <c r="RS26" s="20" t="s">
        <v>343</v>
      </c>
      <c r="RT26" s="20">
        <v>12</v>
      </c>
      <c r="RU26" s="20">
        <v>12</v>
      </c>
      <c r="RV26" s="20">
        <v>16</v>
      </c>
      <c r="RW26" s="20">
        <v>8</v>
      </c>
      <c r="RX26" s="20" t="s">
        <v>501</v>
      </c>
      <c r="RZ26" s="20">
        <v>1</v>
      </c>
      <c r="SA26" s="20">
        <v>1</v>
      </c>
      <c r="SB26" s="20">
        <v>1</v>
      </c>
      <c r="SC26" s="20">
        <v>0</v>
      </c>
      <c r="SD26" s="20">
        <v>1</v>
      </c>
      <c r="SE26" s="20">
        <v>1</v>
      </c>
      <c r="SF26" s="20">
        <v>1</v>
      </c>
      <c r="SG26" s="20">
        <v>1</v>
      </c>
      <c r="SK26" s="20">
        <v>5.56</v>
      </c>
      <c r="SL26" s="20">
        <v>5</v>
      </c>
      <c r="SO26" s="20">
        <v>22</v>
      </c>
      <c r="SP26" s="20" t="s">
        <v>19</v>
      </c>
      <c r="SQ26" s="20" t="s">
        <v>12</v>
      </c>
      <c r="SR26" s="34">
        <v>1</v>
      </c>
      <c r="SS26" s="20">
        <v>11</v>
      </c>
      <c r="ST26" s="20">
        <v>3</v>
      </c>
      <c r="SU26" s="20" t="s">
        <v>128</v>
      </c>
      <c r="SV26" s="20" t="s">
        <v>307</v>
      </c>
      <c r="SW26" s="20">
        <v>21</v>
      </c>
      <c r="SX26" s="20">
        <v>23</v>
      </c>
      <c r="SY26" s="20">
        <v>3</v>
      </c>
      <c r="SZ26" s="20">
        <v>16</v>
      </c>
      <c r="TA26" s="20" t="s">
        <v>155</v>
      </c>
      <c r="TB26" s="33">
        <v>2</v>
      </c>
      <c r="TC26" s="20">
        <v>7</v>
      </c>
      <c r="TD26" s="20">
        <v>4</v>
      </c>
      <c r="TE26" s="20" t="s">
        <v>226</v>
      </c>
      <c r="TF26" s="20" t="s">
        <v>283</v>
      </c>
      <c r="TG26" s="20">
        <v>23</v>
      </c>
      <c r="TH26" s="20">
        <v>28</v>
      </c>
      <c r="TI26" s="20">
        <v>6</v>
      </c>
      <c r="TJ26" s="20">
        <v>14</v>
      </c>
      <c r="TK26" s="20" t="s">
        <v>152</v>
      </c>
      <c r="TM26" s="20">
        <v>1</v>
      </c>
      <c r="TN26" s="20">
        <v>1</v>
      </c>
      <c r="TO26" s="20">
        <v>0</v>
      </c>
      <c r="TP26" s="20">
        <v>1</v>
      </c>
      <c r="TQ26" s="20">
        <v>1</v>
      </c>
      <c r="TR26" s="20">
        <v>1</v>
      </c>
      <c r="TS26" s="20">
        <v>1</v>
      </c>
      <c r="TT26" s="20">
        <v>0</v>
      </c>
      <c r="TX26" s="20">
        <v>29.87</v>
      </c>
      <c r="TY26" s="20">
        <v>2</v>
      </c>
      <c r="UB26" s="20">
        <v>22</v>
      </c>
      <c r="UC26" s="20" t="s">
        <v>16</v>
      </c>
      <c r="UD26" s="20" t="s">
        <v>21</v>
      </c>
      <c r="UE26" s="32">
        <v>2</v>
      </c>
      <c r="UF26" s="20">
        <v>17</v>
      </c>
      <c r="UG26" s="20">
        <v>5</v>
      </c>
      <c r="UH26" s="20" t="s">
        <v>269</v>
      </c>
      <c r="UI26" s="20" t="s">
        <v>117</v>
      </c>
      <c r="UJ26" s="20">
        <v>16</v>
      </c>
      <c r="UK26" s="20">
        <v>25</v>
      </c>
      <c r="UL26" s="20">
        <v>1</v>
      </c>
      <c r="UM26" s="20">
        <v>15</v>
      </c>
      <c r="UN26" s="20" t="s">
        <v>472</v>
      </c>
      <c r="UO26" s="32">
        <v>2</v>
      </c>
      <c r="UP26" s="20">
        <v>7</v>
      </c>
      <c r="UQ26" s="20">
        <v>3</v>
      </c>
      <c r="UR26" s="20" t="s">
        <v>207</v>
      </c>
      <c r="US26" s="20" t="s">
        <v>307</v>
      </c>
      <c r="UT26" s="20">
        <v>22</v>
      </c>
      <c r="UU26" s="20">
        <v>14</v>
      </c>
      <c r="UV26" s="20">
        <v>7</v>
      </c>
      <c r="UW26" s="20">
        <v>8</v>
      </c>
      <c r="UX26" s="20" t="s">
        <v>471</v>
      </c>
      <c r="UZ26" s="32">
        <v>1</v>
      </c>
      <c r="VA26" s="32">
        <v>0</v>
      </c>
      <c r="VB26" s="32">
        <v>1</v>
      </c>
      <c r="VC26" s="32">
        <v>0</v>
      </c>
      <c r="VD26" s="32">
        <v>1</v>
      </c>
      <c r="VE26" s="32">
        <v>0</v>
      </c>
      <c r="VF26" s="32">
        <v>0</v>
      </c>
      <c r="VG26" s="32">
        <v>1</v>
      </c>
      <c r="VK26" s="32">
        <v>13.45</v>
      </c>
      <c r="VL26" s="32">
        <v>6</v>
      </c>
      <c r="VO26" s="20">
        <v>22</v>
      </c>
      <c r="VP26" s="20" t="s">
        <v>8</v>
      </c>
      <c r="VQ26" s="20" t="s">
        <v>20</v>
      </c>
      <c r="VR26" s="34">
        <v>0</v>
      </c>
      <c r="VS26" s="20">
        <v>7</v>
      </c>
      <c r="VT26" s="20">
        <v>2</v>
      </c>
      <c r="VU26" s="20" t="s">
        <v>170</v>
      </c>
      <c r="VV26" s="20" t="s">
        <v>123</v>
      </c>
      <c r="VW26" s="20">
        <v>18</v>
      </c>
      <c r="VX26" s="20">
        <v>13</v>
      </c>
      <c r="VY26" s="20">
        <v>7</v>
      </c>
      <c r="VZ26" s="20">
        <v>16</v>
      </c>
      <c r="WA26" s="20" t="s">
        <v>390</v>
      </c>
      <c r="WB26" s="33">
        <v>1</v>
      </c>
      <c r="WC26" s="20">
        <v>12</v>
      </c>
      <c r="WD26" s="20">
        <v>7</v>
      </c>
      <c r="WE26" s="20" t="s">
        <v>405</v>
      </c>
      <c r="WF26" s="20" t="s">
        <v>144</v>
      </c>
      <c r="WG26" s="20">
        <v>23</v>
      </c>
      <c r="WH26" s="20">
        <v>16</v>
      </c>
      <c r="WI26" s="20">
        <v>10</v>
      </c>
      <c r="WJ26" s="20">
        <v>9</v>
      </c>
      <c r="WK26" s="20" t="s">
        <v>391</v>
      </c>
      <c r="WM26" s="20">
        <v>1</v>
      </c>
      <c r="WN26" s="20">
        <v>1</v>
      </c>
      <c r="WO26" s="20">
        <v>1</v>
      </c>
      <c r="WP26" s="20">
        <v>1</v>
      </c>
      <c r="WQ26" s="20">
        <v>1</v>
      </c>
      <c r="WR26" s="20">
        <v>1</v>
      </c>
      <c r="WS26" s="20">
        <v>1</v>
      </c>
      <c r="WT26" s="20">
        <v>1</v>
      </c>
      <c r="WX26" s="20">
        <v>29.76</v>
      </c>
      <c r="WY26" s="20">
        <v>5</v>
      </c>
      <c r="XB26" s="20">
        <v>22</v>
      </c>
      <c r="XC26" s="20" t="s">
        <v>34</v>
      </c>
      <c r="XD26" s="20" t="s">
        <v>16</v>
      </c>
      <c r="XE26" s="32">
        <v>1</v>
      </c>
      <c r="XF26" s="20">
        <v>11</v>
      </c>
      <c r="XG26" s="20">
        <v>2</v>
      </c>
      <c r="XH26" s="20" t="s">
        <v>138</v>
      </c>
      <c r="XI26" s="20" t="s">
        <v>307</v>
      </c>
      <c r="XJ26" s="20">
        <v>23</v>
      </c>
      <c r="XK26" s="20">
        <v>15</v>
      </c>
      <c r="XL26" s="20">
        <v>11</v>
      </c>
      <c r="XM26" s="20">
        <v>17</v>
      </c>
      <c r="XN26" s="20" t="s">
        <v>502</v>
      </c>
      <c r="XO26" s="32">
        <v>1</v>
      </c>
      <c r="XP26" s="20">
        <v>5</v>
      </c>
      <c r="XQ26" s="20">
        <v>4</v>
      </c>
      <c r="XR26" s="20" t="s">
        <v>503</v>
      </c>
      <c r="XS26" s="20" t="s">
        <v>203</v>
      </c>
      <c r="XT26" s="20">
        <v>23</v>
      </c>
      <c r="XU26" s="20">
        <v>15</v>
      </c>
      <c r="XV26" s="20">
        <v>6</v>
      </c>
      <c r="XW26" s="20">
        <v>12</v>
      </c>
      <c r="XX26" s="20" t="s">
        <v>504</v>
      </c>
      <c r="XZ26" s="32">
        <v>0</v>
      </c>
      <c r="YA26" s="32">
        <v>0</v>
      </c>
      <c r="YB26" s="32">
        <v>0</v>
      </c>
      <c r="YC26" s="32">
        <v>0</v>
      </c>
      <c r="YD26" s="32">
        <v>0</v>
      </c>
      <c r="YE26" s="32">
        <v>1</v>
      </c>
      <c r="YF26" s="32">
        <v>0</v>
      </c>
      <c r="YG26" s="32">
        <v>0</v>
      </c>
      <c r="YK26" s="32">
        <v>61.82</v>
      </c>
      <c r="YL26" s="32">
        <v>0</v>
      </c>
      <c r="YO26" s="20">
        <v>22</v>
      </c>
      <c r="YP26" s="20" t="s">
        <v>16</v>
      </c>
      <c r="YQ26" s="20" t="s">
        <v>21</v>
      </c>
      <c r="YR26" s="32">
        <v>2</v>
      </c>
      <c r="YS26" s="20">
        <v>7</v>
      </c>
      <c r="YT26" s="20">
        <v>3</v>
      </c>
      <c r="YU26" s="20" t="s">
        <v>207</v>
      </c>
      <c r="YV26" s="20" t="s">
        <v>307</v>
      </c>
      <c r="YW26" s="20">
        <v>22</v>
      </c>
      <c r="YX26" s="20">
        <v>14</v>
      </c>
      <c r="YY26" s="20">
        <v>7</v>
      </c>
      <c r="YZ26" s="20">
        <v>8</v>
      </c>
      <c r="ZA26" s="20" t="s">
        <v>471</v>
      </c>
      <c r="ZB26" s="32">
        <v>2</v>
      </c>
      <c r="ZC26" s="20">
        <v>17</v>
      </c>
      <c r="ZD26" s="20">
        <v>5</v>
      </c>
      <c r="ZE26" s="20" t="s">
        <v>269</v>
      </c>
      <c r="ZF26" s="20" t="s">
        <v>117</v>
      </c>
      <c r="ZG26" s="20">
        <v>16</v>
      </c>
      <c r="ZH26" s="20">
        <v>25</v>
      </c>
      <c r="ZI26" s="20">
        <v>1</v>
      </c>
      <c r="ZJ26" s="20">
        <v>15</v>
      </c>
      <c r="ZK26" s="20" t="s">
        <v>472</v>
      </c>
      <c r="ZM26" s="32">
        <v>1</v>
      </c>
      <c r="ZN26" s="32">
        <v>0</v>
      </c>
      <c r="ZO26" s="32">
        <v>1</v>
      </c>
      <c r="ZP26" s="32">
        <v>0</v>
      </c>
      <c r="ZQ26" s="32">
        <v>1</v>
      </c>
      <c r="ZR26" s="32">
        <v>0</v>
      </c>
      <c r="ZS26" s="32">
        <v>0</v>
      </c>
      <c r="ZT26" s="32">
        <v>1</v>
      </c>
      <c r="ZX26" s="32">
        <v>13.45</v>
      </c>
      <c r="ZY26" s="32">
        <v>6</v>
      </c>
      <c r="AAB26" s="20">
        <v>22</v>
      </c>
      <c r="AAC26" s="20" t="s">
        <v>22</v>
      </c>
      <c r="AAD26" s="20" t="s">
        <v>9</v>
      </c>
      <c r="AAE26" s="34">
        <v>0</v>
      </c>
      <c r="AAF26" s="20">
        <v>9</v>
      </c>
      <c r="AAG26" s="20">
        <v>3</v>
      </c>
      <c r="AAH26" s="20" t="s">
        <v>209</v>
      </c>
      <c r="AAI26" s="20" t="s">
        <v>203</v>
      </c>
      <c r="AAJ26" s="20">
        <v>27</v>
      </c>
      <c r="AAK26" s="20">
        <v>8</v>
      </c>
      <c r="AAL26" s="20">
        <v>15</v>
      </c>
      <c r="AAM26" s="20">
        <v>7</v>
      </c>
      <c r="AAN26" s="20" t="s">
        <v>446</v>
      </c>
      <c r="AAO26" s="33">
        <v>1</v>
      </c>
      <c r="AAP26" s="20">
        <v>12</v>
      </c>
      <c r="AAQ26" s="20">
        <v>3</v>
      </c>
      <c r="AAR26" s="20" t="s">
        <v>131</v>
      </c>
      <c r="AAS26" s="20" t="s">
        <v>307</v>
      </c>
      <c r="AAT26" s="20">
        <v>15</v>
      </c>
      <c r="AAU26" s="20">
        <v>23</v>
      </c>
      <c r="AAV26" s="20">
        <v>5</v>
      </c>
      <c r="AAW26" s="20">
        <v>13</v>
      </c>
      <c r="AAX26" s="20" t="s">
        <v>500</v>
      </c>
      <c r="AAZ26" s="20">
        <v>1</v>
      </c>
      <c r="ABA26" s="20">
        <v>0</v>
      </c>
      <c r="ABB26" s="20">
        <v>0</v>
      </c>
      <c r="ABC26" s="20">
        <v>0</v>
      </c>
      <c r="ABD26" s="20">
        <v>1</v>
      </c>
      <c r="ABE26" s="20">
        <v>0</v>
      </c>
      <c r="ABF26" s="20">
        <v>0</v>
      </c>
      <c r="ABG26" s="20">
        <v>0</v>
      </c>
      <c r="ABK26" s="20">
        <v>8.33</v>
      </c>
      <c r="ABL26" s="20">
        <v>12</v>
      </c>
      <c r="ABO26" s="20">
        <v>22</v>
      </c>
      <c r="ABP26" s="20" t="s">
        <v>11</v>
      </c>
      <c r="ABQ26" s="20" t="s">
        <v>23</v>
      </c>
      <c r="ABR26" s="34">
        <v>1</v>
      </c>
      <c r="ABS26" s="20">
        <v>22</v>
      </c>
      <c r="ABT26" s="20">
        <v>4</v>
      </c>
      <c r="ABU26" s="20" t="s">
        <v>138</v>
      </c>
      <c r="ABV26" s="20" t="s">
        <v>168</v>
      </c>
      <c r="ABW26" s="20">
        <v>9</v>
      </c>
      <c r="ABX26" s="20">
        <v>7</v>
      </c>
      <c r="ABY26" s="20">
        <v>11</v>
      </c>
      <c r="ABZ26" s="20">
        <v>8</v>
      </c>
      <c r="ACA26" s="20" t="s">
        <v>473</v>
      </c>
      <c r="ACB26" s="33">
        <v>3</v>
      </c>
      <c r="ACC26" s="20">
        <v>14</v>
      </c>
      <c r="ACD26" s="20">
        <v>8</v>
      </c>
      <c r="ACE26" s="20" t="s">
        <v>226</v>
      </c>
      <c r="ACF26" s="20" t="s">
        <v>144</v>
      </c>
      <c r="ACG26" s="20">
        <v>15</v>
      </c>
      <c r="ACH26" s="20">
        <v>12</v>
      </c>
      <c r="ACI26" s="20">
        <v>8</v>
      </c>
      <c r="ACJ26" s="20">
        <v>4</v>
      </c>
      <c r="ACK26" s="20" t="s">
        <v>466</v>
      </c>
      <c r="ACM26" s="20">
        <v>1</v>
      </c>
      <c r="ACN26" s="20">
        <v>1</v>
      </c>
      <c r="ACO26" s="20">
        <v>0</v>
      </c>
      <c r="ACP26" s="20">
        <v>1</v>
      </c>
      <c r="ACQ26" s="20">
        <v>1</v>
      </c>
      <c r="ACR26" s="20">
        <v>0</v>
      </c>
      <c r="ACS26" s="20">
        <v>1</v>
      </c>
      <c r="ACT26" s="20">
        <v>0</v>
      </c>
      <c r="ACX26" s="20">
        <v>38.96</v>
      </c>
      <c r="ACY26" s="20">
        <v>6</v>
      </c>
    </row>
    <row r="27" spans="1:779" x14ac:dyDescent="0.3">
      <c r="A27" s="27"/>
      <c r="B27" s="20">
        <v>23</v>
      </c>
      <c r="C27" s="20" t="s">
        <v>5</v>
      </c>
      <c r="D27" s="20" t="s">
        <v>10</v>
      </c>
      <c r="E27" s="29">
        <v>6</v>
      </c>
      <c r="F27" s="20">
        <v>20</v>
      </c>
      <c r="G27" s="30">
        <v>11</v>
      </c>
      <c r="H27" s="27">
        <v>0.55000000000000004</v>
      </c>
      <c r="I27" s="28">
        <v>0.82</v>
      </c>
      <c r="J27" s="20">
        <v>21</v>
      </c>
      <c r="K27" s="20">
        <v>7</v>
      </c>
      <c r="L27" s="20">
        <v>17</v>
      </c>
      <c r="M27" s="30">
        <v>17</v>
      </c>
      <c r="N27" s="27">
        <v>0.63500000000000001</v>
      </c>
      <c r="O27" s="31">
        <v>1</v>
      </c>
      <c r="P27" s="20">
        <v>10</v>
      </c>
      <c r="Q27" s="30">
        <v>4</v>
      </c>
      <c r="R27" s="27">
        <v>0.4</v>
      </c>
      <c r="S27" s="28">
        <v>0.7</v>
      </c>
      <c r="T27" s="20">
        <v>34</v>
      </c>
      <c r="U27" s="20">
        <v>9</v>
      </c>
      <c r="V27" s="20">
        <v>5</v>
      </c>
      <c r="W27" s="30">
        <v>9</v>
      </c>
      <c r="X27" s="27">
        <v>0.36499999999999999</v>
      </c>
      <c r="Z27" s="20">
        <v>1</v>
      </c>
      <c r="AA27" s="20">
        <v>1</v>
      </c>
      <c r="AB27" s="20">
        <v>1</v>
      </c>
      <c r="AC27" s="20">
        <v>0</v>
      </c>
      <c r="AD27" s="20">
        <v>0</v>
      </c>
      <c r="AE27" s="20">
        <v>1</v>
      </c>
      <c r="AF27" s="20">
        <v>0</v>
      </c>
      <c r="AG27" s="20">
        <v>1</v>
      </c>
      <c r="AK27" s="20">
        <v>15</v>
      </c>
      <c r="AL27" s="20">
        <v>13</v>
      </c>
      <c r="AM27" s="20"/>
      <c r="AN27" s="20"/>
      <c r="AO27" s="20">
        <v>23</v>
      </c>
      <c r="AP27" s="20" t="s">
        <v>20</v>
      </c>
      <c r="AQ27" s="20" t="s">
        <v>6</v>
      </c>
      <c r="AR27" s="33">
        <v>2</v>
      </c>
      <c r="AS27" s="30">
        <v>14</v>
      </c>
      <c r="AT27" s="30">
        <v>4</v>
      </c>
      <c r="AU27" s="27">
        <v>0.28570000000000001</v>
      </c>
      <c r="AV27" s="28">
        <v>0.85</v>
      </c>
      <c r="AW27" s="20">
        <v>21</v>
      </c>
      <c r="AX27" s="20">
        <v>8</v>
      </c>
      <c r="AY27" s="30">
        <v>9</v>
      </c>
      <c r="AZ27" s="20">
        <v>11</v>
      </c>
      <c r="BA27" s="27">
        <v>0.63600000000000001</v>
      </c>
      <c r="BB27" s="34">
        <v>1</v>
      </c>
      <c r="BC27" s="20">
        <v>14</v>
      </c>
      <c r="BD27" s="20">
        <v>2</v>
      </c>
      <c r="BE27" s="20" t="s">
        <v>164</v>
      </c>
      <c r="BF27" s="20" t="s">
        <v>176</v>
      </c>
      <c r="BG27" s="20">
        <v>24</v>
      </c>
      <c r="BH27" s="20">
        <v>12</v>
      </c>
      <c r="BI27" s="20">
        <v>16</v>
      </c>
      <c r="BJ27" s="20">
        <v>9</v>
      </c>
      <c r="BK27" s="20" t="s">
        <v>312</v>
      </c>
      <c r="BM27" s="20">
        <v>1</v>
      </c>
      <c r="BN27" s="20">
        <v>1</v>
      </c>
      <c r="BO27" s="20">
        <v>1</v>
      </c>
      <c r="BP27" s="20">
        <v>0</v>
      </c>
      <c r="BQ27" s="20">
        <v>0</v>
      </c>
      <c r="BR27" s="20">
        <v>0</v>
      </c>
      <c r="BS27" s="20">
        <v>0</v>
      </c>
      <c r="BT27" s="20">
        <v>1</v>
      </c>
      <c r="BX27" s="20">
        <v>14.29</v>
      </c>
      <c r="BY27" s="20">
        <v>3</v>
      </c>
      <c r="BZ27" s="20"/>
      <c r="CA27" s="20"/>
      <c r="CB27" s="20">
        <v>23</v>
      </c>
      <c r="CC27" s="20" t="s">
        <v>7</v>
      </c>
      <c r="CD27" s="20" t="s">
        <v>19</v>
      </c>
      <c r="CE27" s="33">
        <v>3</v>
      </c>
      <c r="CF27" s="20">
        <v>13</v>
      </c>
      <c r="CG27" s="20">
        <v>4</v>
      </c>
      <c r="CH27" s="20" t="s">
        <v>337</v>
      </c>
      <c r="CI27" s="20" t="s">
        <v>151</v>
      </c>
      <c r="CJ27" s="20">
        <v>20</v>
      </c>
      <c r="CK27" s="20">
        <v>26</v>
      </c>
      <c r="CL27" s="20">
        <v>10</v>
      </c>
      <c r="CM27" s="20">
        <v>7</v>
      </c>
      <c r="CN27" s="20" t="s">
        <v>324</v>
      </c>
      <c r="CO27" s="34">
        <v>1</v>
      </c>
      <c r="CP27" s="20">
        <v>6</v>
      </c>
      <c r="CQ27" s="20">
        <v>2</v>
      </c>
      <c r="CR27" s="20" t="s">
        <v>209</v>
      </c>
      <c r="CS27" s="20" t="s">
        <v>371</v>
      </c>
      <c r="CT27" s="20">
        <v>15</v>
      </c>
      <c r="CU27" s="20">
        <v>24</v>
      </c>
      <c r="CV27" s="20">
        <v>7</v>
      </c>
      <c r="CW27" s="20">
        <v>13</v>
      </c>
      <c r="CX27" s="20" t="s">
        <v>323</v>
      </c>
      <c r="CZ27" s="20">
        <v>1</v>
      </c>
      <c r="DA27" s="20">
        <v>0</v>
      </c>
      <c r="DB27" s="20">
        <v>1</v>
      </c>
      <c r="DC27" s="20">
        <v>1</v>
      </c>
      <c r="DD27" s="20">
        <v>1</v>
      </c>
      <c r="DE27" s="20">
        <v>1</v>
      </c>
      <c r="DF27" s="20">
        <v>1</v>
      </c>
      <c r="DG27" s="20">
        <v>1</v>
      </c>
      <c r="DK27" s="20">
        <v>2.56</v>
      </c>
      <c r="DL27" s="20">
        <v>5</v>
      </c>
      <c r="DO27" s="20">
        <v>23</v>
      </c>
      <c r="DP27" s="20" t="s">
        <v>9</v>
      </c>
      <c r="DQ27" s="20" t="s">
        <v>8</v>
      </c>
      <c r="DR27" s="32">
        <v>0</v>
      </c>
      <c r="DS27" s="20">
        <v>2</v>
      </c>
      <c r="DT27" s="20">
        <v>2</v>
      </c>
      <c r="DU27" s="20" t="s">
        <v>247</v>
      </c>
      <c r="DV27" s="20" t="s">
        <v>280</v>
      </c>
      <c r="DW27" s="20">
        <v>16</v>
      </c>
      <c r="DX27" s="20">
        <v>18</v>
      </c>
      <c r="DY27" s="20">
        <v>5</v>
      </c>
      <c r="DZ27" s="20">
        <v>7</v>
      </c>
      <c r="EA27" s="20" t="s">
        <v>505</v>
      </c>
      <c r="EB27" s="32">
        <v>0</v>
      </c>
      <c r="EC27" s="20">
        <v>10</v>
      </c>
      <c r="ED27" s="20">
        <v>1</v>
      </c>
      <c r="EE27" s="20" t="s">
        <v>348</v>
      </c>
      <c r="EF27" s="20" t="s">
        <v>129</v>
      </c>
      <c r="EG27" s="20">
        <v>14</v>
      </c>
      <c r="EH27" s="20">
        <v>18</v>
      </c>
      <c r="EI27" s="20">
        <v>9</v>
      </c>
      <c r="EJ27" s="20">
        <v>6</v>
      </c>
      <c r="EK27" s="20" t="s">
        <v>506</v>
      </c>
      <c r="EM27" s="32">
        <v>0</v>
      </c>
      <c r="EN27" s="32">
        <v>0</v>
      </c>
      <c r="EO27" s="32">
        <v>1</v>
      </c>
      <c r="EP27" s="32">
        <v>0</v>
      </c>
      <c r="EQ27" s="32">
        <v>0</v>
      </c>
      <c r="ER27" s="32">
        <v>1</v>
      </c>
      <c r="ES27" s="32">
        <v>1</v>
      </c>
      <c r="ET27" s="32">
        <v>1</v>
      </c>
      <c r="EX27" s="32">
        <v>90</v>
      </c>
      <c r="EY27" s="32">
        <v>2</v>
      </c>
      <c r="FB27" s="20">
        <v>23</v>
      </c>
      <c r="FC27" s="20" t="s">
        <v>9</v>
      </c>
      <c r="FD27" s="20" t="s">
        <v>8</v>
      </c>
      <c r="FE27" s="32">
        <v>0</v>
      </c>
      <c r="FF27" s="20">
        <v>10</v>
      </c>
      <c r="FG27" s="20">
        <v>1</v>
      </c>
      <c r="FH27" s="20" t="s">
        <v>348</v>
      </c>
      <c r="FI27" s="20" t="s">
        <v>129</v>
      </c>
      <c r="FJ27" s="20">
        <v>14</v>
      </c>
      <c r="FK27" s="20">
        <v>18</v>
      </c>
      <c r="FL27" s="20">
        <v>9</v>
      </c>
      <c r="FM27" s="20">
        <v>6</v>
      </c>
      <c r="FN27" s="20" t="s">
        <v>506</v>
      </c>
      <c r="FO27" s="32">
        <v>0</v>
      </c>
      <c r="FP27" s="20">
        <v>2</v>
      </c>
      <c r="FQ27" s="20">
        <v>2</v>
      </c>
      <c r="FR27" s="20" t="s">
        <v>247</v>
      </c>
      <c r="FS27" s="20" t="s">
        <v>280</v>
      </c>
      <c r="FT27" s="20">
        <v>16</v>
      </c>
      <c r="FU27" s="20">
        <v>18</v>
      </c>
      <c r="FV27" s="20">
        <v>5</v>
      </c>
      <c r="FW27" s="20">
        <v>7</v>
      </c>
      <c r="FX27" s="20" t="s">
        <v>505</v>
      </c>
      <c r="FZ27" s="32">
        <v>0</v>
      </c>
      <c r="GA27" s="32">
        <v>0</v>
      </c>
      <c r="GB27" s="32">
        <v>1</v>
      </c>
      <c r="GC27" s="32">
        <v>0</v>
      </c>
      <c r="GD27" s="32">
        <v>0</v>
      </c>
      <c r="GE27" s="32">
        <v>1</v>
      </c>
      <c r="GF27" s="32">
        <v>1</v>
      </c>
      <c r="GG27" s="32">
        <v>1</v>
      </c>
      <c r="GK27" s="32">
        <v>90</v>
      </c>
      <c r="GL27" s="32">
        <v>2</v>
      </c>
      <c r="GO27" s="20">
        <v>23</v>
      </c>
      <c r="GP27" s="20" t="s">
        <v>10</v>
      </c>
      <c r="GQ27" s="20" t="s">
        <v>11</v>
      </c>
      <c r="GR27" s="32">
        <v>1</v>
      </c>
      <c r="GS27" s="20">
        <v>25</v>
      </c>
      <c r="GT27" s="20">
        <v>5</v>
      </c>
      <c r="GU27" s="20" t="s">
        <v>141</v>
      </c>
      <c r="GV27" s="20" t="s">
        <v>252</v>
      </c>
      <c r="GW27" s="20">
        <v>16</v>
      </c>
      <c r="GX27" s="20">
        <v>16</v>
      </c>
      <c r="GY27" s="20">
        <v>11</v>
      </c>
      <c r="GZ27" s="20">
        <v>6</v>
      </c>
      <c r="HA27" s="20" t="s">
        <v>507</v>
      </c>
      <c r="HB27" s="32">
        <v>1</v>
      </c>
      <c r="HC27" s="20">
        <v>9</v>
      </c>
      <c r="HD27" s="20">
        <v>2</v>
      </c>
      <c r="HE27" s="20" t="s">
        <v>146</v>
      </c>
      <c r="HF27" s="20" t="s">
        <v>371</v>
      </c>
      <c r="HG27" s="20">
        <v>18</v>
      </c>
      <c r="HH27" s="20">
        <v>13</v>
      </c>
      <c r="HI27" s="20">
        <v>6</v>
      </c>
      <c r="HJ27" s="20">
        <v>9</v>
      </c>
      <c r="HK27" s="20" t="s">
        <v>508</v>
      </c>
      <c r="HM27" s="32">
        <v>1</v>
      </c>
      <c r="HN27" s="32">
        <v>0</v>
      </c>
      <c r="HO27" s="32">
        <v>1</v>
      </c>
      <c r="HP27" s="32">
        <v>0</v>
      </c>
      <c r="HQ27" s="32">
        <v>1</v>
      </c>
      <c r="HR27" s="32">
        <v>1</v>
      </c>
      <c r="HS27" s="32">
        <v>1</v>
      </c>
      <c r="HT27" s="32">
        <v>1</v>
      </c>
      <c r="HX27" s="32">
        <v>2.2200000000000002</v>
      </c>
      <c r="HY27" s="32">
        <v>2</v>
      </c>
      <c r="IB27" s="20">
        <v>23</v>
      </c>
      <c r="IC27" s="20" t="s">
        <v>10</v>
      </c>
      <c r="ID27" s="20" t="s">
        <v>11</v>
      </c>
      <c r="IE27" s="32">
        <v>1</v>
      </c>
      <c r="IF27" s="20">
        <v>9</v>
      </c>
      <c r="IG27" s="20">
        <v>2</v>
      </c>
      <c r="IH27" s="20" t="s">
        <v>146</v>
      </c>
      <c r="II27" s="20" t="s">
        <v>371</v>
      </c>
      <c r="IJ27" s="20">
        <v>18</v>
      </c>
      <c r="IK27" s="20">
        <v>13</v>
      </c>
      <c r="IL27" s="20">
        <v>6</v>
      </c>
      <c r="IM27" s="20">
        <v>9</v>
      </c>
      <c r="IN27" s="20" t="s">
        <v>508</v>
      </c>
      <c r="IO27" s="32">
        <v>1</v>
      </c>
      <c r="IP27" s="20">
        <v>25</v>
      </c>
      <c r="IQ27" s="20">
        <v>5</v>
      </c>
      <c r="IR27" s="20" t="s">
        <v>141</v>
      </c>
      <c r="IS27" s="20" t="s">
        <v>252</v>
      </c>
      <c r="IT27" s="20">
        <v>16</v>
      </c>
      <c r="IU27" s="20">
        <v>16</v>
      </c>
      <c r="IV27" s="20">
        <v>11</v>
      </c>
      <c r="IW27" s="20">
        <v>6</v>
      </c>
      <c r="IX27" s="20" t="s">
        <v>507</v>
      </c>
      <c r="IZ27" s="32">
        <v>1</v>
      </c>
      <c r="JA27" s="32">
        <v>0</v>
      </c>
      <c r="JB27" s="32">
        <v>1</v>
      </c>
      <c r="JC27" s="32">
        <v>0</v>
      </c>
      <c r="JD27" s="32">
        <v>1</v>
      </c>
      <c r="JE27" s="32">
        <v>1</v>
      </c>
      <c r="JF27" s="32">
        <v>1</v>
      </c>
      <c r="JG27" s="32">
        <v>1</v>
      </c>
      <c r="JK27" s="32">
        <v>2.2200000000000002</v>
      </c>
      <c r="JL27" s="32">
        <v>2</v>
      </c>
      <c r="JO27" s="20">
        <v>23</v>
      </c>
      <c r="JP27" s="20" t="s">
        <v>12</v>
      </c>
      <c r="JQ27" s="20" t="s">
        <v>22</v>
      </c>
      <c r="JR27" s="33">
        <v>3</v>
      </c>
      <c r="JS27" s="20">
        <v>8</v>
      </c>
      <c r="JT27" s="20">
        <v>4</v>
      </c>
      <c r="JU27" s="20" t="s">
        <v>125</v>
      </c>
      <c r="JV27" s="20" t="s">
        <v>123</v>
      </c>
      <c r="JW27" s="20">
        <v>27</v>
      </c>
      <c r="JX27" s="20">
        <v>17</v>
      </c>
      <c r="JY27" s="20">
        <v>11</v>
      </c>
      <c r="JZ27" s="20">
        <v>16</v>
      </c>
      <c r="KA27" s="20" t="s">
        <v>509</v>
      </c>
      <c r="KB27" s="34">
        <v>0</v>
      </c>
      <c r="KC27" s="20">
        <v>6</v>
      </c>
      <c r="KD27" s="20">
        <v>2</v>
      </c>
      <c r="KE27" s="20" t="s">
        <v>209</v>
      </c>
      <c r="KF27" s="20" t="s">
        <v>144</v>
      </c>
      <c r="KG27" s="20">
        <v>24</v>
      </c>
      <c r="KH27" s="20">
        <v>20</v>
      </c>
      <c r="KI27" s="20">
        <v>10</v>
      </c>
      <c r="KJ27" s="20">
        <v>18</v>
      </c>
      <c r="KK27" s="20" t="s">
        <v>314</v>
      </c>
      <c r="KM27" s="20">
        <v>1</v>
      </c>
      <c r="KN27" s="20">
        <v>1</v>
      </c>
      <c r="KO27" s="20">
        <v>0</v>
      </c>
      <c r="KP27" s="20">
        <v>1</v>
      </c>
      <c r="KQ27" s="20">
        <v>0</v>
      </c>
      <c r="KR27" s="20">
        <v>1</v>
      </c>
      <c r="KS27" s="20">
        <v>1</v>
      </c>
      <c r="KT27" s="20">
        <v>0</v>
      </c>
      <c r="KX27" s="20">
        <v>16.670000000000002</v>
      </c>
      <c r="KY27" s="20">
        <v>3</v>
      </c>
      <c r="LB27" s="20">
        <v>23</v>
      </c>
      <c r="LC27" s="20" t="s">
        <v>18</v>
      </c>
      <c r="LD27" s="20" t="s">
        <v>13</v>
      </c>
      <c r="LE27" s="33">
        <v>5</v>
      </c>
      <c r="LF27" s="20">
        <v>12</v>
      </c>
      <c r="LG27" s="20">
        <v>6</v>
      </c>
      <c r="LH27" s="20" t="s">
        <v>125</v>
      </c>
      <c r="LI27" s="20" t="s">
        <v>307</v>
      </c>
      <c r="LJ27" s="20">
        <v>22</v>
      </c>
      <c r="LK27" s="20">
        <v>17</v>
      </c>
      <c r="LL27" s="20">
        <v>7</v>
      </c>
      <c r="LM27" s="20">
        <v>13</v>
      </c>
      <c r="LN27" s="20" t="s">
        <v>425</v>
      </c>
      <c r="LO27" s="34">
        <v>0</v>
      </c>
      <c r="LP27" s="20">
        <v>5</v>
      </c>
      <c r="LQ27" s="20">
        <v>1</v>
      </c>
      <c r="LR27" s="20" t="s">
        <v>141</v>
      </c>
      <c r="LS27" s="20" t="s">
        <v>161</v>
      </c>
      <c r="LT27" s="20">
        <v>27</v>
      </c>
      <c r="LU27" s="20">
        <v>24</v>
      </c>
      <c r="LV27" s="20">
        <v>11</v>
      </c>
      <c r="LW27" s="20">
        <v>10</v>
      </c>
      <c r="LX27" s="20" t="s">
        <v>427</v>
      </c>
      <c r="LZ27" s="20">
        <v>1</v>
      </c>
      <c r="MA27" s="20">
        <v>1</v>
      </c>
      <c r="MB27" s="20">
        <v>0</v>
      </c>
      <c r="MC27" s="20">
        <v>0</v>
      </c>
      <c r="MD27" s="20">
        <v>0</v>
      </c>
      <c r="ME27" s="20">
        <v>0</v>
      </c>
      <c r="MF27" s="20">
        <v>0</v>
      </c>
      <c r="MG27" s="20">
        <v>0</v>
      </c>
      <c r="MK27" s="20">
        <v>30</v>
      </c>
      <c r="ML27" s="20">
        <v>5</v>
      </c>
      <c r="MO27" s="20">
        <v>23</v>
      </c>
      <c r="MP27" s="20" t="s">
        <v>14</v>
      </c>
      <c r="MQ27" s="20" t="s">
        <v>17</v>
      </c>
      <c r="MR27" s="33">
        <v>1</v>
      </c>
      <c r="MS27" s="20">
        <v>6</v>
      </c>
      <c r="MT27" s="20">
        <v>2</v>
      </c>
      <c r="MU27" s="20" t="s">
        <v>209</v>
      </c>
      <c r="MV27" s="20" t="s">
        <v>280</v>
      </c>
      <c r="MW27" s="20">
        <v>23</v>
      </c>
      <c r="MX27" s="20">
        <v>26</v>
      </c>
      <c r="MY27" s="20">
        <v>15</v>
      </c>
      <c r="MZ27" s="20">
        <v>8</v>
      </c>
      <c r="NA27" s="20" t="s">
        <v>462</v>
      </c>
      <c r="NB27" s="34">
        <v>0</v>
      </c>
      <c r="NC27" s="20">
        <v>7</v>
      </c>
      <c r="ND27" s="20">
        <v>2</v>
      </c>
      <c r="NE27" s="20" t="s">
        <v>170</v>
      </c>
      <c r="NF27" s="20" t="s">
        <v>219</v>
      </c>
      <c r="NG27" s="20">
        <v>23</v>
      </c>
      <c r="NH27" s="20">
        <v>36</v>
      </c>
      <c r="NI27" s="20">
        <v>11</v>
      </c>
      <c r="NJ27" s="20">
        <v>17</v>
      </c>
      <c r="NK27" s="20" t="s">
        <v>373</v>
      </c>
      <c r="NM27" s="20">
        <v>0</v>
      </c>
      <c r="NN27" s="20">
        <v>1</v>
      </c>
      <c r="NO27" s="20">
        <v>0</v>
      </c>
      <c r="NP27" s="20">
        <v>0</v>
      </c>
      <c r="NQ27" s="20">
        <v>0</v>
      </c>
      <c r="NR27" s="20">
        <v>1</v>
      </c>
      <c r="NS27" s="20">
        <v>1</v>
      </c>
      <c r="NT27" s="20">
        <v>0</v>
      </c>
      <c r="NX27" s="20">
        <v>4.76</v>
      </c>
      <c r="NY27" s="20">
        <v>0</v>
      </c>
      <c r="OB27" s="20">
        <v>23</v>
      </c>
      <c r="OC27" s="20" t="s">
        <v>21</v>
      </c>
      <c r="OD27" s="20" t="s">
        <v>15</v>
      </c>
      <c r="OE27" s="34">
        <v>0</v>
      </c>
      <c r="OF27" s="20">
        <v>9</v>
      </c>
      <c r="OG27" s="20">
        <v>4</v>
      </c>
      <c r="OH27" s="20" t="s">
        <v>197</v>
      </c>
      <c r="OI27" s="20" t="s">
        <v>123</v>
      </c>
      <c r="OJ27" s="20">
        <v>23</v>
      </c>
      <c r="OK27" s="20">
        <v>20</v>
      </c>
      <c r="OL27" s="20">
        <v>9</v>
      </c>
      <c r="OM27" s="20">
        <v>10</v>
      </c>
      <c r="ON27" s="20" t="s">
        <v>440</v>
      </c>
      <c r="OO27" s="33">
        <v>2</v>
      </c>
      <c r="OP27" s="20">
        <v>18</v>
      </c>
      <c r="OQ27" s="20">
        <v>8</v>
      </c>
      <c r="OR27" s="20" t="s">
        <v>197</v>
      </c>
      <c r="OS27" s="20" t="s">
        <v>142</v>
      </c>
      <c r="OT27" s="20">
        <v>15</v>
      </c>
      <c r="OU27" s="20">
        <v>22</v>
      </c>
      <c r="OV27" s="20">
        <v>7</v>
      </c>
      <c r="OW27" s="20">
        <v>12</v>
      </c>
      <c r="OX27" s="20" t="s">
        <v>439</v>
      </c>
      <c r="OZ27" s="20">
        <v>1</v>
      </c>
      <c r="PA27" s="20">
        <v>0</v>
      </c>
      <c r="PB27" s="20">
        <v>0</v>
      </c>
      <c r="PC27" s="20">
        <v>0</v>
      </c>
      <c r="PD27" s="20">
        <v>1</v>
      </c>
      <c r="PE27" s="20">
        <v>0</v>
      </c>
      <c r="PF27" s="20">
        <v>0</v>
      </c>
      <c r="PG27" s="20">
        <v>1</v>
      </c>
      <c r="PK27" s="20">
        <v>0</v>
      </c>
      <c r="PL27" s="20">
        <v>8</v>
      </c>
      <c r="PO27" s="20">
        <v>23</v>
      </c>
      <c r="PP27" s="20" t="s">
        <v>14</v>
      </c>
      <c r="PQ27" s="20" t="s">
        <v>17</v>
      </c>
      <c r="PR27" s="34">
        <v>0</v>
      </c>
      <c r="PS27" s="20">
        <v>7</v>
      </c>
      <c r="PT27" s="20">
        <v>2</v>
      </c>
      <c r="PU27" s="20" t="s">
        <v>170</v>
      </c>
      <c r="PV27" s="20" t="s">
        <v>219</v>
      </c>
      <c r="PW27" s="20">
        <v>23</v>
      </c>
      <c r="PX27" s="20">
        <v>36</v>
      </c>
      <c r="PY27" s="20">
        <v>11</v>
      </c>
      <c r="PZ27" s="20">
        <v>17</v>
      </c>
      <c r="QA27" s="20" t="s">
        <v>373</v>
      </c>
      <c r="QB27" s="33">
        <v>1</v>
      </c>
      <c r="QC27" s="20">
        <v>6</v>
      </c>
      <c r="QD27" s="20">
        <v>2</v>
      </c>
      <c r="QE27" s="20" t="s">
        <v>209</v>
      </c>
      <c r="QF27" s="20" t="s">
        <v>280</v>
      </c>
      <c r="QG27" s="20">
        <v>23</v>
      </c>
      <c r="QH27" s="20">
        <v>26</v>
      </c>
      <c r="QI27" s="20">
        <v>15</v>
      </c>
      <c r="QJ27" s="20">
        <v>8</v>
      </c>
      <c r="QK27" s="20" t="s">
        <v>462</v>
      </c>
      <c r="QM27" s="20">
        <v>0</v>
      </c>
      <c r="QN27" s="20">
        <v>1</v>
      </c>
      <c r="QO27" s="20">
        <v>0</v>
      </c>
      <c r="QP27" s="20">
        <v>0</v>
      </c>
      <c r="QQ27" s="20">
        <v>0</v>
      </c>
      <c r="QR27" s="20">
        <v>1</v>
      </c>
      <c r="QS27" s="20">
        <v>1</v>
      </c>
      <c r="QT27" s="20">
        <v>0</v>
      </c>
      <c r="QX27" s="20">
        <v>4.76</v>
      </c>
      <c r="QY27" s="20">
        <v>0</v>
      </c>
      <c r="RB27" s="20">
        <v>23</v>
      </c>
      <c r="RC27" s="20" t="s">
        <v>18</v>
      </c>
      <c r="RD27" s="20" t="s">
        <v>13</v>
      </c>
      <c r="RE27" s="34">
        <v>0</v>
      </c>
      <c r="RF27" s="20">
        <v>5</v>
      </c>
      <c r="RG27" s="20">
        <v>1</v>
      </c>
      <c r="RH27" s="20" t="s">
        <v>141</v>
      </c>
      <c r="RI27" s="20" t="s">
        <v>161</v>
      </c>
      <c r="RJ27" s="20">
        <v>27</v>
      </c>
      <c r="RK27" s="20">
        <v>24</v>
      </c>
      <c r="RL27" s="20">
        <v>11</v>
      </c>
      <c r="RM27" s="20">
        <v>10</v>
      </c>
      <c r="RN27" s="20" t="s">
        <v>427</v>
      </c>
      <c r="RO27" s="33">
        <v>5</v>
      </c>
      <c r="RP27" s="20">
        <v>12</v>
      </c>
      <c r="RQ27" s="20">
        <v>6</v>
      </c>
      <c r="RR27" s="20" t="s">
        <v>125</v>
      </c>
      <c r="RS27" s="20" t="s">
        <v>307</v>
      </c>
      <c r="RT27" s="20">
        <v>22</v>
      </c>
      <c r="RU27" s="20">
        <v>17</v>
      </c>
      <c r="RV27" s="20">
        <v>7</v>
      </c>
      <c r="RW27" s="20">
        <v>13</v>
      </c>
      <c r="RX27" s="20" t="s">
        <v>425</v>
      </c>
      <c r="RZ27" s="20">
        <v>1</v>
      </c>
      <c r="SA27" s="20">
        <v>1</v>
      </c>
      <c r="SB27" s="20">
        <v>0</v>
      </c>
      <c r="SC27" s="20">
        <v>0</v>
      </c>
      <c r="SD27" s="20">
        <v>0</v>
      </c>
      <c r="SE27" s="20">
        <v>0</v>
      </c>
      <c r="SF27" s="20">
        <v>0</v>
      </c>
      <c r="SG27" s="20">
        <v>0</v>
      </c>
      <c r="SK27" s="20">
        <v>30</v>
      </c>
      <c r="SL27" s="20">
        <v>5</v>
      </c>
      <c r="SO27" s="20">
        <v>23</v>
      </c>
      <c r="SP27" s="20" t="s">
        <v>7</v>
      </c>
      <c r="SQ27" s="20" t="s">
        <v>19</v>
      </c>
      <c r="SR27" s="34">
        <v>1</v>
      </c>
      <c r="SS27" s="20">
        <v>6</v>
      </c>
      <c r="ST27" s="20">
        <v>2</v>
      </c>
      <c r="SU27" s="20" t="s">
        <v>209</v>
      </c>
      <c r="SV27" s="20" t="s">
        <v>371</v>
      </c>
      <c r="SW27" s="20">
        <v>15</v>
      </c>
      <c r="SX27" s="20">
        <v>24</v>
      </c>
      <c r="SY27" s="20">
        <v>7</v>
      </c>
      <c r="SZ27" s="20">
        <v>13</v>
      </c>
      <c r="TA27" s="20" t="s">
        <v>323</v>
      </c>
      <c r="TB27" s="33">
        <v>3</v>
      </c>
      <c r="TC27" s="20">
        <v>13</v>
      </c>
      <c r="TD27" s="20">
        <v>4</v>
      </c>
      <c r="TE27" s="20" t="s">
        <v>337</v>
      </c>
      <c r="TF27" s="20" t="s">
        <v>151</v>
      </c>
      <c r="TG27" s="20">
        <v>20</v>
      </c>
      <c r="TH27" s="20">
        <v>26</v>
      </c>
      <c r="TI27" s="20">
        <v>10</v>
      </c>
      <c r="TJ27" s="20">
        <v>7</v>
      </c>
      <c r="TK27" s="20" t="s">
        <v>324</v>
      </c>
      <c r="TM27" s="20">
        <v>1</v>
      </c>
      <c r="TN27" s="20">
        <v>0</v>
      </c>
      <c r="TO27" s="20">
        <v>1</v>
      </c>
      <c r="TP27" s="20">
        <v>1</v>
      </c>
      <c r="TQ27" s="20">
        <v>1</v>
      </c>
      <c r="TR27" s="20">
        <v>1</v>
      </c>
      <c r="TS27" s="20">
        <v>1</v>
      </c>
      <c r="TT27" s="20">
        <v>1</v>
      </c>
      <c r="TX27" s="20">
        <v>2.56</v>
      </c>
      <c r="TY27" s="20">
        <v>5</v>
      </c>
      <c r="UB27" s="20">
        <v>23</v>
      </c>
      <c r="UC27" s="20" t="s">
        <v>34</v>
      </c>
      <c r="UD27" s="20" t="s">
        <v>16</v>
      </c>
      <c r="UE27" s="32">
        <v>1</v>
      </c>
      <c r="UF27" s="20">
        <v>5</v>
      </c>
      <c r="UG27" s="20">
        <v>4</v>
      </c>
      <c r="UH27" s="20" t="s">
        <v>503</v>
      </c>
      <c r="UI27" s="20" t="s">
        <v>203</v>
      </c>
      <c r="UJ27" s="20">
        <v>23</v>
      </c>
      <c r="UK27" s="20">
        <v>15</v>
      </c>
      <c r="UL27" s="20">
        <v>6</v>
      </c>
      <c r="UM27" s="20">
        <v>12</v>
      </c>
      <c r="UN27" s="20" t="s">
        <v>504</v>
      </c>
      <c r="UO27" s="32">
        <v>1</v>
      </c>
      <c r="UP27" s="20">
        <v>11</v>
      </c>
      <c r="UQ27" s="20">
        <v>2</v>
      </c>
      <c r="UR27" s="20" t="s">
        <v>138</v>
      </c>
      <c r="US27" s="20" t="s">
        <v>307</v>
      </c>
      <c r="UT27" s="20">
        <v>23</v>
      </c>
      <c r="UU27" s="20">
        <v>15</v>
      </c>
      <c r="UV27" s="20">
        <v>11</v>
      </c>
      <c r="UW27" s="20">
        <v>17</v>
      </c>
      <c r="UX27" s="20" t="s">
        <v>502</v>
      </c>
      <c r="UZ27" s="32">
        <v>0</v>
      </c>
      <c r="VA27" s="32">
        <v>0</v>
      </c>
      <c r="VB27" s="32">
        <v>0</v>
      </c>
      <c r="VC27" s="32">
        <v>0</v>
      </c>
      <c r="VD27" s="32">
        <v>0</v>
      </c>
      <c r="VE27" s="32">
        <v>1</v>
      </c>
      <c r="VF27" s="32">
        <v>0</v>
      </c>
      <c r="VG27" s="32">
        <v>0</v>
      </c>
      <c r="VK27" s="32">
        <v>61.82</v>
      </c>
      <c r="VL27" s="32">
        <v>0</v>
      </c>
      <c r="VO27" s="20">
        <v>23</v>
      </c>
      <c r="VP27" s="20" t="s">
        <v>20</v>
      </c>
      <c r="VQ27" s="20" t="s">
        <v>6</v>
      </c>
      <c r="VR27" s="34">
        <v>1</v>
      </c>
      <c r="VS27" s="20">
        <v>14</v>
      </c>
      <c r="VT27" s="20">
        <v>2</v>
      </c>
      <c r="VU27" s="20" t="s">
        <v>164</v>
      </c>
      <c r="VV27" s="20" t="s">
        <v>176</v>
      </c>
      <c r="VW27" s="20">
        <v>24</v>
      </c>
      <c r="VX27" s="20">
        <v>12</v>
      </c>
      <c r="VY27" s="20">
        <v>16</v>
      </c>
      <c r="VZ27" s="20">
        <v>9</v>
      </c>
      <c r="WA27" s="20" t="s">
        <v>312</v>
      </c>
      <c r="WB27" s="33">
        <v>2</v>
      </c>
      <c r="WC27" s="20">
        <v>14</v>
      </c>
      <c r="WD27" s="20">
        <v>4</v>
      </c>
      <c r="WE27" s="20" t="s">
        <v>170</v>
      </c>
      <c r="WF27" s="20" t="s">
        <v>258</v>
      </c>
      <c r="WG27" s="20">
        <v>21</v>
      </c>
      <c r="WH27" s="20">
        <v>8</v>
      </c>
      <c r="WI27" s="20">
        <v>9</v>
      </c>
      <c r="WJ27" s="20">
        <v>11</v>
      </c>
      <c r="WK27" s="20" t="s">
        <v>313</v>
      </c>
      <c r="WM27" s="20">
        <v>1</v>
      </c>
      <c r="WN27" s="20">
        <v>1</v>
      </c>
      <c r="WO27" s="20">
        <v>1</v>
      </c>
      <c r="WP27" s="20">
        <v>0</v>
      </c>
      <c r="WQ27" s="20">
        <v>0</v>
      </c>
      <c r="WR27" s="20">
        <v>0</v>
      </c>
      <c r="WS27" s="20">
        <v>0</v>
      </c>
      <c r="WT27" s="20">
        <v>1</v>
      </c>
      <c r="WX27" s="20">
        <v>14.29</v>
      </c>
      <c r="WY27" s="20">
        <v>3</v>
      </c>
      <c r="XB27" s="20">
        <v>23</v>
      </c>
      <c r="XC27" s="20" t="s">
        <v>34</v>
      </c>
      <c r="XD27" s="20" t="s">
        <v>21</v>
      </c>
      <c r="XE27" s="32">
        <v>2</v>
      </c>
      <c r="XF27" s="20">
        <v>11</v>
      </c>
      <c r="XG27" s="20">
        <v>5</v>
      </c>
      <c r="XH27" s="20" t="s">
        <v>358</v>
      </c>
      <c r="XI27" s="20" t="s">
        <v>156</v>
      </c>
      <c r="XJ27" s="20">
        <v>23</v>
      </c>
      <c r="XK27" s="20">
        <v>8</v>
      </c>
      <c r="XL27" s="20">
        <v>14</v>
      </c>
      <c r="XM27" s="20">
        <v>6</v>
      </c>
      <c r="XN27" s="20" t="s">
        <v>374</v>
      </c>
      <c r="XO27" s="32">
        <v>2</v>
      </c>
      <c r="XP27" s="20">
        <v>15</v>
      </c>
      <c r="XQ27" s="20">
        <v>4</v>
      </c>
      <c r="XR27" s="20" t="s">
        <v>256</v>
      </c>
      <c r="XS27" s="20" t="s">
        <v>230</v>
      </c>
      <c r="XT27" s="20">
        <v>15</v>
      </c>
      <c r="XU27" s="20">
        <v>10</v>
      </c>
      <c r="XV27" s="20">
        <v>10</v>
      </c>
      <c r="XW27" s="20">
        <v>9</v>
      </c>
      <c r="XX27" s="20" t="s">
        <v>375</v>
      </c>
      <c r="XZ27" s="32">
        <v>0</v>
      </c>
      <c r="YA27" s="32">
        <v>0</v>
      </c>
      <c r="YB27" s="32">
        <v>1</v>
      </c>
      <c r="YC27" s="32">
        <v>0</v>
      </c>
      <c r="YD27" s="32">
        <v>1</v>
      </c>
      <c r="YE27" s="32">
        <v>0</v>
      </c>
      <c r="YF27" s="32">
        <v>0</v>
      </c>
      <c r="YG27" s="32">
        <v>1</v>
      </c>
      <c r="YK27" s="32">
        <v>18.79</v>
      </c>
      <c r="YL27" s="32">
        <v>8</v>
      </c>
      <c r="YO27" s="20">
        <v>23</v>
      </c>
      <c r="YP27" s="20" t="s">
        <v>21</v>
      </c>
      <c r="YQ27" s="20" t="s">
        <v>15</v>
      </c>
      <c r="YR27" s="33">
        <v>2</v>
      </c>
      <c r="YS27" s="20">
        <v>18</v>
      </c>
      <c r="YT27" s="20">
        <v>8</v>
      </c>
      <c r="YU27" s="20" t="s">
        <v>197</v>
      </c>
      <c r="YV27" s="20" t="s">
        <v>142</v>
      </c>
      <c r="YW27" s="20">
        <v>15</v>
      </c>
      <c r="YX27" s="20">
        <v>22</v>
      </c>
      <c r="YY27" s="20">
        <v>7</v>
      </c>
      <c r="YZ27" s="20">
        <v>12</v>
      </c>
      <c r="ZA27" s="20" t="s">
        <v>439</v>
      </c>
      <c r="ZB27" s="34">
        <v>0</v>
      </c>
      <c r="ZC27" s="20">
        <v>9</v>
      </c>
      <c r="ZD27" s="20">
        <v>4</v>
      </c>
      <c r="ZE27" s="20" t="s">
        <v>197</v>
      </c>
      <c r="ZF27" s="20" t="s">
        <v>123</v>
      </c>
      <c r="ZG27" s="20">
        <v>23</v>
      </c>
      <c r="ZH27" s="20">
        <v>20</v>
      </c>
      <c r="ZI27" s="20">
        <v>9</v>
      </c>
      <c r="ZJ27" s="20">
        <v>10</v>
      </c>
      <c r="ZK27" s="20" t="s">
        <v>440</v>
      </c>
      <c r="ZM27" s="20">
        <v>1</v>
      </c>
      <c r="ZN27" s="20">
        <v>0</v>
      </c>
      <c r="ZO27" s="20">
        <v>0</v>
      </c>
      <c r="ZP27" s="20">
        <v>0</v>
      </c>
      <c r="ZQ27" s="20">
        <v>1</v>
      </c>
      <c r="ZR27" s="20">
        <v>0</v>
      </c>
      <c r="ZS27" s="20">
        <v>0</v>
      </c>
      <c r="ZT27" s="20">
        <v>1</v>
      </c>
      <c r="ZX27" s="20">
        <v>0</v>
      </c>
      <c r="ZY27" s="20">
        <v>8</v>
      </c>
      <c r="AAB27" s="20">
        <v>23</v>
      </c>
      <c r="AAC27" s="20" t="s">
        <v>12</v>
      </c>
      <c r="AAD27" s="20" t="s">
        <v>22</v>
      </c>
      <c r="AAE27" s="34">
        <v>0</v>
      </c>
      <c r="AAF27" s="20">
        <v>6</v>
      </c>
      <c r="AAG27" s="20">
        <v>2</v>
      </c>
      <c r="AAH27" s="20" t="s">
        <v>209</v>
      </c>
      <c r="AAI27" s="20" t="s">
        <v>144</v>
      </c>
      <c r="AAJ27" s="20">
        <v>24</v>
      </c>
      <c r="AAK27" s="20">
        <v>20</v>
      </c>
      <c r="AAL27" s="20">
        <v>10</v>
      </c>
      <c r="AAM27" s="20">
        <v>18</v>
      </c>
      <c r="AAN27" s="20" t="s">
        <v>314</v>
      </c>
      <c r="AAO27" s="33">
        <v>3</v>
      </c>
      <c r="AAP27" s="20">
        <v>8</v>
      </c>
      <c r="AAQ27" s="20">
        <v>4</v>
      </c>
      <c r="AAR27" s="20" t="s">
        <v>125</v>
      </c>
      <c r="AAS27" s="20" t="s">
        <v>123</v>
      </c>
      <c r="AAT27" s="20">
        <v>27</v>
      </c>
      <c r="AAU27" s="20">
        <v>17</v>
      </c>
      <c r="AAV27" s="20">
        <v>11</v>
      </c>
      <c r="AAW27" s="20">
        <v>16</v>
      </c>
      <c r="AAX27" s="20" t="s">
        <v>509</v>
      </c>
      <c r="AAZ27" s="20">
        <v>1</v>
      </c>
      <c r="ABA27" s="20">
        <v>1</v>
      </c>
      <c r="ABB27" s="20">
        <v>0</v>
      </c>
      <c r="ABC27" s="20">
        <v>1</v>
      </c>
      <c r="ABD27" s="20">
        <v>0</v>
      </c>
      <c r="ABE27" s="20">
        <v>1</v>
      </c>
      <c r="ABF27" s="20">
        <v>1</v>
      </c>
      <c r="ABG27" s="20">
        <v>0</v>
      </c>
      <c r="ABK27" s="20">
        <v>16.670000000000002</v>
      </c>
      <c r="ABL27" s="20">
        <v>3</v>
      </c>
      <c r="ABO27" s="20">
        <v>23</v>
      </c>
      <c r="ABP27" s="20" t="s">
        <v>23</v>
      </c>
      <c r="ABQ27" s="20" t="s">
        <v>5</v>
      </c>
      <c r="ABR27" s="34">
        <v>0</v>
      </c>
      <c r="ABS27" s="20">
        <v>11</v>
      </c>
      <c r="ABT27" s="20">
        <v>3</v>
      </c>
      <c r="ABU27" s="20" t="s">
        <v>128</v>
      </c>
      <c r="ABV27" s="20" t="s">
        <v>203</v>
      </c>
      <c r="ABW27" s="20">
        <v>20</v>
      </c>
      <c r="ABX27" s="20">
        <v>5</v>
      </c>
      <c r="ABY27" s="20">
        <v>9</v>
      </c>
      <c r="ABZ27" s="20">
        <v>21</v>
      </c>
      <c r="ACA27" s="20" t="s">
        <v>510</v>
      </c>
      <c r="ACB27" s="33">
        <v>2</v>
      </c>
      <c r="ACC27" s="20">
        <v>11</v>
      </c>
      <c r="ACD27" s="20">
        <v>4</v>
      </c>
      <c r="ACE27" s="20" t="s">
        <v>249</v>
      </c>
      <c r="ACF27" s="20" t="s">
        <v>179</v>
      </c>
      <c r="ACG27" s="20">
        <v>28</v>
      </c>
      <c r="ACH27" s="20">
        <v>8</v>
      </c>
      <c r="ACI27" s="20">
        <v>3</v>
      </c>
      <c r="ACJ27" s="20">
        <v>10</v>
      </c>
      <c r="ACK27" s="20" t="s">
        <v>511</v>
      </c>
      <c r="ACM27" s="20">
        <v>1</v>
      </c>
      <c r="ACN27" s="20">
        <v>1</v>
      </c>
      <c r="ACO27" s="20">
        <v>1</v>
      </c>
      <c r="ACP27" s="20">
        <v>1</v>
      </c>
      <c r="ACQ27" s="20">
        <v>1</v>
      </c>
      <c r="ACR27" s="20">
        <v>0</v>
      </c>
      <c r="ACS27" s="20">
        <v>1</v>
      </c>
      <c r="ACT27" s="20">
        <v>1</v>
      </c>
      <c r="ACX27" s="20">
        <v>9.09</v>
      </c>
      <c r="ACY27" s="20">
        <v>8</v>
      </c>
    </row>
    <row r="28" spans="1:779" x14ac:dyDescent="0.3">
      <c r="A28" s="27"/>
      <c r="B28" s="20">
        <v>24</v>
      </c>
      <c r="C28" s="20" t="s">
        <v>34</v>
      </c>
      <c r="D28" s="20" t="s">
        <v>5</v>
      </c>
      <c r="E28" s="29">
        <v>3</v>
      </c>
      <c r="F28" s="20">
        <v>17</v>
      </c>
      <c r="G28" s="30">
        <v>8</v>
      </c>
      <c r="H28" s="27">
        <v>0.47060000000000002</v>
      </c>
      <c r="I28" s="28">
        <v>0.9</v>
      </c>
      <c r="J28" s="20">
        <v>17</v>
      </c>
      <c r="K28" s="20">
        <v>11</v>
      </c>
      <c r="L28" s="20">
        <v>10</v>
      </c>
      <c r="M28" s="30">
        <v>13</v>
      </c>
      <c r="N28" s="27">
        <v>0.77600000000000002</v>
      </c>
      <c r="O28" s="31">
        <v>1</v>
      </c>
      <c r="P28" s="20">
        <v>6</v>
      </c>
      <c r="Q28" s="30">
        <v>2</v>
      </c>
      <c r="R28" s="27">
        <v>0.33329999999999999</v>
      </c>
      <c r="S28" s="28">
        <v>0.63</v>
      </c>
      <c r="T28" s="20">
        <v>22</v>
      </c>
      <c r="U28" s="20">
        <v>6</v>
      </c>
      <c r="V28" s="20">
        <v>8</v>
      </c>
      <c r="W28" s="30">
        <v>9</v>
      </c>
      <c r="X28" s="27">
        <v>0.224</v>
      </c>
      <c r="Z28" s="20">
        <v>1</v>
      </c>
      <c r="AA28" s="20">
        <v>1</v>
      </c>
      <c r="AB28" s="20">
        <v>1</v>
      </c>
      <c r="AC28" s="20">
        <v>0</v>
      </c>
      <c r="AD28" s="20">
        <v>1</v>
      </c>
      <c r="AE28" s="20">
        <v>1</v>
      </c>
      <c r="AF28" s="20">
        <v>0</v>
      </c>
      <c r="AG28" s="20">
        <v>1</v>
      </c>
      <c r="AK28" s="20">
        <v>13.73</v>
      </c>
      <c r="AL28" s="20">
        <v>5</v>
      </c>
      <c r="AM28" s="20"/>
      <c r="AN28" s="20"/>
      <c r="AO28" s="20">
        <v>24</v>
      </c>
      <c r="AP28" s="20" t="s">
        <v>6</v>
      </c>
      <c r="AQ28" s="20" t="s">
        <v>9</v>
      </c>
      <c r="AR28" s="33">
        <v>4</v>
      </c>
      <c r="AS28" s="30">
        <v>19</v>
      </c>
      <c r="AT28" s="30">
        <v>9</v>
      </c>
      <c r="AU28" s="27">
        <v>0.47370000000000001</v>
      </c>
      <c r="AV28" s="28">
        <v>0.86</v>
      </c>
      <c r="AW28" s="20">
        <v>14</v>
      </c>
      <c r="AX28" s="20">
        <v>18</v>
      </c>
      <c r="AY28" s="30">
        <v>13</v>
      </c>
      <c r="AZ28" s="20">
        <v>10</v>
      </c>
      <c r="BA28" s="27">
        <v>0.60099999999999998</v>
      </c>
      <c r="BB28" s="34">
        <v>2</v>
      </c>
      <c r="BC28" s="20">
        <v>10</v>
      </c>
      <c r="BD28" s="20">
        <v>3</v>
      </c>
      <c r="BE28" s="20" t="s">
        <v>237</v>
      </c>
      <c r="BF28" s="20" t="s">
        <v>161</v>
      </c>
      <c r="BG28" s="20">
        <v>21</v>
      </c>
      <c r="BH28" s="20">
        <v>10</v>
      </c>
      <c r="BI28" s="20">
        <v>6</v>
      </c>
      <c r="BJ28" s="20">
        <v>9</v>
      </c>
      <c r="BK28" s="20" t="s">
        <v>267</v>
      </c>
      <c r="BM28" s="20">
        <v>1</v>
      </c>
      <c r="BN28" s="20">
        <v>1</v>
      </c>
      <c r="BO28" s="20">
        <v>1</v>
      </c>
      <c r="BP28" s="20">
        <v>0</v>
      </c>
      <c r="BQ28" s="20">
        <v>1</v>
      </c>
      <c r="BR28" s="20">
        <v>1</v>
      </c>
      <c r="BS28" s="20">
        <v>0</v>
      </c>
      <c r="BT28" s="20">
        <v>1</v>
      </c>
      <c r="BX28" s="20">
        <v>17.37</v>
      </c>
      <c r="BY28" s="20">
        <v>7</v>
      </c>
      <c r="BZ28" s="20"/>
      <c r="CA28" s="20"/>
      <c r="CB28" s="20">
        <v>24</v>
      </c>
      <c r="CC28" s="20" t="s">
        <v>22</v>
      </c>
      <c r="CD28" s="20" t="s">
        <v>7</v>
      </c>
      <c r="CE28" s="33">
        <v>1</v>
      </c>
      <c r="CF28" s="20">
        <v>6</v>
      </c>
      <c r="CG28" s="20">
        <v>3</v>
      </c>
      <c r="CH28" s="20" t="s">
        <v>125</v>
      </c>
      <c r="CI28" s="20" t="s">
        <v>134</v>
      </c>
      <c r="CJ28" s="20">
        <v>28</v>
      </c>
      <c r="CK28" s="20">
        <v>8</v>
      </c>
      <c r="CL28" s="20">
        <v>14</v>
      </c>
      <c r="CM28" s="20">
        <v>14</v>
      </c>
      <c r="CN28" s="20" t="s">
        <v>290</v>
      </c>
      <c r="CO28" s="34">
        <v>0</v>
      </c>
      <c r="CP28" s="20">
        <v>11</v>
      </c>
      <c r="CQ28" s="20">
        <v>0</v>
      </c>
      <c r="CR28" s="20" t="s">
        <v>116</v>
      </c>
      <c r="CS28" s="20" t="s">
        <v>199</v>
      </c>
      <c r="CT28" s="20">
        <v>23</v>
      </c>
      <c r="CU28" s="20">
        <v>6</v>
      </c>
      <c r="CV28" s="20">
        <v>11</v>
      </c>
      <c r="CW28" s="20">
        <v>18</v>
      </c>
      <c r="CX28" s="20" t="s">
        <v>292</v>
      </c>
      <c r="CZ28" s="20">
        <v>1</v>
      </c>
      <c r="DA28" s="20">
        <v>1</v>
      </c>
      <c r="DB28" s="20">
        <v>0</v>
      </c>
      <c r="DC28" s="20">
        <v>1</v>
      </c>
      <c r="DD28" s="20">
        <v>1</v>
      </c>
      <c r="DE28" s="20">
        <v>1</v>
      </c>
      <c r="DF28" s="20">
        <v>1</v>
      </c>
      <c r="DG28" s="20">
        <v>0</v>
      </c>
      <c r="DK28" s="20">
        <v>50</v>
      </c>
      <c r="DL28" s="20">
        <v>5</v>
      </c>
      <c r="DO28" s="20">
        <v>24</v>
      </c>
      <c r="DP28" s="20" t="s">
        <v>8</v>
      </c>
      <c r="DQ28" s="20" t="s">
        <v>12</v>
      </c>
      <c r="DR28" s="33">
        <v>1</v>
      </c>
      <c r="DS28" s="20">
        <v>12</v>
      </c>
      <c r="DT28" s="20">
        <v>5</v>
      </c>
      <c r="DU28" s="20" t="s">
        <v>254</v>
      </c>
      <c r="DV28" s="20" t="s">
        <v>123</v>
      </c>
      <c r="DW28" s="20">
        <v>18</v>
      </c>
      <c r="DX28" s="20">
        <v>14</v>
      </c>
      <c r="DY28" s="20">
        <v>5</v>
      </c>
      <c r="DZ28" s="20">
        <v>7</v>
      </c>
      <c r="EA28" s="20" t="s">
        <v>512</v>
      </c>
      <c r="EB28" s="34">
        <v>0</v>
      </c>
      <c r="EC28" s="20">
        <v>7</v>
      </c>
      <c r="ED28" s="20">
        <v>2</v>
      </c>
      <c r="EE28" s="20" t="s">
        <v>170</v>
      </c>
      <c r="EF28" s="20" t="s">
        <v>203</v>
      </c>
      <c r="EG28" s="20">
        <v>13</v>
      </c>
      <c r="EH28" s="20">
        <v>22</v>
      </c>
      <c r="EI28" s="20">
        <v>5</v>
      </c>
      <c r="EJ28" s="20">
        <v>10</v>
      </c>
      <c r="EK28" s="20" t="s">
        <v>513</v>
      </c>
      <c r="EM28" s="20">
        <v>1</v>
      </c>
      <c r="EN28" s="20">
        <v>1</v>
      </c>
      <c r="EO28" s="20">
        <v>1</v>
      </c>
      <c r="EP28" s="20">
        <v>1</v>
      </c>
      <c r="EQ28" s="20">
        <v>0</v>
      </c>
      <c r="ER28" s="20">
        <v>0</v>
      </c>
      <c r="ES28" s="20">
        <v>1</v>
      </c>
      <c r="ET28" s="20">
        <v>1</v>
      </c>
      <c r="EX28" s="20">
        <v>13.1</v>
      </c>
      <c r="EY28" s="20">
        <v>5</v>
      </c>
      <c r="FB28" s="20">
        <v>24</v>
      </c>
      <c r="FC28" s="20" t="s">
        <v>6</v>
      </c>
      <c r="FD28" s="20" t="s">
        <v>9</v>
      </c>
      <c r="FE28" s="34">
        <v>2</v>
      </c>
      <c r="FF28" s="20">
        <v>10</v>
      </c>
      <c r="FG28" s="20">
        <v>3</v>
      </c>
      <c r="FH28" s="20" t="s">
        <v>237</v>
      </c>
      <c r="FI28" s="20" t="s">
        <v>161</v>
      </c>
      <c r="FJ28" s="20">
        <v>21</v>
      </c>
      <c r="FK28" s="20">
        <v>10</v>
      </c>
      <c r="FL28" s="20">
        <v>6</v>
      </c>
      <c r="FM28" s="20">
        <v>9</v>
      </c>
      <c r="FN28" s="20" t="s">
        <v>267</v>
      </c>
      <c r="FO28" s="33">
        <v>4</v>
      </c>
      <c r="FP28" s="20">
        <v>19</v>
      </c>
      <c r="FQ28" s="20">
        <v>9</v>
      </c>
      <c r="FR28" s="20" t="s">
        <v>245</v>
      </c>
      <c r="FS28" s="20" t="s">
        <v>179</v>
      </c>
      <c r="FT28" s="20">
        <v>14</v>
      </c>
      <c r="FU28" s="20">
        <v>18</v>
      </c>
      <c r="FV28" s="20">
        <v>13</v>
      </c>
      <c r="FW28" s="20">
        <v>10</v>
      </c>
      <c r="FX28" s="20" t="s">
        <v>266</v>
      </c>
      <c r="FZ28" s="20">
        <v>1</v>
      </c>
      <c r="GA28" s="20">
        <v>1</v>
      </c>
      <c r="GB28" s="20">
        <v>1</v>
      </c>
      <c r="GC28" s="20">
        <v>0</v>
      </c>
      <c r="GD28" s="20">
        <v>1</v>
      </c>
      <c r="GE28" s="20">
        <v>1</v>
      </c>
      <c r="GF28" s="20">
        <v>0</v>
      </c>
      <c r="GG28" s="20">
        <v>1</v>
      </c>
      <c r="GK28" s="20">
        <v>17.37</v>
      </c>
      <c r="GL28" s="20">
        <v>7</v>
      </c>
      <c r="GO28" s="20">
        <v>24</v>
      </c>
      <c r="GP28" s="20" t="s">
        <v>5</v>
      </c>
      <c r="GQ28" s="20" t="s">
        <v>10</v>
      </c>
      <c r="GR28" s="34">
        <v>1</v>
      </c>
      <c r="GS28" s="20">
        <v>10</v>
      </c>
      <c r="GT28" s="20">
        <v>4</v>
      </c>
      <c r="GU28" s="20" t="s">
        <v>133</v>
      </c>
      <c r="GV28" s="20" t="s">
        <v>219</v>
      </c>
      <c r="GW28" s="20">
        <v>34</v>
      </c>
      <c r="GX28" s="20">
        <v>9</v>
      </c>
      <c r="GY28" s="20">
        <v>5</v>
      </c>
      <c r="GZ28" s="20">
        <v>9</v>
      </c>
      <c r="HA28" s="20" t="s">
        <v>486</v>
      </c>
      <c r="HB28" s="33">
        <v>6</v>
      </c>
      <c r="HC28" s="20">
        <v>20</v>
      </c>
      <c r="HD28" s="20">
        <v>11</v>
      </c>
      <c r="HE28" s="20" t="s">
        <v>514</v>
      </c>
      <c r="HF28" s="20" t="s">
        <v>168</v>
      </c>
      <c r="HG28" s="20">
        <v>21</v>
      </c>
      <c r="HH28" s="20">
        <v>7</v>
      </c>
      <c r="HI28" s="20">
        <v>17</v>
      </c>
      <c r="HJ28" s="20">
        <v>17</v>
      </c>
      <c r="HK28" s="20" t="s">
        <v>485</v>
      </c>
      <c r="HM28" s="20">
        <v>1</v>
      </c>
      <c r="HN28" s="20">
        <v>1</v>
      </c>
      <c r="HO28" s="20">
        <v>1</v>
      </c>
      <c r="HP28" s="20">
        <v>0</v>
      </c>
      <c r="HQ28" s="20">
        <v>0</v>
      </c>
      <c r="HR28" s="20">
        <v>1</v>
      </c>
      <c r="HS28" s="20">
        <v>0</v>
      </c>
      <c r="HT28" s="20">
        <v>1</v>
      </c>
      <c r="HX28" s="20">
        <v>15</v>
      </c>
      <c r="HY28" s="20">
        <v>13</v>
      </c>
      <c r="IB28" s="20">
        <v>24</v>
      </c>
      <c r="IC28" s="20" t="s">
        <v>11</v>
      </c>
      <c r="ID28" s="20" t="s">
        <v>15</v>
      </c>
      <c r="IE28" s="33">
        <v>2</v>
      </c>
      <c r="IF28" s="20">
        <v>9</v>
      </c>
      <c r="IG28" s="20">
        <v>5</v>
      </c>
      <c r="IH28" s="20" t="s">
        <v>370</v>
      </c>
      <c r="II28" s="20" t="s">
        <v>168</v>
      </c>
      <c r="IJ28" s="20">
        <v>14</v>
      </c>
      <c r="IK28" s="20">
        <v>10</v>
      </c>
      <c r="IL28" s="20">
        <v>8</v>
      </c>
      <c r="IM28" s="20">
        <v>10</v>
      </c>
      <c r="IN28" s="20" t="s">
        <v>324</v>
      </c>
      <c r="IO28" s="34">
        <v>0</v>
      </c>
      <c r="IP28" s="20">
        <v>11</v>
      </c>
      <c r="IQ28" s="20">
        <v>3</v>
      </c>
      <c r="IR28" s="20" t="s">
        <v>128</v>
      </c>
      <c r="IS28" s="20" t="s">
        <v>134</v>
      </c>
      <c r="IT28" s="20">
        <v>24</v>
      </c>
      <c r="IU28" s="20">
        <v>14</v>
      </c>
      <c r="IV28" s="20">
        <v>6</v>
      </c>
      <c r="IW28" s="20">
        <v>8</v>
      </c>
      <c r="IX28" s="20" t="s">
        <v>323</v>
      </c>
      <c r="IZ28" s="20">
        <v>1</v>
      </c>
      <c r="JA28" s="20">
        <v>1</v>
      </c>
      <c r="JB28" s="20">
        <v>1</v>
      </c>
      <c r="JC28" s="20">
        <v>0</v>
      </c>
      <c r="JD28" s="20">
        <v>0</v>
      </c>
      <c r="JE28" s="20">
        <v>1</v>
      </c>
      <c r="JF28" s="20">
        <v>0</v>
      </c>
      <c r="JG28" s="20">
        <v>1</v>
      </c>
      <c r="JK28" s="20">
        <v>28.28</v>
      </c>
      <c r="JL28" s="20">
        <v>10</v>
      </c>
      <c r="JO28" s="20">
        <v>24</v>
      </c>
      <c r="JP28" s="20" t="s">
        <v>8</v>
      </c>
      <c r="JQ28" s="20" t="s">
        <v>12</v>
      </c>
      <c r="JR28" s="34">
        <v>0</v>
      </c>
      <c r="JS28" s="20">
        <v>7</v>
      </c>
      <c r="JT28" s="20">
        <v>2</v>
      </c>
      <c r="JU28" s="20" t="s">
        <v>170</v>
      </c>
      <c r="JV28" s="20" t="s">
        <v>203</v>
      </c>
      <c r="JW28" s="20">
        <v>13</v>
      </c>
      <c r="JX28" s="20">
        <v>22</v>
      </c>
      <c r="JY28" s="20">
        <v>5</v>
      </c>
      <c r="JZ28" s="20">
        <v>10</v>
      </c>
      <c r="KA28" s="20" t="s">
        <v>513</v>
      </c>
      <c r="KB28" s="33">
        <v>1</v>
      </c>
      <c r="KC28" s="20">
        <v>12</v>
      </c>
      <c r="KD28" s="20">
        <v>5</v>
      </c>
      <c r="KE28" s="20" t="s">
        <v>254</v>
      </c>
      <c r="KF28" s="20" t="s">
        <v>123</v>
      </c>
      <c r="KG28" s="20">
        <v>18</v>
      </c>
      <c r="KH28" s="20">
        <v>14</v>
      </c>
      <c r="KI28" s="20">
        <v>5</v>
      </c>
      <c r="KJ28" s="20">
        <v>7</v>
      </c>
      <c r="KK28" s="20" t="s">
        <v>512</v>
      </c>
      <c r="KM28" s="20">
        <v>1</v>
      </c>
      <c r="KN28" s="20">
        <v>1</v>
      </c>
      <c r="KO28" s="20">
        <v>1</v>
      </c>
      <c r="KP28" s="20">
        <v>1</v>
      </c>
      <c r="KQ28" s="20">
        <v>0</v>
      </c>
      <c r="KR28" s="20">
        <v>0</v>
      </c>
      <c r="KS28" s="20">
        <v>1</v>
      </c>
      <c r="KT28" s="20">
        <v>1</v>
      </c>
      <c r="KX28" s="20">
        <v>13.1</v>
      </c>
      <c r="KY28" s="20">
        <v>5</v>
      </c>
      <c r="LB28" s="20">
        <v>24</v>
      </c>
      <c r="LC28" s="20" t="s">
        <v>13</v>
      </c>
      <c r="LD28" s="20" t="s">
        <v>20</v>
      </c>
      <c r="LE28" s="33">
        <v>3</v>
      </c>
      <c r="LF28" s="20">
        <v>12</v>
      </c>
      <c r="LG28" s="20">
        <v>6</v>
      </c>
      <c r="LH28" s="20" t="s">
        <v>125</v>
      </c>
      <c r="LI28" s="20" t="s">
        <v>147</v>
      </c>
      <c r="LJ28" s="20">
        <v>28</v>
      </c>
      <c r="LK28" s="20">
        <v>17</v>
      </c>
      <c r="LL28" s="20">
        <v>7</v>
      </c>
      <c r="LM28" s="20">
        <v>8</v>
      </c>
      <c r="LN28" s="20" t="s">
        <v>285</v>
      </c>
      <c r="LO28" s="34">
        <v>0</v>
      </c>
      <c r="LP28" s="20">
        <v>15</v>
      </c>
      <c r="LQ28" s="20">
        <v>2</v>
      </c>
      <c r="LR28" s="20" t="s">
        <v>479</v>
      </c>
      <c r="LS28" s="20" t="s">
        <v>142</v>
      </c>
      <c r="LT28" s="20">
        <v>18</v>
      </c>
      <c r="LU28" s="20">
        <v>13</v>
      </c>
      <c r="LV28" s="20">
        <v>7</v>
      </c>
      <c r="LW28" s="20">
        <v>19</v>
      </c>
      <c r="LX28" s="20" t="s">
        <v>286</v>
      </c>
      <c r="LZ28" s="20">
        <v>1</v>
      </c>
      <c r="MA28" s="20">
        <v>1</v>
      </c>
      <c r="MB28" s="20">
        <v>0</v>
      </c>
      <c r="MC28" s="20">
        <v>1</v>
      </c>
      <c r="MD28" s="20">
        <v>1</v>
      </c>
      <c r="ME28" s="20">
        <v>0</v>
      </c>
      <c r="MF28" s="20">
        <v>1</v>
      </c>
      <c r="MG28" s="20">
        <v>0</v>
      </c>
      <c r="MK28" s="20">
        <v>36.67</v>
      </c>
      <c r="ML28" s="20">
        <v>10</v>
      </c>
      <c r="MO28" s="20">
        <v>24</v>
      </c>
      <c r="MP28" s="20" t="s">
        <v>16</v>
      </c>
      <c r="MQ28" s="20" t="s">
        <v>14</v>
      </c>
      <c r="MR28" s="32">
        <v>2</v>
      </c>
      <c r="MS28" s="20">
        <v>4</v>
      </c>
      <c r="MT28" s="20">
        <v>2</v>
      </c>
      <c r="MU28" s="20" t="s">
        <v>125</v>
      </c>
      <c r="MV28" s="20" t="s">
        <v>156</v>
      </c>
      <c r="MW28" s="20">
        <v>21</v>
      </c>
      <c r="MX28" s="20">
        <v>8</v>
      </c>
      <c r="MY28" s="20">
        <v>12</v>
      </c>
      <c r="MZ28" s="20">
        <v>14</v>
      </c>
      <c r="NA28" s="20" t="s">
        <v>456</v>
      </c>
      <c r="NB28" s="32">
        <v>2</v>
      </c>
      <c r="NC28" s="20">
        <v>25</v>
      </c>
      <c r="ND28" s="20">
        <v>11</v>
      </c>
      <c r="NE28" s="20" t="s">
        <v>515</v>
      </c>
      <c r="NF28" s="20" t="s">
        <v>219</v>
      </c>
      <c r="NG28" s="20">
        <v>25</v>
      </c>
      <c r="NH28" s="20">
        <v>18</v>
      </c>
      <c r="NI28" s="20">
        <v>6</v>
      </c>
      <c r="NJ28" s="20">
        <v>11</v>
      </c>
      <c r="NK28" s="20" t="s">
        <v>455</v>
      </c>
      <c r="NM28" s="32">
        <v>1</v>
      </c>
      <c r="NN28" s="32">
        <v>0</v>
      </c>
      <c r="NO28" s="32">
        <v>1</v>
      </c>
      <c r="NP28" s="32">
        <v>1</v>
      </c>
      <c r="NQ28" s="32">
        <v>1</v>
      </c>
      <c r="NR28" s="32">
        <v>0</v>
      </c>
      <c r="NS28" s="32">
        <v>1</v>
      </c>
      <c r="NT28" s="32">
        <v>1</v>
      </c>
      <c r="NX28" s="32">
        <v>6</v>
      </c>
      <c r="NY28" s="32">
        <v>4</v>
      </c>
      <c r="OB28" s="20">
        <v>24</v>
      </c>
      <c r="OC28" s="20" t="s">
        <v>11</v>
      </c>
      <c r="OD28" s="20" t="s">
        <v>15</v>
      </c>
      <c r="OE28" s="34">
        <v>0</v>
      </c>
      <c r="OF28" s="20">
        <v>11</v>
      </c>
      <c r="OG28" s="20">
        <v>3</v>
      </c>
      <c r="OH28" s="20" t="s">
        <v>128</v>
      </c>
      <c r="OI28" s="20" t="s">
        <v>134</v>
      </c>
      <c r="OJ28" s="20">
        <v>24</v>
      </c>
      <c r="OK28" s="20">
        <v>14</v>
      </c>
      <c r="OL28" s="20">
        <v>6</v>
      </c>
      <c r="OM28" s="20">
        <v>8</v>
      </c>
      <c r="ON28" s="20" t="s">
        <v>323</v>
      </c>
      <c r="OO28" s="33">
        <v>2</v>
      </c>
      <c r="OP28" s="20">
        <v>9</v>
      </c>
      <c r="OQ28" s="20">
        <v>5</v>
      </c>
      <c r="OR28" s="20" t="s">
        <v>370</v>
      </c>
      <c r="OS28" s="20" t="s">
        <v>168</v>
      </c>
      <c r="OT28" s="20">
        <v>14</v>
      </c>
      <c r="OU28" s="20">
        <v>10</v>
      </c>
      <c r="OV28" s="20">
        <v>8</v>
      </c>
      <c r="OW28" s="20">
        <v>10</v>
      </c>
      <c r="OX28" s="20" t="s">
        <v>324</v>
      </c>
      <c r="OZ28" s="20">
        <v>1</v>
      </c>
      <c r="PA28" s="20">
        <v>1</v>
      </c>
      <c r="PB28" s="20">
        <v>1</v>
      </c>
      <c r="PC28" s="20">
        <v>0</v>
      </c>
      <c r="PD28" s="20">
        <v>0</v>
      </c>
      <c r="PE28" s="20">
        <v>1</v>
      </c>
      <c r="PF28" s="20">
        <v>0</v>
      </c>
      <c r="PG28" s="20">
        <v>1</v>
      </c>
      <c r="PK28" s="20">
        <v>28.28</v>
      </c>
      <c r="PL28" s="20">
        <v>10</v>
      </c>
      <c r="PO28" s="20">
        <v>24</v>
      </c>
      <c r="PP28" s="20" t="s">
        <v>17</v>
      </c>
      <c r="PQ28" s="20" t="s">
        <v>18</v>
      </c>
      <c r="PR28" s="33">
        <v>2</v>
      </c>
      <c r="PS28" s="20">
        <v>17</v>
      </c>
      <c r="PT28" s="20">
        <v>4</v>
      </c>
      <c r="PU28" s="20" t="s">
        <v>436</v>
      </c>
      <c r="PV28" s="20" t="s">
        <v>168</v>
      </c>
      <c r="PW28" s="20">
        <v>19</v>
      </c>
      <c r="PX28" s="20">
        <v>22</v>
      </c>
      <c r="PY28" s="20">
        <v>13</v>
      </c>
      <c r="PZ28" s="20">
        <v>6</v>
      </c>
      <c r="QA28" s="20" t="s">
        <v>446</v>
      </c>
      <c r="QB28" s="34">
        <v>1</v>
      </c>
      <c r="QC28" s="20">
        <v>20</v>
      </c>
      <c r="QD28" s="20">
        <v>6</v>
      </c>
      <c r="QE28" s="20" t="s">
        <v>237</v>
      </c>
      <c r="QF28" s="20" t="s">
        <v>139</v>
      </c>
      <c r="QG28" s="20">
        <v>15</v>
      </c>
      <c r="QH28" s="20">
        <v>11</v>
      </c>
      <c r="QI28" s="20">
        <v>10</v>
      </c>
      <c r="QJ28" s="20">
        <v>12</v>
      </c>
      <c r="QK28" s="20" t="s">
        <v>500</v>
      </c>
      <c r="QM28" s="20">
        <v>0</v>
      </c>
      <c r="QN28" s="20">
        <v>0</v>
      </c>
      <c r="QO28" s="20">
        <v>1</v>
      </c>
      <c r="QP28" s="20">
        <v>1</v>
      </c>
      <c r="QQ28" s="20">
        <v>1</v>
      </c>
      <c r="QR28" s="20">
        <v>1</v>
      </c>
      <c r="QS28" s="20">
        <v>1</v>
      </c>
      <c r="QT28" s="20">
        <v>1</v>
      </c>
      <c r="QX28" s="20">
        <v>6.47</v>
      </c>
      <c r="QY28" s="20">
        <v>4</v>
      </c>
      <c r="RB28" s="20">
        <v>24</v>
      </c>
      <c r="RC28" s="20" t="s">
        <v>17</v>
      </c>
      <c r="RD28" s="20" t="s">
        <v>18</v>
      </c>
      <c r="RE28" s="34">
        <v>1</v>
      </c>
      <c r="RF28" s="20">
        <v>20</v>
      </c>
      <c r="RG28" s="20">
        <v>6</v>
      </c>
      <c r="RH28" s="20" t="s">
        <v>237</v>
      </c>
      <c r="RI28" s="20" t="s">
        <v>139</v>
      </c>
      <c r="RJ28" s="20">
        <v>15</v>
      </c>
      <c r="RK28" s="20">
        <v>11</v>
      </c>
      <c r="RL28" s="20">
        <v>10</v>
      </c>
      <c r="RM28" s="20">
        <v>12</v>
      </c>
      <c r="RN28" s="20" t="s">
        <v>500</v>
      </c>
      <c r="RO28" s="33">
        <v>2</v>
      </c>
      <c r="RP28" s="20">
        <v>17</v>
      </c>
      <c r="RQ28" s="20">
        <v>4</v>
      </c>
      <c r="RR28" s="20" t="s">
        <v>436</v>
      </c>
      <c r="RS28" s="20" t="s">
        <v>168</v>
      </c>
      <c r="RT28" s="20">
        <v>19</v>
      </c>
      <c r="RU28" s="20">
        <v>22</v>
      </c>
      <c r="RV28" s="20">
        <v>13</v>
      </c>
      <c r="RW28" s="20">
        <v>6</v>
      </c>
      <c r="RX28" s="20" t="s">
        <v>446</v>
      </c>
      <c r="RZ28" s="20">
        <v>0</v>
      </c>
      <c r="SA28" s="20">
        <v>0</v>
      </c>
      <c r="SB28" s="20">
        <v>1</v>
      </c>
      <c r="SC28" s="20">
        <v>1</v>
      </c>
      <c r="SD28" s="20">
        <v>1</v>
      </c>
      <c r="SE28" s="20">
        <v>1</v>
      </c>
      <c r="SF28" s="20">
        <v>1</v>
      </c>
      <c r="SG28" s="20">
        <v>1</v>
      </c>
      <c r="SK28" s="20">
        <v>6.47</v>
      </c>
      <c r="SL28" s="20">
        <v>4</v>
      </c>
      <c r="SO28" s="20">
        <v>24</v>
      </c>
      <c r="SP28" s="20" t="s">
        <v>19</v>
      </c>
      <c r="SQ28" s="20" t="s">
        <v>23</v>
      </c>
      <c r="SR28" s="33">
        <v>2</v>
      </c>
      <c r="SS28" s="20">
        <v>16</v>
      </c>
      <c r="ST28" s="20">
        <v>7</v>
      </c>
      <c r="SU28" s="20" t="s">
        <v>303</v>
      </c>
      <c r="SV28" s="20" t="s">
        <v>203</v>
      </c>
      <c r="SW28" s="20">
        <v>23</v>
      </c>
      <c r="SX28" s="20">
        <v>20</v>
      </c>
      <c r="SY28" s="20">
        <v>7</v>
      </c>
      <c r="SZ28" s="20">
        <v>7</v>
      </c>
      <c r="TA28" s="20" t="s">
        <v>516</v>
      </c>
      <c r="TB28" s="34">
        <v>0</v>
      </c>
      <c r="TC28" s="20">
        <v>8</v>
      </c>
      <c r="TD28" s="20">
        <v>3</v>
      </c>
      <c r="TE28" s="20" t="s">
        <v>153</v>
      </c>
      <c r="TF28" s="20" t="s">
        <v>176</v>
      </c>
      <c r="TG28" s="20">
        <v>14</v>
      </c>
      <c r="TH28" s="20">
        <v>27</v>
      </c>
      <c r="TI28" s="20">
        <v>9</v>
      </c>
      <c r="TJ28" s="20">
        <v>18</v>
      </c>
      <c r="TK28" s="20" t="s">
        <v>517</v>
      </c>
      <c r="TM28" s="20">
        <v>1</v>
      </c>
      <c r="TN28" s="20">
        <v>1</v>
      </c>
      <c r="TO28" s="20">
        <v>0</v>
      </c>
      <c r="TP28" s="20">
        <v>1</v>
      </c>
      <c r="TQ28" s="20">
        <v>0</v>
      </c>
      <c r="TR28" s="20">
        <v>0</v>
      </c>
      <c r="TS28" s="20">
        <v>1</v>
      </c>
      <c r="TT28" s="20">
        <v>0</v>
      </c>
      <c r="TX28" s="20">
        <v>6.25</v>
      </c>
      <c r="TY28" s="20">
        <v>9</v>
      </c>
      <c r="UB28" s="20">
        <v>24</v>
      </c>
      <c r="UC28" s="20" t="s">
        <v>16</v>
      </c>
      <c r="UD28" s="20" t="s">
        <v>14</v>
      </c>
      <c r="UE28" s="32">
        <v>2</v>
      </c>
      <c r="UF28" s="20">
        <v>25</v>
      </c>
      <c r="UG28" s="20">
        <v>11</v>
      </c>
      <c r="UH28" s="20" t="s">
        <v>515</v>
      </c>
      <c r="UI28" s="20" t="s">
        <v>219</v>
      </c>
      <c r="UJ28" s="20">
        <v>25</v>
      </c>
      <c r="UK28" s="20">
        <v>18</v>
      </c>
      <c r="UL28" s="20">
        <v>6</v>
      </c>
      <c r="UM28" s="20">
        <v>11</v>
      </c>
      <c r="UN28" s="20" t="s">
        <v>455</v>
      </c>
      <c r="UO28" s="32">
        <v>2</v>
      </c>
      <c r="UP28" s="20">
        <v>4</v>
      </c>
      <c r="UQ28" s="20">
        <v>2</v>
      </c>
      <c r="UR28" s="20" t="s">
        <v>125</v>
      </c>
      <c r="US28" s="20" t="s">
        <v>156</v>
      </c>
      <c r="UT28" s="20">
        <v>21</v>
      </c>
      <c r="UU28" s="20">
        <v>8</v>
      </c>
      <c r="UV28" s="20">
        <v>12</v>
      </c>
      <c r="UW28" s="20">
        <v>14</v>
      </c>
      <c r="UX28" s="20" t="s">
        <v>456</v>
      </c>
      <c r="UZ28" s="32">
        <v>1</v>
      </c>
      <c r="VA28" s="32">
        <v>0</v>
      </c>
      <c r="VB28" s="32">
        <v>1</v>
      </c>
      <c r="VC28" s="32">
        <v>1</v>
      </c>
      <c r="VD28" s="32">
        <v>1</v>
      </c>
      <c r="VE28" s="32">
        <v>0</v>
      </c>
      <c r="VF28" s="32">
        <v>1</v>
      </c>
      <c r="VG28" s="32">
        <v>1</v>
      </c>
      <c r="VK28" s="32">
        <v>6</v>
      </c>
      <c r="VL28" s="32">
        <v>4</v>
      </c>
      <c r="VO28" s="20">
        <v>24</v>
      </c>
      <c r="VP28" s="20" t="s">
        <v>13</v>
      </c>
      <c r="VQ28" s="20" t="s">
        <v>20</v>
      </c>
      <c r="VR28" s="34">
        <v>0</v>
      </c>
      <c r="VS28" s="20">
        <v>15</v>
      </c>
      <c r="VT28" s="20">
        <v>2</v>
      </c>
      <c r="VU28" s="20" t="s">
        <v>479</v>
      </c>
      <c r="VV28" s="20" t="s">
        <v>142</v>
      </c>
      <c r="VW28" s="20">
        <v>18</v>
      </c>
      <c r="VX28" s="20">
        <v>13</v>
      </c>
      <c r="VY28" s="20">
        <v>7</v>
      </c>
      <c r="VZ28" s="20">
        <v>19</v>
      </c>
      <c r="WA28" s="20" t="s">
        <v>286</v>
      </c>
      <c r="WB28" s="33">
        <v>3</v>
      </c>
      <c r="WC28" s="20">
        <v>12</v>
      </c>
      <c r="WD28" s="20">
        <v>6</v>
      </c>
      <c r="WE28" s="20" t="s">
        <v>125</v>
      </c>
      <c r="WF28" s="20" t="s">
        <v>147</v>
      </c>
      <c r="WG28" s="20">
        <v>28</v>
      </c>
      <c r="WH28" s="20">
        <v>17</v>
      </c>
      <c r="WI28" s="20">
        <v>7</v>
      </c>
      <c r="WJ28" s="20">
        <v>8</v>
      </c>
      <c r="WK28" s="20" t="s">
        <v>285</v>
      </c>
      <c r="WM28" s="20">
        <v>1</v>
      </c>
      <c r="WN28" s="20">
        <v>1</v>
      </c>
      <c r="WO28" s="20">
        <v>0</v>
      </c>
      <c r="WP28" s="20">
        <v>1</v>
      </c>
      <c r="WQ28" s="20">
        <v>1</v>
      </c>
      <c r="WR28" s="20">
        <v>0</v>
      </c>
      <c r="WS28" s="20">
        <v>1</v>
      </c>
      <c r="WT28" s="20">
        <v>0</v>
      </c>
      <c r="WX28" s="20">
        <v>36.67</v>
      </c>
      <c r="WY28" s="20">
        <v>10</v>
      </c>
      <c r="XB28" s="20">
        <v>24</v>
      </c>
      <c r="XC28" s="20" t="s">
        <v>34</v>
      </c>
      <c r="XD28" s="20" t="s">
        <v>5</v>
      </c>
      <c r="XE28" s="34">
        <v>1</v>
      </c>
      <c r="XF28" s="20">
        <v>6</v>
      </c>
      <c r="XG28" s="20">
        <v>2</v>
      </c>
      <c r="XH28" s="20" t="s">
        <v>209</v>
      </c>
      <c r="XI28" s="20" t="s">
        <v>371</v>
      </c>
      <c r="XJ28" s="20">
        <v>22</v>
      </c>
      <c r="XK28" s="20">
        <v>6</v>
      </c>
      <c r="XL28" s="20">
        <v>8</v>
      </c>
      <c r="XM28" s="20">
        <v>9</v>
      </c>
      <c r="XN28" s="20" t="s">
        <v>518</v>
      </c>
      <c r="XO28" s="33">
        <v>3</v>
      </c>
      <c r="XP28" s="20">
        <v>17</v>
      </c>
      <c r="XQ28" s="20">
        <v>8</v>
      </c>
      <c r="XR28" s="20" t="s">
        <v>474</v>
      </c>
      <c r="XS28" s="20" t="s">
        <v>252</v>
      </c>
      <c r="XT28" s="20">
        <v>17</v>
      </c>
      <c r="XU28" s="20">
        <v>11</v>
      </c>
      <c r="XV28" s="20">
        <v>10</v>
      </c>
      <c r="XW28" s="20">
        <v>13</v>
      </c>
      <c r="XX28" s="20" t="s">
        <v>519</v>
      </c>
      <c r="XZ28" s="20">
        <v>1</v>
      </c>
      <c r="YA28" s="20">
        <v>1</v>
      </c>
      <c r="YB28" s="20">
        <v>1</v>
      </c>
      <c r="YC28" s="20">
        <v>0</v>
      </c>
      <c r="YD28" s="20">
        <v>1</v>
      </c>
      <c r="YE28" s="20">
        <v>1</v>
      </c>
      <c r="YF28" s="20">
        <v>0</v>
      </c>
      <c r="YG28" s="20">
        <v>1</v>
      </c>
      <c r="YK28" s="20">
        <v>13.73</v>
      </c>
      <c r="YL28" s="20">
        <v>5</v>
      </c>
      <c r="YO28" s="20">
        <v>24</v>
      </c>
      <c r="YP28" s="20" t="s">
        <v>34</v>
      </c>
      <c r="YQ28" s="20" t="s">
        <v>21</v>
      </c>
      <c r="YR28" s="32">
        <v>2</v>
      </c>
      <c r="YS28" s="20">
        <v>15</v>
      </c>
      <c r="YT28" s="20">
        <v>4</v>
      </c>
      <c r="YU28" s="20" t="s">
        <v>256</v>
      </c>
      <c r="YV28" s="20" t="s">
        <v>230</v>
      </c>
      <c r="YW28" s="20">
        <v>15</v>
      </c>
      <c r="YX28" s="20">
        <v>10</v>
      </c>
      <c r="YY28" s="20">
        <v>10</v>
      </c>
      <c r="YZ28" s="20">
        <v>9</v>
      </c>
      <c r="ZA28" s="20" t="s">
        <v>375</v>
      </c>
      <c r="ZB28" s="32">
        <v>2</v>
      </c>
      <c r="ZC28" s="20">
        <v>11</v>
      </c>
      <c r="ZD28" s="20">
        <v>5</v>
      </c>
      <c r="ZE28" s="20" t="s">
        <v>358</v>
      </c>
      <c r="ZF28" s="20" t="s">
        <v>156</v>
      </c>
      <c r="ZG28" s="20">
        <v>23</v>
      </c>
      <c r="ZH28" s="20">
        <v>8</v>
      </c>
      <c r="ZI28" s="20">
        <v>14</v>
      </c>
      <c r="ZJ28" s="20">
        <v>6</v>
      </c>
      <c r="ZK28" s="20" t="s">
        <v>374</v>
      </c>
      <c r="ZM28" s="32">
        <v>0</v>
      </c>
      <c r="ZN28" s="32">
        <v>0</v>
      </c>
      <c r="ZO28" s="32">
        <v>1</v>
      </c>
      <c r="ZP28" s="32">
        <v>0</v>
      </c>
      <c r="ZQ28" s="32">
        <v>1</v>
      </c>
      <c r="ZR28" s="32">
        <v>0</v>
      </c>
      <c r="ZS28" s="32">
        <v>0</v>
      </c>
      <c r="ZT28" s="32">
        <v>1</v>
      </c>
      <c r="ZX28" s="32">
        <v>18.79</v>
      </c>
      <c r="ZY28" s="32">
        <v>8</v>
      </c>
      <c r="AAB28" s="20">
        <v>24</v>
      </c>
      <c r="AAC28" s="20" t="s">
        <v>22</v>
      </c>
      <c r="AAD28" s="20" t="s">
        <v>7</v>
      </c>
      <c r="AAE28" s="34">
        <v>0</v>
      </c>
      <c r="AAF28" s="20">
        <v>11</v>
      </c>
      <c r="AAG28" s="20">
        <v>0</v>
      </c>
      <c r="AAH28" s="20" t="s">
        <v>116</v>
      </c>
      <c r="AAI28" s="20" t="s">
        <v>199</v>
      </c>
      <c r="AAJ28" s="20">
        <v>23</v>
      </c>
      <c r="AAK28" s="20">
        <v>6</v>
      </c>
      <c r="AAL28" s="20">
        <v>11</v>
      </c>
      <c r="AAM28" s="20">
        <v>18</v>
      </c>
      <c r="AAN28" s="20" t="s">
        <v>292</v>
      </c>
      <c r="AAO28" s="33">
        <v>1</v>
      </c>
      <c r="AAP28" s="20">
        <v>6</v>
      </c>
      <c r="AAQ28" s="20">
        <v>3</v>
      </c>
      <c r="AAR28" s="20" t="s">
        <v>125</v>
      </c>
      <c r="AAS28" s="20" t="s">
        <v>134</v>
      </c>
      <c r="AAT28" s="20">
        <v>28</v>
      </c>
      <c r="AAU28" s="20">
        <v>8</v>
      </c>
      <c r="AAV28" s="20">
        <v>14</v>
      </c>
      <c r="AAW28" s="20">
        <v>14</v>
      </c>
      <c r="AAX28" s="20" t="s">
        <v>290</v>
      </c>
      <c r="AAZ28" s="20">
        <v>1</v>
      </c>
      <c r="ABA28" s="20">
        <v>1</v>
      </c>
      <c r="ABB28" s="20">
        <v>0</v>
      </c>
      <c r="ABC28" s="20">
        <v>1</v>
      </c>
      <c r="ABD28" s="20">
        <v>1</v>
      </c>
      <c r="ABE28" s="20">
        <v>1</v>
      </c>
      <c r="ABF28" s="20">
        <v>1</v>
      </c>
      <c r="ABG28" s="20">
        <v>0</v>
      </c>
      <c r="ABK28" s="20">
        <v>50</v>
      </c>
      <c r="ABL28" s="20">
        <v>5</v>
      </c>
      <c r="ABO28" s="20">
        <v>24</v>
      </c>
      <c r="ABP28" s="20" t="s">
        <v>19</v>
      </c>
      <c r="ABQ28" s="20" t="s">
        <v>23</v>
      </c>
      <c r="ABR28" s="34">
        <v>0</v>
      </c>
      <c r="ABS28" s="20">
        <v>8</v>
      </c>
      <c r="ABT28" s="20">
        <v>3</v>
      </c>
      <c r="ABU28" s="20" t="s">
        <v>153</v>
      </c>
      <c r="ABV28" s="20" t="s">
        <v>176</v>
      </c>
      <c r="ABW28" s="20">
        <v>14</v>
      </c>
      <c r="ABX28" s="20">
        <v>27</v>
      </c>
      <c r="ABY28" s="20">
        <v>9</v>
      </c>
      <c r="ABZ28" s="20">
        <v>18</v>
      </c>
      <c r="ACA28" s="20" t="s">
        <v>517</v>
      </c>
      <c r="ACB28" s="33">
        <v>2</v>
      </c>
      <c r="ACC28" s="20">
        <v>16</v>
      </c>
      <c r="ACD28" s="20">
        <v>7</v>
      </c>
      <c r="ACE28" s="20" t="s">
        <v>303</v>
      </c>
      <c r="ACF28" s="20" t="s">
        <v>203</v>
      </c>
      <c r="ACG28" s="20">
        <v>23</v>
      </c>
      <c r="ACH28" s="20">
        <v>20</v>
      </c>
      <c r="ACI28" s="20">
        <v>7</v>
      </c>
      <c r="ACJ28" s="20">
        <v>7</v>
      </c>
      <c r="ACK28" s="20" t="s">
        <v>516</v>
      </c>
      <c r="ACM28" s="20">
        <v>1</v>
      </c>
      <c r="ACN28" s="20">
        <v>1</v>
      </c>
      <c r="ACO28" s="20">
        <v>0</v>
      </c>
      <c r="ACP28" s="20">
        <v>1</v>
      </c>
      <c r="ACQ28" s="20">
        <v>0</v>
      </c>
      <c r="ACR28" s="20">
        <v>0</v>
      </c>
      <c r="ACS28" s="20">
        <v>1</v>
      </c>
      <c r="ACT28" s="20">
        <v>0</v>
      </c>
      <c r="ACX28" s="20">
        <v>6.25</v>
      </c>
      <c r="ACY28" s="20">
        <v>9</v>
      </c>
    </row>
    <row r="29" spans="1:779" x14ac:dyDescent="0.3">
      <c r="A29" s="27"/>
      <c r="B29" s="20">
        <v>25</v>
      </c>
      <c r="C29" s="20" t="s">
        <v>15</v>
      </c>
      <c r="D29" s="20" t="s">
        <v>5</v>
      </c>
      <c r="E29" s="29">
        <v>2</v>
      </c>
      <c r="F29" s="20">
        <v>12</v>
      </c>
      <c r="G29" s="30">
        <v>7</v>
      </c>
      <c r="H29" s="27">
        <v>0.58330000000000004</v>
      </c>
      <c r="I29" s="28">
        <v>0.87</v>
      </c>
      <c r="J29" s="20">
        <v>21</v>
      </c>
      <c r="K29" s="20">
        <v>7</v>
      </c>
      <c r="L29" s="20">
        <v>7</v>
      </c>
      <c r="M29" s="30">
        <v>12</v>
      </c>
      <c r="N29" s="27">
        <v>0.52700000000000002</v>
      </c>
      <c r="O29" s="31">
        <v>1</v>
      </c>
      <c r="P29" s="20">
        <v>16</v>
      </c>
      <c r="Q29" s="30">
        <v>3</v>
      </c>
      <c r="R29" s="27">
        <v>0.1875</v>
      </c>
      <c r="S29" s="28">
        <v>0.86</v>
      </c>
      <c r="T29" s="20">
        <v>19</v>
      </c>
      <c r="U29" s="20">
        <v>6</v>
      </c>
      <c r="V29" s="20">
        <v>4</v>
      </c>
      <c r="W29" s="30">
        <v>14</v>
      </c>
      <c r="X29" s="27">
        <v>0.47299999999999998</v>
      </c>
      <c r="Z29" s="20">
        <v>1</v>
      </c>
      <c r="AA29" s="20">
        <v>1</v>
      </c>
      <c r="AB29" s="20">
        <v>1</v>
      </c>
      <c r="AC29" s="20">
        <v>1</v>
      </c>
      <c r="AD29" s="20">
        <v>1</v>
      </c>
      <c r="AE29" s="20">
        <v>1</v>
      </c>
      <c r="AF29" s="20">
        <v>1</v>
      </c>
      <c r="AG29" s="20">
        <v>1</v>
      </c>
      <c r="AK29" s="20">
        <v>39.58</v>
      </c>
      <c r="AL29" s="20">
        <v>2</v>
      </c>
      <c r="AM29" s="20"/>
      <c r="AN29" s="20"/>
      <c r="AO29" s="20">
        <v>25</v>
      </c>
      <c r="AP29" s="20" t="s">
        <v>12</v>
      </c>
      <c r="AQ29" s="20" t="s">
        <v>6</v>
      </c>
      <c r="AR29" s="32">
        <v>1</v>
      </c>
      <c r="AS29" s="30">
        <v>14</v>
      </c>
      <c r="AT29" s="30">
        <v>7</v>
      </c>
      <c r="AU29" s="27">
        <v>0.5</v>
      </c>
      <c r="AV29" s="28">
        <v>0.86</v>
      </c>
      <c r="AW29" s="20">
        <v>16</v>
      </c>
      <c r="AX29" s="20">
        <v>14</v>
      </c>
      <c r="AY29" s="30">
        <v>14</v>
      </c>
      <c r="AZ29" s="20">
        <v>9</v>
      </c>
      <c r="BA29" s="27">
        <v>0.623</v>
      </c>
      <c r="BB29" s="32">
        <v>1</v>
      </c>
      <c r="BC29" s="20">
        <v>11</v>
      </c>
      <c r="BD29" s="20">
        <v>5</v>
      </c>
      <c r="BE29" s="20" t="s">
        <v>358</v>
      </c>
      <c r="BF29" s="20" t="s">
        <v>142</v>
      </c>
      <c r="BG29" s="20">
        <v>23</v>
      </c>
      <c r="BH29" s="20">
        <v>10</v>
      </c>
      <c r="BI29" s="20">
        <v>7</v>
      </c>
      <c r="BJ29" s="20">
        <v>9</v>
      </c>
      <c r="BK29" s="20" t="s">
        <v>520</v>
      </c>
      <c r="BM29" s="32">
        <v>1</v>
      </c>
      <c r="BN29" s="32">
        <v>1</v>
      </c>
      <c r="BO29" s="32">
        <v>1</v>
      </c>
      <c r="BP29" s="32">
        <v>0</v>
      </c>
      <c r="BQ29" s="32">
        <v>1</v>
      </c>
      <c r="BR29" s="32">
        <v>1</v>
      </c>
      <c r="BS29" s="32">
        <v>1</v>
      </c>
      <c r="BT29" s="32">
        <v>1</v>
      </c>
      <c r="BX29" s="32">
        <v>4.55</v>
      </c>
      <c r="BY29" s="32">
        <v>7</v>
      </c>
      <c r="BZ29" s="20"/>
      <c r="CA29" s="20"/>
      <c r="CB29" s="20">
        <v>25</v>
      </c>
      <c r="CC29" s="20" t="s">
        <v>7</v>
      </c>
      <c r="CD29" s="20" t="s">
        <v>8</v>
      </c>
      <c r="CE29" s="32">
        <v>0</v>
      </c>
      <c r="CF29" s="20">
        <v>13</v>
      </c>
      <c r="CG29" s="20">
        <v>4</v>
      </c>
      <c r="CH29" s="20" t="s">
        <v>337</v>
      </c>
      <c r="CI29" s="20" t="s">
        <v>161</v>
      </c>
      <c r="CJ29" s="20">
        <v>18</v>
      </c>
      <c r="CK29" s="20">
        <v>23</v>
      </c>
      <c r="CL29" s="20">
        <v>13</v>
      </c>
      <c r="CM29" s="20">
        <v>10</v>
      </c>
      <c r="CN29" s="20" t="s">
        <v>416</v>
      </c>
      <c r="CO29" s="32">
        <v>0</v>
      </c>
      <c r="CP29" s="20">
        <v>5</v>
      </c>
      <c r="CQ29" s="20">
        <v>0</v>
      </c>
      <c r="CR29" s="20" t="s">
        <v>116</v>
      </c>
      <c r="CS29" s="20" t="s">
        <v>151</v>
      </c>
      <c r="CT29" s="20">
        <v>18</v>
      </c>
      <c r="CU29" s="20">
        <v>23</v>
      </c>
      <c r="CV29" s="20">
        <v>9</v>
      </c>
      <c r="CW29" s="20">
        <v>11</v>
      </c>
      <c r="CX29" s="20" t="s">
        <v>415</v>
      </c>
      <c r="CZ29" s="32">
        <v>1</v>
      </c>
      <c r="DA29" s="32">
        <v>1</v>
      </c>
      <c r="DB29" s="32">
        <v>1</v>
      </c>
      <c r="DC29" s="32">
        <v>0</v>
      </c>
      <c r="DD29" s="32">
        <v>0</v>
      </c>
      <c r="DE29" s="32">
        <v>1</v>
      </c>
      <c r="DF29" s="32">
        <v>1</v>
      </c>
      <c r="DG29" s="32">
        <v>1</v>
      </c>
      <c r="DK29" s="32">
        <v>30.77</v>
      </c>
      <c r="DL29" s="32">
        <v>0</v>
      </c>
      <c r="DO29" s="20">
        <v>25</v>
      </c>
      <c r="DP29" s="20" t="s">
        <v>7</v>
      </c>
      <c r="DQ29" s="20" t="s">
        <v>8</v>
      </c>
      <c r="DR29" s="32">
        <v>0</v>
      </c>
      <c r="DS29" s="20">
        <v>5</v>
      </c>
      <c r="DT29" s="20">
        <v>0</v>
      </c>
      <c r="DU29" s="20" t="s">
        <v>116</v>
      </c>
      <c r="DV29" s="20" t="s">
        <v>151</v>
      </c>
      <c r="DW29" s="20">
        <v>18</v>
      </c>
      <c r="DX29" s="20">
        <v>23</v>
      </c>
      <c r="DY29" s="20">
        <v>9</v>
      </c>
      <c r="DZ29" s="20">
        <v>11</v>
      </c>
      <c r="EA29" s="20" t="s">
        <v>415</v>
      </c>
      <c r="EB29" s="32">
        <v>0</v>
      </c>
      <c r="EC29" s="20">
        <v>13</v>
      </c>
      <c r="ED29" s="20">
        <v>4</v>
      </c>
      <c r="EE29" s="20" t="s">
        <v>337</v>
      </c>
      <c r="EF29" s="20" t="s">
        <v>161</v>
      </c>
      <c r="EG29" s="20">
        <v>18</v>
      </c>
      <c r="EH29" s="20">
        <v>23</v>
      </c>
      <c r="EI29" s="20">
        <v>13</v>
      </c>
      <c r="EJ29" s="20">
        <v>10</v>
      </c>
      <c r="EK29" s="20" t="s">
        <v>416</v>
      </c>
      <c r="EM29" s="32">
        <v>1</v>
      </c>
      <c r="EN29" s="32">
        <v>1</v>
      </c>
      <c r="EO29" s="32">
        <v>1</v>
      </c>
      <c r="EP29" s="32">
        <v>0</v>
      </c>
      <c r="EQ29" s="32">
        <v>0</v>
      </c>
      <c r="ER29" s="32">
        <v>1</v>
      </c>
      <c r="ES29" s="32">
        <v>1</v>
      </c>
      <c r="ET29" s="32">
        <v>1</v>
      </c>
      <c r="EX29" s="32">
        <v>30.77</v>
      </c>
      <c r="EY29" s="32">
        <v>0</v>
      </c>
      <c r="FB29" s="20">
        <v>25</v>
      </c>
      <c r="FC29" s="20" t="s">
        <v>9</v>
      </c>
      <c r="FD29" s="20" t="s">
        <v>13</v>
      </c>
      <c r="FE29" s="34">
        <v>0</v>
      </c>
      <c r="FF29" s="20">
        <v>9</v>
      </c>
      <c r="FG29" s="20">
        <v>2</v>
      </c>
      <c r="FH29" s="20" t="s">
        <v>146</v>
      </c>
      <c r="FI29" s="20" t="s">
        <v>147</v>
      </c>
      <c r="FJ29" s="20">
        <v>22</v>
      </c>
      <c r="FK29" s="20">
        <v>31</v>
      </c>
      <c r="FL29" s="20">
        <v>6</v>
      </c>
      <c r="FM29" s="20">
        <v>10</v>
      </c>
      <c r="FN29" s="20" t="s">
        <v>386</v>
      </c>
      <c r="FO29" s="33">
        <v>1</v>
      </c>
      <c r="FP29" s="20">
        <v>9</v>
      </c>
      <c r="FQ29" s="20">
        <v>4</v>
      </c>
      <c r="FR29" s="20" t="s">
        <v>197</v>
      </c>
      <c r="FS29" s="20" t="s">
        <v>126</v>
      </c>
      <c r="FT29" s="20">
        <v>19</v>
      </c>
      <c r="FU29" s="20">
        <v>18</v>
      </c>
      <c r="FV29" s="20">
        <v>11</v>
      </c>
      <c r="FW29" s="20">
        <v>12</v>
      </c>
      <c r="FX29" s="20" t="s">
        <v>387</v>
      </c>
      <c r="FZ29" s="20">
        <v>1</v>
      </c>
      <c r="GA29" s="20">
        <v>1</v>
      </c>
      <c r="GB29" s="20">
        <v>0</v>
      </c>
      <c r="GC29" s="20">
        <v>0</v>
      </c>
      <c r="GD29" s="20">
        <v>0</v>
      </c>
      <c r="GE29" s="20">
        <v>1</v>
      </c>
      <c r="GF29" s="20">
        <v>0</v>
      </c>
      <c r="GG29" s="20">
        <v>0</v>
      </c>
      <c r="GK29" s="20">
        <v>22.22</v>
      </c>
      <c r="GL29" s="20">
        <v>3</v>
      </c>
      <c r="GO29" s="20">
        <v>25</v>
      </c>
      <c r="GP29" s="20" t="s">
        <v>10</v>
      </c>
      <c r="GQ29" s="20" t="s">
        <v>19</v>
      </c>
      <c r="GR29" s="33">
        <v>3</v>
      </c>
      <c r="GS29" s="20">
        <v>14</v>
      </c>
      <c r="GT29" s="20">
        <v>9</v>
      </c>
      <c r="GU29" s="20" t="s">
        <v>342</v>
      </c>
      <c r="GV29" s="20" t="s">
        <v>171</v>
      </c>
      <c r="GW29" s="20">
        <v>19</v>
      </c>
      <c r="GX29" s="20">
        <v>19</v>
      </c>
      <c r="GY29" s="20">
        <v>8</v>
      </c>
      <c r="GZ29" s="20">
        <v>11</v>
      </c>
      <c r="HA29" s="20" t="s">
        <v>485</v>
      </c>
      <c r="HB29" s="34">
        <v>2</v>
      </c>
      <c r="HC29" s="20">
        <v>7</v>
      </c>
      <c r="HD29" s="20">
        <v>3</v>
      </c>
      <c r="HE29" s="20" t="s">
        <v>207</v>
      </c>
      <c r="HF29" s="20" t="s">
        <v>126</v>
      </c>
      <c r="HG29" s="20">
        <v>17</v>
      </c>
      <c r="HH29" s="20">
        <v>18</v>
      </c>
      <c r="HI29" s="20">
        <v>5</v>
      </c>
      <c r="HJ29" s="20">
        <v>11</v>
      </c>
      <c r="HK29" s="20" t="s">
        <v>486</v>
      </c>
      <c r="HM29" s="20">
        <v>1</v>
      </c>
      <c r="HN29" s="20">
        <v>1</v>
      </c>
      <c r="HO29" s="20">
        <v>1</v>
      </c>
      <c r="HP29" s="20">
        <v>1</v>
      </c>
      <c r="HQ29" s="20">
        <v>1</v>
      </c>
      <c r="HR29" s="20">
        <v>1</v>
      </c>
      <c r="HS29" s="20">
        <v>0</v>
      </c>
      <c r="HT29" s="20">
        <v>1</v>
      </c>
      <c r="HX29" s="20">
        <v>21.43</v>
      </c>
      <c r="HY29" s="20">
        <v>2</v>
      </c>
      <c r="IB29" s="20">
        <v>25</v>
      </c>
      <c r="IC29" s="20" t="s">
        <v>21</v>
      </c>
      <c r="ID29" s="20" t="s">
        <v>11</v>
      </c>
      <c r="IE29" s="32">
        <v>2</v>
      </c>
      <c r="IF29" s="20">
        <v>14</v>
      </c>
      <c r="IG29" s="20">
        <v>7</v>
      </c>
      <c r="IH29" s="20" t="s">
        <v>125</v>
      </c>
      <c r="II29" s="20" t="s">
        <v>215</v>
      </c>
      <c r="IJ29" s="20">
        <v>15</v>
      </c>
      <c r="IK29" s="20">
        <v>22</v>
      </c>
      <c r="IL29" s="20">
        <v>4</v>
      </c>
      <c r="IM29" s="20">
        <v>5</v>
      </c>
      <c r="IN29" s="20" t="s">
        <v>404</v>
      </c>
      <c r="IO29" s="32">
        <v>2</v>
      </c>
      <c r="IP29" s="20">
        <v>14</v>
      </c>
      <c r="IQ29" s="20">
        <v>5</v>
      </c>
      <c r="IR29" s="20" t="s">
        <v>297</v>
      </c>
      <c r="IS29" s="20" t="s">
        <v>176</v>
      </c>
      <c r="IT29" s="20">
        <v>12</v>
      </c>
      <c r="IU29" s="20">
        <v>25</v>
      </c>
      <c r="IV29" s="20">
        <v>3</v>
      </c>
      <c r="IW29" s="20">
        <v>11</v>
      </c>
      <c r="IX29" s="20" t="s">
        <v>402</v>
      </c>
      <c r="IZ29" s="32">
        <v>1</v>
      </c>
      <c r="JA29" s="32">
        <v>1</v>
      </c>
      <c r="JB29" s="32">
        <v>0</v>
      </c>
      <c r="JC29" s="32">
        <v>1</v>
      </c>
      <c r="JD29" s="32">
        <v>0</v>
      </c>
      <c r="JE29" s="32">
        <v>1</v>
      </c>
      <c r="JF29" s="32">
        <v>1</v>
      </c>
      <c r="JG29" s="32">
        <v>0</v>
      </c>
      <c r="JK29" s="32">
        <v>14.29</v>
      </c>
      <c r="JL29" s="32">
        <v>3</v>
      </c>
      <c r="JO29" s="20">
        <v>25</v>
      </c>
      <c r="JP29" s="20" t="s">
        <v>12</v>
      </c>
      <c r="JQ29" s="20" t="s">
        <v>6</v>
      </c>
      <c r="JR29" s="32">
        <v>1</v>
      </c>
      <c r="JS29" s="20">
        <v>11</v>
      </c>
      <c r="JT29" s="20">
        <v>5</v>
      </c>
      <c r="JU29" s="20" t="s">
        <v>358</v>
      </c>
      <c r="JV29" s="20" t="s">
        <v>142</v>
      </c>
      <c r="JW29" s="20">
        <v>23</v>
      </c>
      <c r="JX29" s="20">
        <v>10</v>
      </c>
      <c r="JY29" s="20">
        <v>7</v>
      </c>
      <c r="JZ29" s="20">
        <v>9</v>
      </c>
      <c r="KA29" s="20" t="s">
        <v>520</v>
      </c>
      <c r="KB29" s="32">
        <v>1</v>
      </c>
      <c r="KC29" s="20">
        <v>14</v>
      </c>
      <c r="KD29" s="20">
        <v>7</v>
      </c>
      <c r="KE29" s="20" t="s">
        <v>125</v>
      </c>
      <c r="KF29" s="20" t="s">
        <v>179</v>
      </c>
      <c r="KG29" s="20">
        <v>16</v>
      </c>
      <c r="KH29" s="20">
        <v>14</v>
      </c>
      <c r="KI29" s="20">
        <v>14</v>
      </c>
      <c r="KJ29" s="20">
        <v>9</v>
      </c>
      <c r="KK29" s="20" t="s">
        <v>521</v>
      </c>
      <c r="KM29" s="32">
        <v>1</v>
      </c>
      <c r="KN29" s="32">
        <v>1</v>
      </c>
      <c r="KO29" s="32">
        <v>1</v>
      </c>
      <c r="KP29" s="32">
        <v>0</v>
      </c>
      <c r="KQ29" s="32">
        <v>1</v>
      </c>
      <c r="KR29" s="32">
        <v>1</v>
      </c>
      <c r="KS29" s="32">
        <v>1</v>
      </c>
      <c r="KT29" s="32">
        <v>1</v>
      </c>
      <c r="KX29" s="32">
        <v>4.55</v>
      </c>
      <c r="KY29" s="32">
        <v>7</v>
      </c>
      <c r="LB29" s="20">
        <v>25</v>
      </c>
      <c r="LC29" s="20" t="s">
        <v>9</v>
      </c>
      <c r="LD29" s="20" t="s">
        <v>13</v>
      </c>
      <c r="LE29" s="33">
        <v>1</v>
      </c>
      <c r="LF29" s="20">
        <v>9</v>
      </c>
      <c r="LG29" s="20">
        <v>4</v>
      </c>
      <c r="LH29" s="20" t="s">
        <v>197</v>
      </c>
      <c r="LI29" s="20" t="s">
        <v>126</v>
      </c>
      <c r="LJ29" s="20">
        <v>19</v>
      </c>
      <c r="LK29" s="20">
        <v>18</v>
      </c>
      <c r="LL29" s="20">
        <v>11</v>
      </c>
      <c r="LM29" s="20">
        <v>12</v>
      </c>
      <c r="LN29" s="20" t="s">
        <v>387</v>
      </c>
      <c r="LO29" s="34">
        <v>0</v>
      </c>
      <c r="LP29" s="20">
        <v>9</v>
      </c>
      <c r="LQ29" s="20">
        <v>2</v>
      </c>
      <c r="LR29" s="20" t="s">
        <v>146</v>
      </c>
      <c r="LS29" s="20" t="s">
        <v>147</v>
      </c>
      <c r="LT29" s="20">
        <v>22</v>
      </c>
      <c r="LU29" s="20">
        <v>31</v>
      </c>
      <c r="LV29" s="20">
        <v>6</v>
      </c>
      <c r="LW29" s="20">
        <v>10</v>
      </c>
      <c r="LX29" s="20" t="s">
        <v>386</v>
      </c>
      <c r="LZ29" s="20">
        <v>1</v>
      </c>
      <c r="MA29" s="20">
        <v>1</v>
      </c>
      <c r="MB29" s="20">
        <v>0</v>
      </c>
      <c r="MC29" s="20">
        <v>0</v>
      </c>
      <c r="MD29" s="20">
        <v>0</v>
      </c>
      <c r="ME29" s="20">
        <v>1</v>
      </c>
      <c r="MF29" s="20">
        <v>0</v>
      </c>
      <c r="MG29" s="20">
        <v>0</v>
      </c>
      <c r="MK29" s="20">
        <v>22.22</v>
      </c>
      <c r="ML29" s="20">
        <v>3</v>
      </c>
      <c r="MO29" s="20">
        <v>25</v>
      </c>
      <c r="MP29" s="20" t="s">
        <v>14</v>
      </c>
      <c r="MQ29" s="20" t="s">
        <v>34</v>
      </c>
      <c r="MR29" s="32">
        <v>1</v>
      </c>
      <c r="MS29" s="20">
        <v>18</v>
      </c>
      <c r="MT29" s="20">
        <v>6</v>
      </c>
      <c r="MU29" s="20" t="s">
        <v>209</v>
      </c>
      <c r="MV29" s="20" t="s">
        <v>161</v>
      </c>
      <c r="MW29" s="20">
        <v>28</v>
      </c>
      <c r="MX29" s="20">
        <v>17</v>
      </c>
      <c r="MY29" s="20">
        <v>15</v>
      </c>
      <c r="MZ29" s="20">
        <v>12</v>
      </c>
      <c r="NA29" s="20" t="s">
        <v>216</v>
      </c>
      <c r="NB29" s="32">
        <v>1</v>
      </c>
      <c r="NC29" s="20">
        <v>4</v>
      </c>
      <c r="ND29" s="20">
        <v>3</v>
      </c>
      <c r="NE29" s="20" t="s">
        <v>522</v>
      </c>
      <c r="NF29" s="20" t="s">
        <v>219</v>
      </c>
      <c r="NG29" s="20">
        <v>21</v>
      </c>
      <c r="NH29" s="20">
        <v>13</v>
      </c>
      <c r="NI29" s="20">
        <v>7</v>
      </c>
      <c r="NJ29" s="20">
        <v>17</v>
      </c>
      <c r="NK29" s="20" t="s">
        <v>217</v>
      </c>
      <c r="NM29" s="32">
        <v>1</v>
      </c>
      <c r="NN29" s="32">
        <v>0</v>
      </c>
      <c r="NO29" s="32">
        <v>1</v>
      </c>
      <c r="NP29" s="32">
        <v>1</v>
      </c>
      <c r="NQ29" s="32">
        <v>1</v>
      </c>
      <c r="NR29" s="32">
        <v>1</v>
      </c>
      <c r="NS29" s="32">
        <v>1</v>
      </c>
      <c r="NT29" s="32">
        <v>1</v>
      </c>
      <c r="NX29" s="32">
        <v>41.67</v>
      </c>
      <c r="NY29" s="32">
        <v>7</v>
      </c>
      <c r="OB29" s="20">
        <v>25</v>
      </c>
      <c r="OC29" s="20" t="s">
        <v>15</v>
      </c>
      <c r="OD29" s="20" t="s">
        <v>5</v>
      </c>
      <c r="OE29" s="34">
        <v>1</v>
      </c>
      <c r="OF29" s="20">
        <v>16</v>
      </c>
      <c r="OG29" s="20">
        <v>3</v>
      </c>
      <c r="OH29" s="20" t="s">
        <v>339</v>
      </c>
      <c r="OI29" s="20" t="s">
        <v>179</v>
      </c>
      <c r="OJ29" s="20">
        <v>19</v>
      </c>
      <c r="OK29" s="20">
        <v>6</v>
      </c>
      <c r="OL29" s="20">
        <v>4</v>
      </c>
      <c r="OM29" s="20">
        <v>14</v>
      </c>
      <c r="ON29" s="20" t="s">
        <v>225</v>
      </c>
      <c r="OO29" s="33">
        <v>2</v>
      </c>
      <c r="OP29" s="20">
        <v>12</v>
      </c>
      <c r="OQ29" s="20">
        <v>7</v>
      </c>
      <c r="OR29" s="20" t="s">
        <v>405</v>
      </c>
      <c r="OS29" s="20" t="s">
        <v>136</v>
      </c>
      <c r="OT29" s="20">
        <v>21</v>
      </c>
      <c r="OU29" s="20">
        <v>7</v>
      </c>
      <c r="OV29" s="20">
        <v>7</v>
      </c>
      <c r="OW29" s="20">
        <v>12</v>
      </c>
      <c r="OX29" s="20" t="s">
        <v>200</v>
      </c>
      <c r="OZ29" s="20">
        <v>1</v>
      </c>
      <c r="PA29" s="20">
        <v>1</v>
      </c>
      <c r="PB29" s="20">
        <v>1</v>
      </c>
      <c r="PC29" s="20">
        <v>1</v>
      </c>
      <c r="PD29" s="20">
        <v>1</v>
      </c>
      <c r="PE29" s="20">
        <v>1</v>
      </c>
      <c r="PF29" s="20">
        <v>1</v>
      </c>
      <c r="PG29" s="20">
        <v>1</v>
      </c>
      <c r="PK29" s="20">
        <v>39.58</v>
      </c>
      <c r="PL29" s="20">
        <v>2</v>
      </c>
      <c r="PO29" s="20">
        <v>25</v>
      </c>
      <c r="PP29" s="20" t="s">
        <v>20</v>
      </c>
      <c r="PQ29" s="20" t="s">
        <v>17</v>
      </c>
      <c r="PR29" s="33">
        <v>2</v>
      </c>
      <c r="PS29" s="20">
        <v>10</v>
      </c>
      <c r="PT29" s="20">
        <v>6</v>
      </c>
      <c r="PU29" s="20" t="s">
        <v>173</v>
      </c>
      <c r="PV29" s="20" t="s">
        <v>129</v>
      </c>
      <c r="PW29" s="20">
        <v>27</v>
      </c>
      <c r="PX29" s="20">
        <v>17</v>
      </c>
      <c r="PY29" s="20">
        <v>6</v>
      </c>
      <c r="PZ29" s="20">
        <v>11</v>
      </c>
      <c r="QA29" s="20" t="s">
        <v>217</v>
      </c>
      <c r="QB29" s="34">
        <v>1</v>
      </c>
      <c r="QC29" s="20">
        <v>15</v>
      </c>
      <c r="QD29" s="20">
        <v>4</v>
      </c>
      <c r="QE29" s="20" t="s">
        <v>256</v>
      </c>
      <c r="QF29" s="20" t="s">
        <v>134</v>
      </c>
      <c r="QG29" s="20">
        <v>18</v>
      </c>
      <c r="QH29" s="20">
        <v>14</v>
      </c>
      <c r="QI29" s="20">
        <v>6</v>
      </c>
      <c r="QJ29" s="20">
        <v>10</v>
      </c>
      <c r="QK29" s="20" t="s">
        <v>216</v>
      </c>
      <c r="QM29" s="20">
        <v>1</v>
      </c>
      <c r="QN29" s="20">
        <v>1</v>
      </c>
      <c r="QO29" s="20">
        <v>0</v>
      </c>
      <c r="QP29" s="20">
        <v>1</v>
      </c>
      <c r="QQ29" s="20">
        <v>1</v>
      </c>
      <c r="QR29" s="20">
        <v>1</v>
      </c>
      <c r="QS29" s="20">
        <v>0</v>
      </c>
      <c r="QT29" s="20">
        <v>0</v>
      </c>
      <c r="QX29" s="20">
        <v>33.33</v>
      </c>
      <c r="QY29" s="20">
        <v>9</v>
      </c>
      <c r="RB29" s="20">
        <v>25</v>
      </c>
      <c r="RC29" s="20" t="s">
        <v>18</v>
      </c>
      <c r="RD29" s="20" t="s">
        <v>16</v>
      </c>
      <c r="RE29" s="33">
        <v>1</v>
      </c>
      <c r="RF29" s="20">
        <v>16</v>
      </c>
      <c r="RG29" s="20">
        <v>9</v>
      </c>
      <c r="RH29" s="20" t="s">
        <v>298</v>
      </c>
      <c r="RI29" s="20" t="s">
        <v>219</v>
      </c>
      <c r="RJ29" s="20">
        <v>22</v>
      </c>
      <c r="RK29" s="20">
        <v>23</v>
      </c>
      <c r="RL29" s="20">
        <v>12</v>
      </c>
      <c r="RM29" s="20">
        <v>11</v>
      </c>
      <c r="RN29" s="20" t="s">
        <v>124</v>
      </c>
      <c r="RO29" s="34">
        <v>0</v>
      </c>
      <c r="RP29" s="20">
        <v>17</v>
      </c>
      <c r="RQ29" s="20">
        <v>3</v>
      </c>
      <c r="RR29" s="20" t="s">
        <v>221</v>
      </c>
      <c r="RS29" s="20" t="s">
        <v>144</v>
      </c>
      <c r="RT29" s="20">
        <v>22</v>
      </c>
      <c r="RU29" s="20">
        <v>25</v>
      </c>
      <c r="RV29" s="20">
        <v>9</v>
      </c>
      <c r="RW29" s="20">
        <v>16</v>
      </c>
      <c r="RX29" s="20" t="s">
        <v>121</v>
      </c>
      <c r="RZ29" s="20">
        <v>1</v>
      </c>
      <c r="SA29" s="20">
        <v>1</v>
      </c>
      <c r="SB29" s="20">
        <v>0</v>
      </c>
      <c r="SC29" s="20">
        <v>0</v>
      </c>
      <c r="SD29" s="20">
        <v>0</v>
      </c>
      <c r="SE29" s="20">
        <v>1</v>
      </c>
      <c r="SF29" s="20">
        <v>1</v>
      </c>
      <c r="SG29" s="20">
        <v>0</v>
      </c>
      <c r="SK29" s="20">
        <v>38.6</v>
      </c>
      <c r="SL29" s="20">
        <v>0</v>
      </c>
      <c r="SO29" s="20">
        <v>25</v>
      </c>
      <c r="SP29" s="20" t="s">
        <v>10</v>
      </c>
      <c r="SQ29" s="20" t="s">
        <v>19</v>
      </c>
      <c r="SR29" s="34">
        <v>2</v>
      </c>
      <c r="SS29" s="20">
        <v>7</v>
      </c>
      <c r="ST29" s="20">
        <v>3</v>
      </c>
      <c r="SU29" s="20" t="s">
        <v>207</v>
      </c>
      <c r="SV29" s="20" t="s">
        <v>126</v>
      </c>
      <c r="SW29" s="20">
        <v>17</v>
      </c>
      <c r="SX29" s="20">
        <v>18</v>
      </c>
      <c r="SY29" s="20">
        <v>5</v>
      </c>
      <c r="SZ29" s="20">
        <v>11</v>
      </c>
      <c r="TA29" s="20" t="s">
        <v>486</v>
      </c>
      <c r="TB29" s="33">
        <v>3</v>
      </c>
      <c r="TC29" s="20">
        <v>14</v>
      </c>
      <c r="TD29" s="20">
        <v>9</v>
      </c>
      <c r="TE29" s="20" t="s">
        <v>342</v>
      </c>
      <c r="TF29" s="20" t="s">
        <v>171</v>
      </c>
      <c r="TG29" s="20">
        <v>19</v>
      </c>
      <c r="TH29" s="20">
        <v>19</v>
      </c>
      <c r="TI29" s="20">
        <v>8</v>
      </c>
      <c r="TJ29" s="20">
        <v>11</v>
      </c>
      <c r="TK29" s="20" t="s">
        <v>485</v>
      </c>
      <c r="TM29" s="20">
        <v>1</v>
      </c>
      <c r="TN29" s="20">
        <v>1</v>
      </c>
      <c r="TO29" s="20">
        <v>1</v>
      </c>
      <c r="TP29" s="20">
        <v>1</v>
      </c>
      <c r="TQ29" s="20">
        <v>1</v>
      </c>
      <c r="TR29" s="20">
        <v>1</v>
      </c>
      <c r="TS29" s="20">
        <v>0</v>
      </c>
      <c r="TT29" s="20">
        <v>1</v>
      </c>
      <c r="TX29" s="20">
        <v>21.43</v>
      </c>
      <c r="TY29" s="20">
        <v>2</v>
      </c>
      <c r="UB29" s="20">
        <v>25</v>
      </c>
      <c r="UC29" s="20" t="s">
        <v>18</v>
      </c>
      <c r="UD29" s="20" t="s">
        <v>16</v>
      </c>
      <c r="UE29" s="34">
        <v>0</v>
      </c>
      <c r="UF29" s="20">
        <v>17</v>
      </c>
      <c r="UG29" s="20">
        <v>3</v>
      </c>
      <c r="UH29" s="20" t="s">
        <v>221</v>
      </c>
      <c r="UI29" s="20" t="s">
        <v>144</v>
      </c>
      <c r="UJ29" s="20">
        <v>22</v>
      </c>
      <c r="UK29" s="20">
        <v>25</v>
      </c>
      <c r="UL29" s="20">
        <v>9</v>
      </c>
      <c r="UM29" s="20">
        <v>16</v>
      </c>
      <c r="UN29" s="20" t="s">
        <v>121</v>
      </c>
      <c r="UO29" s="33">
        <v>1</v>
      </c>
      <c r="UP29" s="20">
        <v>16</v>
      </c>
      <c r="UQ29" s="20">
        <v>9</v>
      </c>
      <c r="UR29" s="20" t="s">
        <v>298</v>
      </c>
      <c r="US29" s="20" t="s">
        <v>219</v>
      </c>
      <c r="UT29" s="20">
        <v>22</v>
      </c>
      <c r="UU29" s="20">
        <v>23</v>
      </c>
      <c r="UV29" s="20">
        <v>12</v>
      </c>
      <c r="UW29" s="20">
        <v>11</v>
      </c>
      <c r="UX29" s="20" t="s">
        <v>124</v>
      </c>
      <c r="UZ29" s="20">
        <v>1</v>
      </c>
      <c r="VA29" s="20">
        <v>1</v>
      </c>
      <c r="VB29" s="20">
        <v>0</v>
      </c>
      <c r="VC29" s="20">
        <v>0</v>
      </c>
      <c r="VD29" s="20">
        <v>0</v>
      </c>
      <c r="VE29" s="20">
        <v>1</v>
      </c>
      <c r="VF29" s="20">
        <v>1</v>
      </c>
      <c r="VG29" s="20">
        <v>0</v>
      </c>
      <c r="VK29" s="20">
        <v>38.6</v>
      </c>
      <c r="VL29" s="20">
        <v>0</v>
      </c>
      <c r="VO29" s="20">
        <v>25</v>
      </c>
      <c r="VP29" s="20" t="s">
        <v>20</v>
      </c>
      <c r="VQ29" s="20" t="s">
        <v>17</v>
      </c>
      <c r="VR29" s="34">
        <v>1</v>
      </c>
      <c r="VS29" s="20">
        <v>15</v>
      </c>
      <c r="VT29" s="20">
        <v>4</v>
      </c>
      <c r="VU29" s="20" t="s">
        <v>256</v>
      </c>
      <c r="VV29" s="20" t="s">
        <v>134</v>
      </c>
      <c r="VW29" s="20">
        <v>18</v>
      </c>
      <c r="VX29" s="20">
        <v>14</v>
      </c>
      <c r="VY29" s="20">
        <v>6</v>
      </c>
      <c r="VZ29" s="20">
        <v>10</v>
      </c>
      <c r="WA29" s="20" t="s">
        <v>216</v>
      </c>
      <c r="WB29" s="33">
        <v>2</v>
      </c>
      <c r="WC29" s="20">
        <v>10</v>
      </c>
      <c r="WD29" s="20">
        <v>6</v>
      </c>
      <c r="WE29" s="20" t="s">
        <v>173</v>
      </c>
      <c r="WF29" s="20" t="s">
        <v>129</v>
      </c>
      <c r="WG29" s="20">
        <v>27</v>
      </c>
      <c r="WH29" s="20">
        <v>17</v>
      </c>
      <c r="WI29" s="20">
        <v>6</v>
      </c>
      <c r="WJ29" s="20">
        <v>11</v>
      </c>
      <c r="WK29" s="20" t="s">
        <v>217</v>
      </c>
      <c r="WM29" s="20">
        <v>1</v>
      </c>
      <c r="WN29" s="20">
        <v>1</v>
      </c>
      <c r="WO29" s="20">
        <v>0</v>
      </c>
      <c r="WP29" s="20">
        <v>1</v>
      </c>
      <c r="WQ29" s="20">
        <v>1</v>
      </c>
      <c r="WR29" s="20">
        <v>1</v>
      </c>
      <c r="WS29" s="20">
        <v>0</v>
      </c>
      <c r="WT29" s="20">
        <v>0</v>
      </c>
      <c r="WX29" s="20">
        <v>33.33</v>
      </c>
      <c r="WY29" s="20">
        <v>9</v>
      </c>
      <c r="XB29" s="20">
        <v>25</v>
      </c>
      <c r="XC29" s="20" t="s">
        <v>14</v>
      </c>
      <c r="XD29" s="20" t="s">
        <v>34</v>
      </c>
      <c r="XE29" s="32">
        <v>1</v>
      </c>
      <c r="XF29" s="20">
        <v>4</v>
      </c>
      <c r="XG29" s="20">
        <v>3</v>
      </c>
      <c r="XH29" s="20" t="s">
        <v>522</v>
      </c>
      <c r="XI29" s="20" t="s">
        <v>219</v>
      </c>
      <c r="XJ29" s="20">
        <v>21</v>
      </c>
      <c r="XK29" s="20">
        <v>13</v>
      </c>
      <c r="XL29" s="20">
        <v>7</v>
      </c>
      <c r="XM29" s="20">
        <v>17</v>
      </c>
      <c r="XN29" s="20" t="s">
        <v>217</v>
      </c>
      <c r="XO29" s="32">
        <v>1</v>
      </c>
      <c r="XP29" s="20">
        <v>18</v>
      </c>
      <c r="XQ29" s="20">
        <v>6</v>
      </c>
      <c r="XR29" s="20" t="s">
        <v>209</v>
      </c>
      <c r="XS29" s="20" t="s">
        <v>161</v>
      </c>
      <c r="XT29" s="20">
        <v>28</v>
      </c>
      <c r="XU29" s="20">
        <v>17</v>
      </c>
      <c r="XV29" s="20">
        <v>15</v>
      </c>
      <c r="XW29" s="20">
        <v>12</v>
      </c>
      <c r="XX29" s="20" t="s">
        <v>216</v>
      </c>
      <c r="XZ29" s="32">
        <v>1</v>
      </c>
      <c r="YA29" s="32">
        <v>0</v>
      </c>
      <c r="YB29" s="32">
        <v>1</v>
      </c>
      <c r="YC29" s="32">
        <v>1</v>
      </c>
      <c r="YD29" s="32">
        <v>1</v>
      </c>
      <c r="YE29" s="32">
        <v>1</v>
      </c>
      <c r="YF29" s="32">
        <v>1</v>
      </c>
      <c r="YG29" s="32">
        <v>1</v>
      </c>
      <c r="YK29" s="32">
        <v>41.67</v>
      </c>
      <c r="YL29" s="32">
        <v>7</v>
      </c>
      <c r="YO29" s="20">
        <v>25</v>
      </c>
      <c r="YP29" s="20" t="s">
        <v>21</v>
      </c>
      <c r="YQ29" s="20" t="s">
        <v>11</v>
      </c>
      <c r="YR29" s="32">
        <v>2</v>
      </c>
      <c r="YS29" s="20">
        <v>14</v>
      </c>
      <c r="YT29" s="20">
        <v>5</v>
      </c>
      <c r="YU29" s="20" t="s">
        <v>297</v>
      </c>
      <c r="YV29" s="20" t="s">
        <v>176</v>
      </c>
      <c r="YW29" s="20">
        <v>12</v>
      </c>
      <c r="YX29" s="20">
        <v>25</v>
      </c>
      <c r="YY29" s="20">
        <v>3</v>
      </c>
      <c r="YZ29" s="20">
        <v>11</v>
      </c>
      <c r="ZA29" s="20" t="s">
        <v>402</v>
      </c>
      <c r="ZB29" s="32">
        <v>2</v>
      </c>
      <c r="ZC29" s="20">
        <v>14</v>
      </c>
      <c r="ZD29" s="20">
        <v>7</v>
      </c>
      <c r="ZE29" s="20" t="s">
        <v>125</v>
      </c>
      <c r="ZF29" s="20" t="s">
        <v>215</v>
      </c>
      <c r="ZG29" s="20">
        <v>15</v>
      </c>
      <c r="ZH29" s="20">
        <v>22</v>
      </c>
      <c r="ZI29" s="20">
        <v>4</v>
      </c>
      <c r="ZJ29" s="20">
        <v>5</v>
      </c>
      <c r="ZK29" s="20" t="s">
        <v>404</v>
      </c>
      <c r="ZM29" s="32">
        <v>1</v>
      </c>
      <c r="ZN29" s="32">
        <v>1</v>
      </c>
      <c r="ZO29" s="32">
        <v>0</v>
      </c>
      <c r="ZP29" s="32">
        <v>1</v>
      </c>
      <c r="ZQ29" s="32">
        <v>0</v>
      </c>
      <c r="ZR29" s="32">
        <v>1</v>
      </c>
      <c r="ZS29" s="32">
        <v>1</v>
      </c>
      <c r="ZT29" s="32">
        <v>0</v>
      </c>
      <c r="ZX29" s="32">
        <v>14.29</v>
      </c>
      <c r="ZY29" s="32">
        <v>3</v>
      </c>
      <c r="AAB29" s="20">
        <v>25</v>
      </c>
      <c r="AAC29" s="20" t="s">
        <v>23</v>
      </c>
      <c r="AAD29" s="20" t="s">
        <v>22</v>
      </c>
      <c r="AAE29" s="34">
        <v>0</v>
      </c>
      <c r="AAF29" s="20">
        <v>14</v>
      </c>
      <c r="AAG29" s="20">
        <v>6</v>
      </c>
      <c r="AAH29" s="20" t="s">
        <v>207</v>
      </c>
      <c r="AAI29" s="20" t="s">
        <v>176</v>
      </c>
      <c r="AAJ29" s="20">
        <v>21</v>
      </c>
      <c r="AAK29" s="20">
        <v>13</v>
      </c>
      <c r="AAL29" s="20">
        <v>12</v>
      </c>
      <c r="AAM29" s="20">
        <v>9</v>
      </c>
      <c r="AAN29" s="20" t="s">
        <v>523</v>
      </c>
      <c r="AAO29" s="33">
        <v>3</v>
      </c>
      <c r="AAP29" s="20">
        <v>12</v>
      </c>
      <c r="AAQ29" s="20">
        <v>6</v>
      </c>
      <c r="AAR29" s="20" t="s">
        <v>125</v>
      </c>
      <c r="AAS29" s="20" t="s">
        <v>156</v>
      </c>
      <c r="AAT29" s="20">
        <v>14</v>
      </c>
      <c r="AAU29" s="20">
        <v>25</v>
      </c>
      <c r="AAV29" s="20">
        <v>7</v>
      </c>
      <c r="AAW29" s="20">
        <v>7</v>
      </c>
      <c r="AAX29" s="20" t="s">
        <v>524</v>
      </c>
      <c r="AAZ29" s="20">
        <v>0</v>
      </c>
      <c r="ABA29" s="20">
        <v>1</v>
      </c>
      <c r="ABB29" s="20">
        <v>0</v>
      </c>
      <c r="ABC29" s="20">
        <v>0</v>
      </c>
      <c r="ABD29" s="20">
        <v>1</v>
      </c>
      <c r="ABE29" s="20">
        <v>0</v>
      </c>
      <c r="ABF29" s="20">
        <v>1</v>
      </c>
      <c r="ABG29" s="20">
        <v>0</v>
      </c>
      <c r="ABK29" s="20">
        <v>7.14</v>
      </c>
      <c r="ABL29" s="20">
        <v>7</v>
      </c>
      <c r="ABO29" s="20">
        <v>25</v>
      </c>
      <c r="ABP29" s="20" t="s">
        <v>23</v>
      </c>
      <c r="ABQ29" s="20" t="s">
        <v>22</v>
      </c>
      <c r="ABR29" s="33">
        <v>3</v>
      </c>
      <c r="ABS29" s="20">
        <v>12</v>
      </c>
      <c r="ABT29" s="20">
        <v>6</v>
      </c>
      <c r="ABU29" s="20" t="s">
        <v>125</v>
      </c>
      <c r="ABV29" s="20" t="s">
        <v>156</v>
      </c>
      <c r="ABW29" s="20">
        <v>14</v>
      </c>
      <c r="ABX29" s="20">
        <v>25</v>
      </c>
      <c r="ABY29" s="20">
        <v>7</v>
      </c>
      <c r="ABZ29" s="20">
        <v>7</v>
      </c>
      <c r="ACA29" s="20" t="s">
        <v>524</v>
      </c>
      <c r="ACB29" s="34">
        <v>0</v>
      </c>
      <c r="ACC29" s="20">
        <v>14</v>
      </c>
      <c r="ACD29" s="20">
        <v>6</v>
      </c>
      <c r="ACE29" s="20" t="s">
        <v>207</v>
      </c>
      <c r="ACF29" s="20" t="s">
        <v>176</v>
      </c>
      <c r="ACG29" s="20">
        <v>21</v>
      </c>
      <c r="ACH29" s="20">
        <v>13</v>
      </c>
      <c r="ACI29" s="20">
        <v>12</v>
      </c>
      <c r="ACJ29" s="20">
        <v>9</v>
      </c>
      <c r="ACK29" s="20" t="s">
        <v>523</v>
      </c>
      <c r="ACM29" s="20">
        <v>0</v>
      </c>
      <c r="ACN29" s="20">
        <v>1</v>
      </c>
      <c r="ACO29" s="20">
        <v>0</v>
      </c>
      <c r="ACP29" s="20">
        <v>0</v>
      </c>
      <c r="ACQ29" s="20">
        <v>1</v>
      </c>
      <c r="ACR29" s="20">
        <v>0</v>
      </c>
      <c r="ACS29" s="20">
        <v>1</v>
      </c>
      <c r="ACT29" s="20">
        <v>0</v>
      </c>
      <c r="ACX29" s="20">
        <v>7.14</v>
      </c>
      <c r="ACY29" s="20">
        <v>7</v>
      </c>
    </row>
    <row r="30" spans="1:779" x14ac:dyDescent="0.3">
      <c r="A30" s="27"/>
      <c r="B30" s="20">
        <v>26</v>
      </c>
      <c r="C30" s="20" t="s">
        <v>5</v>
      </c>
      <c r="D30" s="20" t="s">
        <v>11</v>
      </c>
      <c r="E30" s="29">
        <v>2</v>
      </c>
      <c r="F30" s="20">
        <v>17</v>
      </c>
      <c r="G30" s="30">
        <v>8</v>
      </c>
      <c r="H30" s="27">
        <v>0.47060000000000002</v>
      </c>
      <c r="I30" s="28">
        <v>0.86</v>
      </c>
      <c r="J30" s="20">
        <v>18</v>
      </c>
      <c r="K30" s="20">
        <v>8</v>
      </c>
      <c r="L30" s="20">
        <v>12</v>
      </c>
      <c r="M30" s="30">
        <v>13</v>
      </c>
      <c r="N30" s="27">
        <v>0.68400000000000005</v>
      </c>
      <c r="O30" s="31">
        <v>1</v>
      </c>
      <c r="P30" s="20">
        <v>11</v>
      </c>
      <c r="Q30" s="30">
        <v>3</v>
      </c>
      <c r="R30" s="27">
        <v>0.2727</v>
      </c>
      <c r="S30" s="28">
        <v>0.69</v>
      </c>
      <c r="T30" s="20">
        <v>24</v>
      </c>
      <c r="U30" s="20">
        <v>8</v>
      </c>
      <c r="V30" s="20">
        <v>8</v>
      </c>
      <c r="W30" s="30">
        <v>10</v>
      </c>
      <c r="X30" s="27">
        <v>0.316</v>
      </c>
      <c r="Z30" s="20">
        <v>1</v>
      </c>
      <c r="AA30" s="20">
        <v>1</v>
      </c>
      <c r="AB30" s="20">
        <v>1</v>
      </c>
      <c r="AC30" s="20">
        <v>0</v>
      </c>
      <c r="AD30" s="20">
        <v>0</v>
      </c>
      <c r="AE30" s="20">
        <v>1</v>
      </c>
      <c r="AF30" s="20">
        <v>0</v>
      </c>
      <c r="AG30" s="20">
        <v>1</v>
      </c>
      <c r="AK30" s="20">
        <v>19.79</v>
      </c>
      <c r="AL30" s="20">
        <v>6</v>
      </c>
      <c r="AM30" s="20"/>
      <c r="AN30" s="20"/>
      <c r="AO30" s="20">
        <v>26</v>
      </c>
      <c r="AP30" s="20" t="s">
        <v>6</v>
      </c>
      <c r="AQ30" s="20" t="s">
        <v>7</v>
      </c>
      <c r="AR30" s="34">
        <v>0</v>
      </c>
      <c r="AS30" s="30">
        <v>15</v>
      </c>
      <c r="AT30" s="30">
        <v>3</v>
      </c>
      <c r="AU30" s="27">
        <v>0.2</v>
      </c>
      <c r="AV30" s="28">
        <v>0.86</v>
      </c>
      <c r="AW30" s="20">
        <v>32</v>
      </c>
      <c r="AX30" s="20">
        <v>20</v>
      </c>
      <c r="AY30" s="30">
        <v>18</v>
      </c>
      <c r="AZ30" s="20">
        <v>18</v>
      </c>
      <c r="BA30" s="27">
        <v>0.68700000000000006</v>
      </c>
      <c r="BB30" s="33">
        <v>1</v>
      </c>
      <c r="BC30" s="20">
        <v>9</v>
      </c>
      <c r="BD30" s="20">
        <v>5</v>
      </c>
      <c r="BE30" s="20" t="s">
        <v>370</v>
      </c>
      <c r="BF30" s="20" t="s">
        <v>151</v>
      </c>
      <c r="BG30" s="20">
        <v>30</v>
      </c>
      <c r="BH30" s="20">
        <v>16</v>
      </c>
      <c r="BI30" s="20">
        <v>12</v>
      </c>
      <c r="BJ30" s="20">
        <v>16</v>
      </c>
      <c r="BK30" s="20" t="s">
        <v>525</v>
      </c>
      <c r="BM30" s="20">
        <v>1</v>
      </c>
      <c r="BN30" s="20">
        <v>1</v>
      </c>
      <c r="BO30" s="20">
        <v>0</v>
      </c>
      <c r="BP30" s="20">
        <v>0</v>
      </c>
      <c r="BQ30" s="20">
        <v>0</v>
      </c>
      <c r="BR30" s="20">
        <v>0</v>
      </c>
      <c r="BS30" s="20">
        <v>1</v>
      </c>
      <c r="BT30" s="20">
        <v>0</v>
      </c>
      <c r="BX30" s="20">
        <v>35.56</v>
      </c>
      <c r="BY30" s="20">
        <v>2</v>
      </c>
      <c r="BZ30" s="20"/>
      <c r="CA30" s="20"/>
      <c r="CB30" s="20">
        <v>26</v>
      </c>
      <c r="CC30" s="20" t="s">
        <v>6</v>
      </c>
      <c r="CD30" s="20" t="s">
        <v>7</v>
      </c>
      <c r="CE30" s="33">
        <v>1</v>
      </c>
      <c r="CF30" s="20">
        <v>9</v>
      </c>
      <c r="CG30" s="20">
        <v>5</v>
      </c>
      <c r="CH30" s="20" t="s">
        <v>370</v>
      </c>
      <c r="CI30" s="20" t="s">
        <v>151</v>
      </c>
      <c r="CJ30" s="20">
        <v>30</v>
      </c>
      <c r="CK30" s="20">
        <v>16</v>
      </c>
      <c r="CL30" s="20">
        <v>12</v>
      </c>
      <c r="CM30" s="20">
        <v>16</v>
      </c>
      <c r="CN30" s="20" t="s">
        <v>525</v>
      </c>
      <c r="CO30" s="34">
        <v>0</v>
      </c>
      <c r="CP30" s="20">
        <v>15</v>
      </c>
      <c r="CQ30" s="20">
        <v>3</v>
      </c>
      <c r="CR30" s="20" t="s">
        <v>141</v>
      </c>
      <c r="CS30" s="20" t="s">
        <v>179</v>
      </c>
      <c r="CT30" s="20">
        <v>32</v>
      </c>
      <c r="CU30" s="20">
        <v>20</v>
      </c>
      <c r="CV30" s="20">
        <v>18</v>
      </c>
      <c r="CW30" s="20">
        <v>18</v>
      </c>
      <c r="CX30" s="20" t="s">
        <v>526</v>
      </c>
      <c r="CZ30" s="20">
        <v>1</v>
      </c>
      <c r="DA30" s="20">
        <v>1</v>
      </c>
      <c r="DB30" s="20">
        <v>0</v>
      </c>
      <c r="DC30" s="20">
        <v>0</v>
      </c>
      <c r="DD30" s="20">
        <v>0</v>
      </c>
      <c r="DE30" s="20">
        <v>0</v>
      </c>
      <c r="DF30" s="20">
        <v>1</v>
      </c>
      <c r="DG30" s="20">
        <v>0</v>
      </c>
      <c r="DK30" s="20">
        <v>35.56</v>
      </c>
      <c r="DL30" s="20">
        <v>2</v>
      </c>
      <c r="DO30" s="20">
        <v>26</v>
      </c>
      <c r="DP30" s="20" t="s">
        <v>8</v>
      </c>
      <c r="DQ30" s="20" t="s">
        <v>23</v>
      </c>
      <c r="DR30" s="33">
        <v>3</v>
      </c>
      <c r="DS30" s="20">
        <v>9</v>
      </c>
      <c r="DT30" s="20">
        <v>3</v>
      </c>
      <c r="DU30" s="20" t="s">
        <v>209</v>
      </c>
      <c r="DV30" s="20" t="s">
        <v>258</v>
      </c>
      <c r="DW30" s="20">
        <v>16</v>
      </c>
      <c r="DX30" s="20">
        <v>9</v>
      </c>
      <c r="DY30" s="20">
        <v>9</v>
      </c>
      <c r="DZ30" s="20">
        <v>12</v>
      </c>
      <c r="EA30" s="20" t="s">
        <v>512</v>
      </c>
      <c r="EB30" s="34">
        <v>0</v>
      </c>
      <c r="EC30" s="20">
        <v>7</v>
      </c>
      <c r="ED30" s="20">
        <v>1</v>
      </c>
      <c r="EE30" s="20" t="s">
        <v>164</v>
      </c>
      <c r="EF30" s="20" t="s">
        <v>230</v>
      </c>
      <c r="EG30" s="20">
        <v>25</v>
      </c>
      <c r="EH30" s="20">
        <v>13</v>
      </c>
      <c r="EI30" s="20">
        <v>8</v>
      </c>
      <c r="EJ30" s="20">
        <v>9</v>
      </c>
      <c r="EK30" s="20" t="s">
        <v>513</v>
      </c>
      <c r="EM30" s="20">
        <v>1</v>
      </c>
      <c r="EN30" s="20">
        <v>1</v>
      </c>
      <c r="EO30" s="20">
        <v>1</v>
      </c>
      <c r="EP30" s="20">
        <v>0</v>
      </c>
      <c r="EQ30" s="20">
        <v>0</v>
      </c>
      <c r="ER30" s="20">
        <v>1</v>
      </c>
      <c r="ES30" s="20">
        <v>0</v>
      </c>
      <c r="ET30" s="20">
        <v>1</v>
      </c>
      <c r="EX30" s="20">
        <v>19.05</v>
      </c>
      <c r="EY30" s="20">
        <v>9</v>
      </c>
      <c r="FB30" s="20">
        <v>26</v>
      </c>
      <c r="FC30" s="20" t="s">
        <v>17</v>
      </c>
      <c r="FD30" s="20" t="s">
        <v>9</v>
      </c>
      <c r="FE30" s="33">
        <v>3</v>
      </c>
      <c r="FF30" s="20">
        <v>13</v>
      </c>
      <c r="FG30" s="20">
        <v>4</v>
      </c>
      <c r="FH30" s="20" t="s">
        <v>337</v>
      </c>
      <c r="FI30" s="20" t="s">
        <v>144</v>
      </c>
      <c r="FJ30" s="20">
        <v>31</v>
      </c>
      <c r="FK30" s="20">
        <v>16</v>
      </c>
      <c r="FL30" s="20">
        <v>9</v>
      </c>
      <c r="FM30" s="20">
        <v>10</v>
      </c>
      <c r="FN30" s="20" t="s">
        <v>263</v>
      </c>
      <c r="FO30" s="34">
        <v>0</v>
      </c>
      <c r="FP30" s="20">
        <v>9</v>
      </c>
      <c r="FQ30" s="20">
        <v>3</v>
      </c>
      <c r="FR30" s="20" t="s">
        <v>209</v>
      </c>
      <c r="FS30" s="20" t="s">
        <v>168</v>
      </c>
      <c r="FT30" s="20">
        <v>16</v>
      </c>
      <c r="FU30" s="20">
        <v>20</v>
      </c>
      <c r="FV30" s="20">
        <v>8</v>
      </c>
      <c r="FW30" s="20">
        <v>6</v>
      </c>
      <c r="FX30" s="20" t="s">
        <v>265</v>
      </c>
      <c r="FZ30" s="20">
        <v>1</v>
      </c>
      <c r="GA30" s="20">
        <v>0</v>
      </c>
      <c r="GB30" s="20">
        <v>0</v>
      </c>
      <c r="GC30" s="20">
        <v>1</v>
      </c>
      <c r="GD30" s="20">
        <v>0</v>
      </c>
      <c r="GE30" s="20">
        <v>1</v>
      </c>
      <c r="GF30" s="20">
        <v>0</v>
      </c>
      <c r="GG30" s="20">
        <v>0</v>
      </c>
      <c r="GK30" s="20">
        <v>2.56</v>
      </c>
      <c r="GL30" s="20">
        <v>15</v>
      </c>
      <c r="GO30" s="20">
        <v>26</v>
      </c>
      <c r="GP30" s="20" t="s">
        <v>22</v>
      </c>
      <c r="GQ30" s="20" t="s">
        <v>10</v>
      </c>
      <c r="GR30" s="33">
        <v>1</v>
      </c>
      <c r="GS30" s="20">
        <v>9</v>
      </c>
      <c r="GT30" s="20">
        <v>3</v>
      </c>
      <c r="GU30" s="20" t="s">
        <v>209</v>
      </c>
      <c r="GV30" s="20" t="s">
        <v>151</v>
      </c>
      <c r="GW30" s="20">
        <v>20</v>
      </c>
      <c r="GX30" s="20">
        <v>12</v>
      </c>
      <c r="GY30" s="20">
        <v>7</v>
      </c>
      <c r="GZ30" s="20">
        <v>14</v>
      </c>
      <c r="HA30" s="20" t="s">
        <v>430</v>
      </c>
      <c r="HB30" s="34">
        <v>0</v>
      </c>
      <c r="HC30" s="20">
        <v>14</v>
      </c>
      <c r="HD30" s="20">
        <v>2</v>
      </c>
      <c r="HE30" s="20" t="s">
        <v>164</v>
      </c>
      <c r="HF30" s="20" t="s">
        <v>142</v>
      </c>
      <c r="HG30" s="20">
        <v>21</v>
      </c>
      <c r="HH30" s="20">
        <v>13</v>
      </c>
      <c r="HI30" s="20">
        <v>10</v>
      </c>
      <c r="HJ30" s="20">
        <v>10</v>
      </c>
      <c r="HK30" s="20" t="s">
        <v>431</v>
      </c>
      <c r="HM30" s="20">
        <v>1</v>
      </c>
      <c r="HN30" s="20">
        <v>1</v>
      </c>
      <c r="HO30" s="20">
        <v>0</v>
      </c>
      <c r="HP30" s="20">
        <v>0</v>
      </c>
      <c r="HQ30" s="20">
        <v>0</v>
      </c>
      <c r="HR30" s="20">
        <v>0</v>
      </c>
      <c r="HS30" s="20">
        <v>0</v>
      </c>
      <c r="HT30" s="20">
        <v>0</v>
      </c>
      <c r="HX30" s="20">
        <v>19.05</v>
      </c>
      <c r="HY30" s="20">
        <v>1</v>
      </c>
      <c r="IB30" s="20">
        <v>26</v>
      </c>
      <c r="IC30" s="20" t="s">
        <v>5</v>
      </c>
      <c r="ID30" s="20" t="s">
        <v>11</v>
      </c>
      <c r="IE30" s="34">
        <v>1</v>
      </c>
      <c r="IF30" s="20">
        <v>11</v>
      </c>
      <c r="IG30" s="20">
        <v>3</v>
      </c>
      <c r="IH30" s="20" t="s">
        <v>128</v>
      </c>
      <c r="II30" s="20" t="s">
        <v>151</v>
      </c>
      <c r="IJ30" s="20">
        <v>24</v>
      </c>
      <c r="IK30" s="20">
        <v>8</v>
      </c>
      <c r="IL30" s="20">
        <v>8</v>
      </c>
      <c r="IM30" s="20">
        <v>10</v>
      </c>
      <c r="IN30" s="20" t="s">
        <v>527</v>
      </c>
      <c r="IO30" s="33">
        <v>2</v>
      </c>
      <c r="IP30" s="20">
        <v>17</v>
      </c>
      <c r="IQ30" s="20">
        <v>8</v>
      </c>
      <c r="IR30" s="20" t="s">
        <v>474</v>
      </c>
      <c r="IS30" s="20" t="s">
        <v>179</v>
      </c>
      <c r="IT30" s="20">
        <v>18</v>
      </c>
      <c r="IU30" s="20">
        <v>8</v>
      </c>
      <c r="IV30" s="20">
        <v>12</v>
      </c>
      <c r="IW30" s="20">
        <v>13</v>
      </c>
      <c r="IX30" s="20" t="s">
        <v>528</v>
      </c>
      <c r="IZ30" s="20">
        <v>1</v>
      </c>
      <c r="JA30" s="20">
        <v>1</v>
      </c>
      <c r="JB30" s="20">
        <v>1</v>
      </c>
      <c r="JC30" s="20">
        <v>0</v>
      </c>
      <c r="JD30" s="20">
        <v>0</v>
      </c>
      <c r="JE30" s="20">
        <v>1</v>
      </c>
      <c r="JF30" s="20">
        <v>0</v>
      </c>
      <c r="JG30" s="20">
        <v>1</v>
      </c>
      <c r="JK30" s="20">
        <v>19.79</v>
      </c>
      <c r="JL30" s="20">
        <v>6</v>
      </c>
      <c r="JO30" s="20">
        <v>26</v>
      </c>
      <c r="JP30" s="20" t="s">
        <v>13</v>
      </c>
      <c r="JQ30" s="20" t="s">
        <v>12</v>
      </c>
      <c r="JR30" s="32">
        <v>1</v>
      </c>
      <c r="JS30" s="20">
        <v>8</v>
      </c>
      <c r="JT30" s="20">
        <v>3</v>
      </c>
      <c r="JU30" s="20" t="s">
        <v>153</v>
      </c>
      <c r="JV30" s="20" t="s">
        <v>151</v>
      </c>
      <c r="JW30" s="20">
        <v>19</v>
      </c>
      <c r="JX30" s="20">
        <v>16</v>
      </c>
      <c r="JY30" s="20">
        <v>7</v>
      </c>
      <c r="JZ30" s="20">
        <v>7</v>
      </c>
      <c r="KA30" s="20" t="s">
        <v>333</v>
      </c>
      <c r="KB30" s="32">
        <v>1</v>
      </c>
      <c r="KC30" s="20">
        <v>10</v>
      </c>
      <c r="KD30" s="20">
        <v>3</v>
      </c>
      <c r="KE30" s="20" t="s">
        <v>237</v>
      </c>
      <c r="KF30" s="20" t="s">
        <v>142</v>
      </c>
      <c r="KG30" s="20">
        <v>13</v>
      </c>
      <c r="KH30" s="20">
        <v>27</v>
      </c>
      <c r="KI30" s="20">
        <v>10</v>
      </c>
      <c r="KJ30" s="20">
        <v>13</v>
      </c>
      <c r="KK30" s="20" t="s">
        <v>332</v>
      </c>
      <c r="KM30" s="32">
        <v>0</v>
      </c>
      <c r="KN30" s="32">
        <v>0</v>
      </c>
      <c r="KO30" s="32">
        <v>1</v>
      </c>
      <c r="KP30" s="32">
        <v>0</v>
      </c>
      <c r="KQ30" s="32">
        <v>1</v>
      </c>
      <c r="KR30" s="32">
        <v>1</v>
      </c>
      <c r="KS30" s="32">
        <v>0</v>
      </c>
      <c r="KT30" s="32">
        <v>1</v>
      </c>
      <c r="KX30" s="32">
        <v>7.5</v>
      </c>
      <c r="KY30" s="32">
        <v>6</v>
      </c>
      <c r="LB30" s="20">
        <v>26</v>
      </c>
      <c r="LC30" s="20" t="s">
        <v>13</v>
      </c>
      <c r="LD30" s="20" t="s">
        <v>12</v>
      </c>
      <c r="LE30" s="32">
        <v>1</v>
      </c>
      <c r="LF30" s="20">
        <v>10</v>
      </c>
      <c r="LG30" s="20">
        <v>3</v>
      </c>
      <c r="LH30" s="20" t="s">
        <v>237</v>
      </c>
      <c r="LI30" s="20" t="s">
        <v>142</v>
      </c>
      <c r="LJ30" s="20">
        <v>13</v>
      </c>
      <c r="LK30" s="20">
        <v>27</v>
      </c>
      <c r="LL30" s="20">
        <v>10</v>
      </c>
      <c r="LM30" s="20">
        <v>13</v>
      </c>
      <c r="LN30" s="20" t="s">
        <v>332</v>
      </c>
      <c r="LO30" s="32">
        <v>1</v>
      </c>
      <c r="LP30" s="20">
        <v>8</v>
      </c>
      <c r="LQ30" s="20">
        <v>3</v>
      </c>
      <c r="LR30" s="20" t="s">
        <v>153</v>
      </c>
      <c r="LS30" s="20" t="s">
        <v>151</v>
      </c>
      <c r="LT30" s="20">
        <v>19</v>
      </c>
      <c r="LU30" s="20">
        <v>16</v>
      </c>
      <c r="LV30" s="20">
        <v>7</v>
      </c>
      <c r="LW30" s="20">
        <v>7</v>
      </c>
      <c r="LX30" s="20" t="s">
        <v>333</v>
      </c>
      <c r="LZ30" s="32">
        <v>0</v>
      </c>
      <c r="MA30" s="32">
        <v>0</v>
      </c>
      <c r="MB30" s="32">
        <v>1</v>
      </c>
      <c r="MC30" s="32">
        <v>0</v>
      </c>
      <c r="MD30" s="32">
        <v>1</v>
      </c>
      <c r="ME30" s="32">
        <v>1</v>
      </c>
      <c r="MF30" s="32">
        <v>0</v>
      </c>
      <c r="MG30" s="32">
        <v>1</v>
      </c>
      <c r="MK30" s="32">
        <v>7.5</v>
      </c>
      <c r="ML30" s="32">
        <v>6</v>
      </c>
      <c r="MO30" s="20">
        <v>26</v>
      </c>
      <c r="MP30" s="20" t="s">
        <v>14</v>
      </c>
      <c r="MQ30" s="20" t="s">
        <v>21</v>
      </c>
      <c r="MR30" s="32">
        <v>2</v>
      </c>
      <c r="MS30" s="20">
        <v>20</v>
      </c>
      <c r="MT30" s="20">
        <v>4</v>
      </c>
      <c r="MU30" s="20" t="s">
        <v>141</v>
      </c>
      <c r="MV30" s="20" t="s">
        <v>117</v>
      </c>
      <c r="MW30" s="20">
        <v>26</v>
      </c>
      <c r="MX30" s="20">
        <v>15</v>
      </c>
      <c r="MY30" s="20">
        <v>7</v>
      </c>
      <c r="MZ30" s="20">
        <v>15</v>
      </c>
      <c r="NA30" s="20" t="s">
        <v>529</v>
      </c>
      <c r="NB30" s="32">
        <v>2</v>
      </c>
      <c r="NC30" s="20">
        <v>11</v>
      </c>
      <c r="ND30" s="20">
        <v>4</v>
      </c>
      <c r="NE30" s="20" t="s">
        <v>249</v>
      </c>
      <c r="NF30" s="20" t="s">
        <v>154</v>
      </c>
      <c r="NG30" s="20">
        <v>26</v>
      </c>
      <c r="NH30" s="20">
        <v>16</v>
      </c>
      <c r="NI30" s="20">
        <v>6</v>
      </c>
      <c r="NJ30" s="20">
        <v>21</v>
      </c>
      <c r="NK30" s="20" t="s">
        <v>530</v>
      </c>
      <c r="NM30" s="32">
        <v>0</v>
      </c>
      <c r="NN30" s="32">
        <v>0</v>
      </c>
      <c r="NO30" s="32">
        <v>0</v>
      </c>
      <c r="NP30" s="32">
        <v>0</v>
      </c>
      <c r="NQ30" s="32">
        <v>0</v>
      </c>
      <c r="NR30" s="32">
        <v>1</v>
      </c>
      <c r="NS30" s="32">
        <v>1</v>
      </c>
      <c r="NT30" s="32">
        <v>0</v>
      </c>
      <c r="NX30" s="32">
        <v>16.36</v>
      </c>
      <c r="NY30" s="32">
        <v>0</v>
      </c>
      <c r="OB30" s="20">
        <v>26</v>
      </c>
      <c r="OC30" s="20" t="s">
        <v>19</v>
      </c>
      <c r="OD30" s="20" t="s">
        <v>15</v>
      </c>
      <c r="OE30" s="33">
        <v>1</v>
      </c>
      <c r="OF30" s="20">
        <v>12</v>
      </c>
      <c r="OG30" s="20">
        <v>4</v>
      </c>
      <c r="OH30" s="20" t="s">
        <v>209</v>
      </c>
      <c r="OI30" s="20" t="s">
        <v>147</v>
      </c>
      <c r="OJ30" s="20">
        <v>14</v>
      </c>
      <c r="OK30" s="20">
        <v>6</v>
      </c>
      <c r="OL30" s="20">
        <v>7</v>
      </c>
      <c r="OM30" s="20">
        <v>19</v>
      </c>
      <c r="ON30" s="20" t="s">
        <v>398</v>
      </c>
      <c r="OO30" s="34">
        <v>0</v>
      </c>
      <c r="OP30" s="20">
        <v>10</v>
      </c>
      <c r="OQ30" s="20">
        <v>4</v>
      </c>
      <c r="OR30" s="20" t="s">
        <v>133</v>
      </c>
      <c r="OS30" s="20" t="s">
        <v>151</v>
      </c>
      <c r="OT30" s="20">
        <v>25</v>
      </c>
      <c r="OU30" s="20">
        <v>13</v>
      </c>
      <c r="OV30" s="20">
        <v>2</v>
      </c>
      <c r="OW30" s="20">
        <v>9</v>
      </c>
      <c r="OX30" s="20" t="s">
        <v>397</v>
      </c>
      <c r="OZ30" s="20">
        <v>1</v>
      </c>
      <c r="PA30" s="20">
        <v>0</v>
      </c>
      <c r="PB30" s="20">
        <v>1</v>
      </c>
      <c r="PC30" s="20">
        <v>0</v>
      </c>
      <c r="PD30" s="20">
        <v>0</v>
      </c>
      <c r="PE30" s="20">
        <v>1</v>
      </c>
      <c r="PF30" s="20">
        <v>0</v>
      </c>
      <c r="PG30" s="20">
        <v>0</v>
      </c>
      <c r="PK30" s="20">
        <v>6.67</v>
      </c>
      <c r="PL30" s="20">
        <v>11</v>
      </c>
      <c r="PO30" s="20">
        <v>26</v>
      </c>
      <c r="PP30" s="20" t="s">
        <v>17</v>
      </c>
      <c r="PQ30" s="20" t="s">
        <v>9</v>
      </c>
      <c r="PR30" s="34">
        <v>0</v>
      </c>
      <c r="PS30" s="20">
        <v>9</v>
      </c>
      <c r="PT30" s="20">
        <v>3</v>
      </c>
      <c r="PU30" s="20" t="s">
        <v>209</v>
      </c>
      <c r="PV30" s="20" t="s">
        <v>168</v>
      </c>
      <c r="PW30" s="20">
        <v>16</v>
      </c>
      <c r="PX30" s="20">
        <v>20</v>
      </c>
      <c r="PY30" s="20">
        <v>8</v>
      </c>
      <c r="PZ30" s="20">
        <v>6</v>
      </c>
      <c r="QA30" s="20" t="s">
        <v>265</v>
      </c>
      <c r="QB30" s="33">
        <v>3</v>
      </c>
      <c r="QC30" s="20">
        <v>13</v>
      </c>
      <c r="QD30" s="20">
        <v>4</v>
      </c>
      <c r="QE30" s="20" t="s">
        <v>337</v>
      </c>
      <c r="QF30" s="20" t="s">
        <v>144</v>
      </c>
      <c r="QG30" s="20">
        <v>31</v>
      </c>
      <c r="QH30" s="20">
        <v>16</v>
      </c>
      <c r="QI30" s="20">
        <v>9</v>
      </c>
      <c r="QJ30" s="20">
        <v>10</v>
      </c>
      <c r="QK30" s="20" t="s">
        <v>263</v>
      </c>
      <c r="QM30" s="20">
        <v>1</v>
      </c>
      <c r="QN30" s="20">
        <v>0</v>
      </c>
      <c r="QO30" s="20">
        <v>0</v>
      </c>
      <c r="QP30" s="20">
        <v>1</v>
      </c>
      <c r="QQ30" s="20">
        <v>0</v>
      </c>
      <c r="QR30" s="20">
        <v>1</v>
      </c>
      <c r="QS30" s="20">
        <v>0</v>
      </c>
      <c r="QT30" s="20">
        <v>0</v>
      </c>
      <c r="QX30" s="20">
        <v>2.56</v>
      </c>
      <c r="QY30" s="20">
        <v>15</v>
      </c>
      <c r="RB30" s="20">
        <v>26</v>
      </c>
      <c r="RC30" s="20" t="s">
        <v>34</v>
      </c>
      <c r="RD30" s="20" t="s">
        <v>18</v>
      </c>
      <c r="RE30" s="33">
        <v>4</v>
      </c>
      <c r="RF30" s="20">
        <v>12</v>
      </c>
      <c r="RG30" s="20">
        <v>7</v>
      </c>
      <c r="RH30" s="20" t="s">
        <v>405</v>
      </c>
      <c r="RI30" s="20" t="s">
        <v>142</v>
      </c>
      <c r="RJ30" s="20">
        <v>27</v>
      </c>
      <c r="RK30" s="20">
        <v>12</v>
      </c>
      <c r="RL30" s="20">
        <v>12</v>
      </c>
      <c r="RM30" s="20">
        <v>11</v>
      </c>
      <c r="RN30" s="20" t="s">
        <v>531</v>
      </c>
      <c r="RO30" s="34">
        <v>2</v>
      </c>
      <c r="RP30" s="20">
        <v>13</v>
      </c>
      <c r="RQ30" s="20">
        <v>5</v>
      </c>
      <c r="RR30" s="20" t="s">
        <v>202</v>
      </c>
      <c r="RS30" s="20" t="s">
        <v>154</v>
      </c>
      <c r="RT30" s="20">
        <v>20</v>
      </c>
      <c r="RU30" s="20">
        <v>11</v>
      </c>
      <c r="RV30" s="20">
        <v>14</v>
      </c>
      <c r="RW30" s="20">
        <v>19</v>
      </c>
      <c r="RX30" s="20" t="s">
        <v>532</v>
      </c>
      <c r="RZ30" s="20">
        <v>1</v>
      </c>
      <c r="SA30" s="20">
        <v>1</v>
      </c>
      <c r="SB30" s="20">
        <v>0</v>
      </c>
      <c r="SC30" s="20">
        <v>1</v>
      </c>
      <c r="SD30" s="20">
        <v>1</v>
      </c>
      <c r="SE30" s="20">
        <v>0</v>
      </c>
      <c r="SF30" s="20">
        <v>1</v>
      </c>
      <c r="SG30" s="20">
        <v>0</v>
      </c>
      <c r="SK30" s="20">
        <v>19.87</v>
      </c>
      <c r="SL30" s="20">
        <v>7</v>
      </c>
      <c r="SO30" s="20">
        <v>26</v>
      </c>
      <c r="SP30" s="20" t="s">
        <v>19</v>
      </c>
      <c r="SQ30" s="20" t="s">
        <v>15</v>
      </c>
      <c r="SR30" s="34">
        <v>0</v>
      </c>
      <c r="SS30" s="20">
        <v>10</v>
      </c>
      <c r="ST30" s="20">
        <v>4</v>
      </c>
      <c r="SU30" s="20" t="s">
        <v>133</v>
      </c>
      <c r="SV30" s="20" t="s">
        <v>151</v>
      </c>
      <c r="SW30" s="20">
        <v>25</v>
      </c>
      <c r="SX30" s="20">
        <v>13</v>
      </c>
      <c r="SY30" s="20">
        <v>2</v>
      </c>
      <c r="SZ30" s="20">
        <v>9</v>
      </c>
      <c r="TA30" s="20" t="s">
        <v>397</v>
      </c>
      <c r="TB30" s="33">
        <v>1</v>
      </c>
      <c r="TC30" s="20">
        <v>12</v>
      </c>
      <c r="TD30" s="20">
        <v>4</v>
      </c>
      <c r="TE30" s="20" t="s">
        <v>209</v>
      </c>
      <c r="TF30" s="20" t="s">
        <v>147</v>
      </c>
      <c r="TG30" s="20">
        <v>14</v>
      </c>
      <c r="TH30" s="20">
        <v>6</v>
      </c>
      <c r="TI30" s="20">
        <v>7</v>
      </c>
      <c r="TJ30" s="20">
        <v>19</v>
      </c>
      <c r="TK30" s="20" t="s">
        <v>398</v>
      </c>
      <c r="TM30" s="20">
        <v>1</v>
      </c>
      <c r="TN30" s="20">
        <v>0</v>
      </c>
      <c r="TO30" s="20">
        <v>1</v>
      </c>
      <c r="TP30" s="20">
        <v>0</v>
      </c>
      <c r="TQ30" s="20">
        <v>0</v>
      </c>
      <c r="TR30" s="20">
        <v>1</v>
      </c>
      <c r="TS30" s="20">
        <v>0</v>
      </c>
      <c r="TT30" s="20">
        <v>0</v>
      </c>
      <c r="TX30" s="20">
        <v>6.67</v>
      </c>
      <c r="TY30" s="20">
        <v>11</v>
      </c>
      <c r="UB30" s="20">
        <v>26</v>
      </c>
      <c r="UC30" s="20" t="s">
        <v>16</v>
      </c>
      <c r="UD30" s="20" t="s">
        <v>20</v>
      </c>
      <c r="UE30" s="34">
        <v>0</v>
      </c>
      <c r="UF30" s="20">
        <v>14</v>
      </c>
      <c r="UG30" s="20">
        <v>2</v>
      </c>
      <c r="UH30" s="20" t="s">
        <v>164</v>
      </c>
      <c r="UI30" s="20" t="s">
        <v>230</v>
      </c>
      <c r="UJ30" s="20">
        <v>18</v>
      </c>
      <c r="UK30" s="20">
        <v>14</v>
      </c>
      <c r="UL30" s="20">
        <v>6</v>
      </c>
      <c r="UM30" s="20">
        <v>8</v>
      </c>
      <c r="UN30" s="20" t="s">
        <v>280</v>
      </c>
      <c r="UO30" s="33">
        <v>1</v>
      </c>
      <c r="UP30" s="20">
        <v>10</v>
      </c>
      <c r="UQ30" s="20">
        <v>3</v>
      </c>
      <c r="UR30" s="20" t="s">
        <v>237</v>
      </c>
      <c r="US30" s="20" t="s">
        <v>219</v>
      </c>
      <c r="UT30" s="20">
        <v>16</v>
      </c>
      <c r="UU30" s="20">
        <v>13</v>
      </c>
      <c r="UV30" s="20">
        <v>12</v>
      </c>
      <c r="UW30" s="20">
        <v>11</v>
      </c>
      <c r="UX30" s="20" t="s">
        <v>533</v>
      </c>
      <c r="UZ30" s="20">
        <v>1</v>
      </c>
      <c r="VA30" s="20">
        <v>1</v>
      </c>
      <c r="VB30" s="20">
        <v>0</v>
      </c>
      <c r="VC30" s="20">
        <v>0</v>
      </c>
      <c r="VD30" s="20">
        <v>0</v>
      </c>
      <c r="VE30" s="20">
        <v>1</v>
      </c>
      <c r="VF30" s="20">
        <v>0</v>
      </c>
      <c r="VG30" s="20">
        <v>0</v>
      </c>
      <c r="VK30" s="20">
        <v>15.71</v>
      </c>
      <c r="VL30" s="20">
        <v>2</v>
      </c>
      <c r="VO30" s="20">
        <v>26</v>
      </c>
      <c r="VP30" s="20" t="s">
        <v>16</v>
      </c>
      <c r="VQ30" s="20" t="s">
        <v>20</v>
      </c>
      <c r="VR30" s="33">
        <v>1</v>
      </c>
      <c r="VS30" s="20">
        <v>10</v>
      </c>
      <c r="VT30" s="20">
        <v>3</v>
      </c>
      <c r="VU30" s="20" t="s">
        <v>237</v>
      </c>
      <c r="VV30" s="20" t="s">
        <v>219</v>
      </c>
      <c r="VW30" s="20">
        <v>16</v>
      </c>
      <c r="VX30" s="20">
        <v>13</v>
      </c>
      <c r="VY30" s="20">
        <v>12</v>
      </c>
      <c r="VZ30" s="20">
        <v>11</v>
      </c>
      <c r="WA30" s="20" t="s">
        <v>533</v>
      </c>
      <c r="WB30" s="34">
        <v>0</v>
      </c>
      <c r="WC30" s="20">
        <v>14</v>
      </c>
      <c r="WD30" s="20">
        <v>2</v>
      </c>
      <c r="WE30" s="20" t="s">
        <v>164</v>
      </c>
      <c r="WF30" s="20" t="s">
        <v>230</v>
      </c>
      <c r="WG30" s="20">
        <v>18</v>
      </c>
      <c r="WH30" s="20">
        <v>14</v>
      </c>
      <c r="WI30" s="20">
        <v>6</v>
      </c>
      <c r="WJ30" s="20">
        <v>8</v>
      </c>
      <c r="WK30" s="20" t="s">
        <v>280</v>
      </c>
      <c r="WM30" s="20">
        <v>1</v>
      </c>
      <c r="WN30" s="20">
        <v>1</v>
      </c>
      <c r="WO30" s="20">
        <v>0</v>
      </c>
      <c r="WP30" s="20">
        <v>0</v>
      </c>
      <c r="WQ30" s="20">
        <v>0</v>
      </c>
      <c r="WR30" s="20">
        <v>1</v>
      </c>
      <c r="WS30" s="20">
        <v>0</v>
      </c>
      <c r="WT30" s="20">
        <v>0</v>
      </c>
      <c r="WX30" s="20">
        <v>15.71</v>
      </c>
      <c r="WY30" s="20">
        <v>2</v>
      </c>
      <c r="XB30" s="20">
        <v>26</v>
      </c>
      <c r="XC30" s="20" t="s">
        <v>34</v>
      </c>
      <c r="XD30" s="20" t="s">
        <v>18</v>
      </c>
      <c r="XE30" s="34">
        <v>2</v>
      </c>
      <c r="XF30" s="20">
        <v>13</v>
      </c>
      <c r="XG30" s="20">
        <v>5</v>
      </c>
      <c r="XH30" s="20" t="s">
        <v>202</v>
      </c>
      <c r="XI30" s="20" t="s">
        <v>154</v>
      </c>
      <c r="XJ30" s="20">
        <v>20</v>
      </c>
      <c r="XK30" s="20">
        <v>11</v>
      </c>
      <c r="XL30" s="20">
        <v>14</v>
      </c>
      <c r="XM30" s="20">
        <v>19</v>
      </c>
      <c r="XN30" s="20" t="s">
        <v>532</v>
      </c>
      <c r="XO30" s="33">
        <v>4</v>
      </c>
      <c r="XP30" s="20">
        <v>12</v>
      </c>
      <c r="XQ30" s="20">
        <v>7</v>
      </c>
      <c r="XR30" s="20" t="s">
        <v>405</v>
      </c>
      <c r="XS30" s="20" t="s">
        <v>142</v>
      </c>
      <c r="XT30" s="20">
        <v>27</v>
      </c>
      <c r="XU30" s="20">
        <v>12</v>
      </c>
      <c r="XV30" s="20">
        <v>12</v>
      </c>
      <c r="XW30" s="20">
        <v>11</v>
      </c>
      <c r="XX30" s="20" t="s">
        <v>531</v>
      </c>
      <c r="XZ30" s="20">
        <v>1</v>
      </c>
      <c r="YA30" s="20">
        <v>1</v>
      </c>
      <c r="YB30" s="20">
        <v>0</v>
      </c>
      <c r="YC30" s="20">
        <v>1</v>
      </c>
      <c r="YD30" s="20">
        <v>1</v>
      </c>
      <c r="YE30" s="20">
        <v>0</v>
      </c>
      <c r="YF30" s="20">
        <v>1</v>
      </c>
      <c r="YG30" s="20">
        <v>0</v>
      </c>
      <c r="YK30" s="20">
        <v>19.87</v>
      </c>
      <c r="YL30" s="20">
        <v>7</v>
      </c>
      <c r="YO30" s="20">
        <v>26</v>
      </c>
      <c r="YP30" s="20" t="s">
        <v>14</v>
      </c>
      <c r="YQ30" s="20" t="s">
        <v>21</v>
      </c>
      <c r="YR30" s="32">
        <v>2</v>
      </c>
      <c r="YS30" s="20">
        <v>11</v>
      </c>
      <c r="YT30" s="20">
        <v>4</v>
      </c>
      <c r="YU30" s="20" t="s">
        <v>249</v>
      </c>
      <c r="YV30" s="20" t="s">
        <v>154</v>
      </c>
      <c r="YW30" s="20">
        <v>26</v>
      </c>
      <c r="YX30" s="20">
        <v>16</v>
      </c>
      <c r="YY30" s="20">
        <v>6</v>
      </c>
      <c r="YZ30" s="20">
        <v>21</v>
      </c>
      <c r="ZA30" s="20" t="s">
        <v>530</v>
      </c>
      <c r="ZB30" s="32">
        <v>2</v>
      </c>
      <c r="ZC30" s="20">
        <v>20</v>
      </c>
      <c r="ZD30" s="20">
        <v>4</v>
      </c>
      <c r="ZE30" s="20" t="s">
        <v>141</v>
      </c>
      <c r="ZF30" s="20" t="s">
        <v>117</v>
      </c>
      <c r="ZG30" s="20">
        <v>26</v>
      </c>
      <c r="ZH30" s="20">
        <v>15</v>
      </c>
      <c r="ZI30" s="20">
        <v>7</v>
      </c>
      <c r="ZJ30" s="20">
        <v>15</v>
      </c>
      <c r="ZK30" s="20" t="s">
        <v>529</v>
      </c>
      <c r="ZM30" s="32">
        <v>0</v>
      </c>
      <c r="ZN30" s="32">
        <v>0</v>
      </c>
      <c r="ZO30" s="32">
        <v>0</v>
      </c>
      <c r="ZP30" s="32">
        <v>0</v>
      </c>
      <c r="ZQ30" s="32">
        <v>0</v>
      </c>
      <c r="ZR30" s="32">
        <v>1</v>
      </c>
      <c r="ZS30" s="32">
        <v>1</v>
      </c>
      <c r="ZT30" s="32">
        <v>0</v>
      </c>
      <c r="ZX30" s="32">
        <v>16.36</v>
      </c>
      <c r="ZY30" s="32">
        <v>0</v>
      </c>
      <c r="AAB30" s="20">
        <v>26</v>
      </c>
      <c r="AAC30" s="20" t="s">
        <v>22</v>
      </c>
      <c r="AAD30" s="20" t="s">
        <v>10</v>
      </c>
      <c r="AAE30" s="34">
        <v>0</v>
      </c>
      <c r="AAF30" s="20">
        <v>14</v>
      </c>
      <c r="AAG30" s="20">
        <v>2</v>
      </c>
      <c r="AAH30" s="20" t="s">
        <v>164</v>
      </c>
      <c r="AAI30" s="20" t="s">
        <v>142</v>
      </c>
      <c r="AAJ30" s="20">
        <v>21</v>
      </c>
      <c r="AAK30" s="20">
        <v>13</v>
      </c>
      <c r="AAL30" s="20">
        <v>10</v>
      </c>
      <c r="AAM30" s="20">
        <v>10</v>
      </c>
      <c r="AAN30" s="20" t="s">
        <v>431</v>
      </c>
      <c r="AAO30" s="33">
        <v>1</v>
      </c>
      <c r="AAP30" s="20">
        <v>9</v>
      </c>
      <c r="AAQ30" s="20">
        <v>3</v>
      </c>
      <c r="AAR30" s="20" t="s">
        <v>209</v>
      </c>
      <c r="AAS30" s="20" t="s">
        <v>151</v>
      </c>
      <c r="AAT30" s="20">
        <v>20</v>
      </c>
      <c r="AAU30" s="20">
        <v>12</v>
      </c>
      <c r="AAV30" s="20">
        <v>7</v>
      </c>
      <c r="AAW30" s="20">
        <v>14</v>
      </c>
      <c r="AAX30" s="20" t="s">
        <v>430</v>
      </c>
      <c r="AAZ30" s="20">
        <v>1</v>
      </c>
      <c r="ABA30" s="20">
        <v>1</v>
      </c>
      <c r="ABB30" s="20">
        <v>0</v>
      </c>
      <c r="ABC30" s="20">
        <v>0</v>
      </c>
      <c r="ABD30" s="20">
        <v>0</v>
      </c>
      <c r="ABE30" s="20">
        <v>0</v>
      </c>
      <c r="ABF30" s="20">
        <v>0</v>
      </c>
      <c r="ABG30" s="20">
        <v>0</v>
      </c>
      <c r="ABK30" s="20">
        <v>19.05</v>
      </c>
      <c r="ABL30" s="20">
        <v>1</v>
      </c>
      <c r="ABO30" s="20">
        <v>26</v>
      </c>
      <c r="ABP30" s="20" t="s">
        <v>8</v>
      </c>
      <c r="ABQ30" s="20" t="s">
        <v>23</v>
      </c>
      <c r="ABR30" s="34">
        <v>0</v>
      </c>
      <c r="ABS30" s="20">
        <v>7</v>
      </c>
      <c r="ABT30" s="20">
        <v>1</v>
      </c>
      <c r="ABU30" s="20" t="s">
        <v>164</v>
      </c>
      <c r="ABV30" s="20" t="s">
        <v>230</v>
      </c>
      <c r="ABW30" s="20">
        <v>25</v>
      </c>
      <c r="ABX30" s="20">
        <v>13</v>
      </c>
      <c r="ABY30" s="20">
        <v>8</v>
      </c>
      <c r="ABZ30" s="20">
        <v>9</v>
      </c>
      <c r="ACA30" s="20" t="s">
        <v>513</v>
      </c>
      <c r="ACB30" s="33">
        <v>3</v>
      </c>
      <c r="ACC30" s="20">
        <v>9</v>
      </c>
      <c r="ACD30" s="20">
        <v>3</v>
      </c>
      <c r="ACE30" s="20" t="s">
        <v>209</v>
      </c>
      <c r="ACF30" s="20" t="s">
        <v>258</v>
      </c>
      <c r="ACG30" s="20">
        <v>16</v>
      </c>
      <c r="ACH30" s="20">
        <v>9</v>
      </c>
      <c r="ACI30" s="20">
        <v>9</v>
      </c>
      <c r="ACJ30" s="20">
        <v>12</v>
      </c>
      <c r="ACK30" s="20" t="s">
        <v>512</v>
      </c>
      <c r="ACM30" s="20">
        <v>1</v>
      </c>
      <c r="ACN30" s="20">
        <v>1</v>
      </c>
      <c r="ACO30" s="20">
        <v>1</v>
      </c>
      <c r="ACP30" s="20">
        <v>0</v>
      </c>
      <c r="ACQ30" s="20">
        <v>0</v>
      </c>
      <c r="ACR30" s="20">
        <v>1</v>
      </c>
      <c r="ACS30" s="20">
        <v>0</v>
      </c>
      <c r="ACT30" s="20">
        <v>1</v>
      </c>
      <c r="ACX30" s="20">
        <v>19.05</v>
      </c>
      <c r="ACY30" s="20">
        <v>9</v>
      </c>
    </row>
    <row r="31" spans="1:779" x14ac:dyDescent="0.3">
      <c r="A31" s="27"/>
      <c r="B31" s="20">
        <v>27</v>
      </c>
      <c r="C31" s="20" t="s">
        <v>21</v>
      </c>
      <c r="D31" s="20" t="s">
        <v>5</v>
      </c>
      <c r="E31" s="33">
        <v>5</v>
      </c>
      <c r="F31" s="20">
        <v>20</v>
      </c>
      <c r="G31" s="30">
        <v>8</v>
      </c>
      <c r="H31" s="27">
        <v>0.4</v>
      </c>
      <c r="I31" s="28">
        <v>0.83</v>
      </c>
      <c r="J31" s="20">
        <v>19</v>
      </c>
      <c r="K31" s="20">
        <v>12</v>
      </c>
      <c r="L31" s="20">
        <v>10</v>
      </c>
      <c r="M31" s="30">
        <v>12</v>
      </c>
      <c r="N31" s="27">
        <v>0.63900000000000001</v>
      </c>
      <c r="O31" s="34">
        <v>1</v>
      </c>
      <c r="P31" s="20">
        <v>8</v>
      </c>
      <c r="Q31" s="30">
        <v>4</v>
      </c>
      <c r="R31" s="27">
        <v>0.5</v>
      </c>
      <c r="S31" s="28">
        <v>0.75</v>
      </c>
      <c r="T31" s="20">
        <v>16</v>
      </c>
      <c r="U31" s="20">
        <v>9</v>
      </c>
      <c r="V31" s="20">
        <v>2</v>
      </c>
      <c r="W31" s="30">
        <v>10</v>
      </c>
      <c r="X31" s="27">
        <v>0.36099999999999999</v>
      </c>
      <c r="Z31" s="20">
        <v>1</v>
      </c>
      <c r="AA31" s="20">
        <v>0</v>
      </c>
      <c r="AB31" s="20">
        <v>1</v>
      </c>
      <c r="AC31" s="20">
        <v>1</v>
      </c>
      <c r="AD31" s="20">
        <v>1</v>
      </c>
      <c r="AE31" s="20">
        <v>1</v>
      </c>
      <c r="AF31" s="20">
        <v>0</v>
      </c>
      <c r="AG31" s="20">
        <v>1</v>
      </c>
      <c r="AK31" s="20">
        <v>10</v>
      </c>
      <c r="AL31" s="20">
        <v>3</v>
      </c>
      <c r="AM31" s="20"/>
      <c r="AN31" s="20"/>
      <c r="AO31" s="20">
        <v>27</v>
      </c>
      <c r="AP31" s="20" t="s">
        <v>23</v>
      </c>
      <c r="AQ31" s="20" t="s">
        <v>6</v>
      </c>
      <c r="AR31" s="33">
        <v>3</v>
      </c>
      <c r="AS31" s="30">
        <v>21</v>
      </c>
      <c r="AT31" s="30">
        <v>8</v>
      </c>
      <c r="AU31" s="27">
        <v>0.38100000000000001</v>
      </c>
      <c r="AV31" s="28">
        <v>0.85</v>
      </c>
      <c r="AW31" s="20">
        <v>28</v>
      </c>
      <c r="AX31" s="20">
        <v>13</v>
      </c>
      <c r="AY31" s="30">
        <v>15</v>
      </c>
      <c r="AZ31" s="20">
        <v>4</v>
      </c>
      <c r="BA31" s="27">
        <v>0.52600000000000002</v>
      </c>
      <c r="BB31" s="34">
        <v>1</v>
      </c>
      <c r="BC31" s="20">
        <v>12</v>
      </c>
      <c r="BD31" s="20">
        <v>4</v>
      </c>
      <c r="BE31" s="20" t="s">
        <v>209</v>
      </c>
      <c r="BF31" s="20" t="s">
        <v>230</v>
      </c>
      <c r="BG31" s="20">
        <v>11</v>
      </c>
      <c r="BH31" s="20">
        <v>13</v>
      </c>
      <c r="BI31" s="20">
        <v>9</v>
      </c>
      <c r="BJ31" s="20">
        <v>12</v>
      </c>
      <c r="BK31" s="20" t="s">
        <v>516</v>
      </c>
      <c r="BM31" s="20">
        <v>1</v>
      </c>
      <c r="BN31" s="20">
        <v>1</v>
      </c>
      <c r="BO31" s="20">
        <v>1</v>
      </c>
      <c r="BP31" s="20">
        <v>1</v>
      </c>
      <c r="BQ31" s="20">
        <v>1</v>
      </c>
      <c r="BR31" s="20">
        <v>1</v>
      </c>
      <c r="BS31" s="20">
        <v>1</v>
      </c>
      <c r="BT31" s="20">
        <v>1</v>
      </c>
      <c r="BX31" s="20">
        <v>4.76</v>
      </c>
      <c r="BY31" s="20">
        <v>17</v>
      </c>
      <c r="BZ31" s="20"/>
      <c r="CA31" s="20"/>
      <c r="CB31" s="20">
        <v>27</v>
      </c>
      <c r="CC31" s="20" t="s">
        <v>7</v>
      </c>
      <c r="CD31" s="20" t="s">
        <v>13</v>
      </c>
      <c r="CE31" s="33">
        <v>3</v>
      </c>
      <c r="CF31" s="20">
        <v>12</v>
      </c>
      <c r="CG31" s="20">
        <v>5</v>
      </c>
      <c r="CH31" s="20" t="s">
        <v>254</v>
      </c>
      <c r="CI31" s="20" t="s">
        <v>230</v>
      </c>
      <c r="CJ31" s="20">
        <v>20</v>
      </c>
      <c r="CK31" s="20">
        <v>13</v>
      </c>
      <c r="CL31" s="20">
        <v>9</v>
      </c>
      <c r="CM31" s="20">
        <v>11</v>
      </c>
      <c r="CN31" s="20" t="s">
        <v>517</v>
      </c>
      <c r="CO31" s="34">
        <v>0</v>
      </c>
      <c r="CP31" s="20">
        <v>7</v>
      </c>
      <c r="CQ31" s="20">
        <v>1</v>
      </c>
      <c r="CR31" s="20" t="s">
        <v>164</v>
      </c>
      <c r="CS31" s="20" t="s">
        <v>230</v>
      </c>
      <c r="CT31" s="20">
        <v>22</v>
      </c>
      <c r="CU31" s="20">
        <v>10</v>
      </c>
      <c r="CV31" s="20">
        <v>16</v>
      </c>
      <c r="CW31" s="20">
        <v>8</v>
      </c>
      <c r="CX31" s="20" t="s">
        <v>516</v>
      </c>
      <c r="CZ31" s="20">
        <v>1</v>
      </c>
      <c r="DA31" s="20">
        <v>1</v>
      </c>
      <c r="DB31" s="20">
        <v>0</v>
      </c>
      <c r="DC31" s="20">
        <v>0</v>
      </c>
      <c r="DD31" s="20">
        <v>1</v>
      </c>
      <c r="DE31" s="20">
        <v>0</v>
      </c>
      <c r="DF31" s="20">
        <v>0</v>
      </c>
      <c r="DG31" s="20">
        <v>1</v>
      </c>
      <c r="DK31" s="20">
        <v>27.38</v>
      </c>
      <c r="DL31" s="20">
        <v>2</v>
      </c>
      <c r="DO31" s="20">
        <v>27</v>
      </c>
      <c r="DP31" s="20" t="s">
        <v>10</v>
      </c>
      <c r="DQ31" s="20" t="s">
        <v>8</v>
      </c>
      <c r="DR31" s="32">
        <v>0</v>
      </c>
      <c r="DS31" s="20">
        <v>6</v>
      </c>
      <c r="DT31" s="20">
        <v>3</v>
      </c>
      <c r="DU31" s="20" t="s">
        <v>125</v>
      </c>
      <c r="DV31" s="20" t="s">
        <v>147</v>
      </c>
      <c r="DW31" s="20">
        <v>12</v>
      </c>
      <c r="DX31" s="20">
        <v>5</v>
      </c>
      <c r="DY31" s="20">
        <v>4</v>
      </c>
      <c r="DZ31" s="20">
        <v>14</v>
      </c>
      <c r="EA31" s="20" t="s">
        <v>201</v>
      </c>
      <c r="EB31" s="32">
        <v>0</v>
      </c>
      <c r="EC31" s="20">
        <v>11</v>
      </c>
      <c r="ED31" s="20">
        <v>4</v>
      </c>
      <c r="EE31" s="20" t="s">
        <v>249</v>
      </c>
      <c r="EF31" s="20" t="s">
        <v>258</v>
      </c>
      <c r="EG31" s="20">
        <v>20</v>
      </c>
      <c r="EH31" s="20">
        <v>11</v>
      </c>
      <c r="EI31" s="20">
        <v>6</v>
      </c>
      <c r="EJ31" s="20">
        <v>8</v>
      </c>
      <c r="EK31" s="20" t="s">
        <v>151</v>
      </c>
      <c r="EM31" s="32">
        <v>1</v>
      </c>
      <c r="EN31" s="32">
        <v>0</v>
      </c>
      <c r="EO31" s="32">
        <v>1</v>
      </c>
      <c r="EP31" s="32">
        <v>1</v>
      </c>
      <c r="EQ31" s="32">
        <v>1</v>
      </c>
      <c r="ER31" s="32">
        <v>1</v>
      </c>
      <c r="ES31" s="32">
        <v>1</v>
      </c>
      <c r="ET31" s="32">
        <v>1</v>
      </c>
      <c r="EX31" s="32">
        <v>13.64</v>
      </c>
      <c r="EY31" s="32">
        <v>8</v>
      </c>
      <c r="FB31" s="20">
        <v>27</v>
      </c>
      <c r="FC31" s="20" t="s">
        <v>9</v>
      </c>
      <c r="FD31" s="20" t="s">
        <v>16</v>
      </c>
      <c r="FE31" s="33">
        <v>4</v>
      </c>
      <c r="FF31" s="20">
        <v>13</v>
      </c>
      <c r="FG31" s="20">
        <v>6</v>
      </c>
      <c r="FH31" s="20" t="s">
        <v>350</v>
      </c>
      <c r="FI31" s="20" t="s">
        <v>171</v>
      </c>
      <c r="FJ31" s="20">
        <v>18</v>
      </c>
      <c r="FK31" s="20">
        <v>19</v>
      </c>
      <c r="FL31" s="20">
        <v>6</v>
      </c>
      <c r="FM31" s="20">
        <v>6</v>
      </c>
      <c r="FN31" s="20" t="s">
        <v>388</v>
      </c>
      <c r="FO31" s="34">
        <v>1</v>
      </c>
      <c r="FP31" s="20">
        <v>8</v>
      </c>
      <c r="FQ31" s="20">
        <v>4</v>
      </c>
      <c r="FR31" s="20" t="s">
        <v>125</v>
      </c>
      <c r="FS31" s="20" t="s">
        <v>154</v>
      </c>
      <c r="FT31" s="20">
        <v>15</v>
      </c>
      <c r="FU31" s="20">
        <v>19</v>
      </c>
      <c r="FV31" s="20">
        <v>8</v>
      </c>
      <c r="FW31" s="20">
        <v>8</v>
      </c>
      <c r="FX31" s="20" t="s">
        <v>378</v>
      </c>
      <c r="FZ31" s="20">
        <v>1</v>
      </c>
      <c r="GA31" s="20">
        <v>0</v>
      </c>
      <c r="GB31" s="20">
        <v>1</v>
      </c>
      <c r="GC31" s="20">
        <v>1</v>
      </c>
      <c r="GD31" s="20">
        <v>0</v>
      </c>
      <c r="GE31" s="20">
        <v>0</v>
      </c>
      <c r="GF31" s="20">
        <v>1</v>
      </c>
      <c r="GG31" s="20">
        <v>1</v>
      </c>
      <c r="GK31" s="20">
        <v>3.85</v>
      </c>
      <c r="GL31" s="20">
        <v>3</v>
      </c>
      <c r="GO31" s="20">
        <v>27</v>
      </c>
      <c r="GP31" s="20" t="s">
        <v>10</v>
      </c>
      <c r="GQ31" s="20" t="s">
        <v>8</v>
      </c>
      <c r="GR31" s="32">
        <v>0</v>
      </c>
      <c r="GS31" s="20">
        <v>11</v>
      </c>
      <c r="GT31" s="20">
        <v>4</v>
      </c>
      <c r="GU31" s="20" t="s">
        <v>249</v>
      </c>
      <c r="GV31" s="20" t="s">
        <v>258</v>
      </c>
      <c r="GW31" s="20">
        <v>20</v>
      </c>
      <c r="GX31" s="20">
        <v>11</v>
      </c>
      <c r="GY31" s="20">
        <v>6</v>
      </c>
      <c r="GZ31" s="20">
        <v>8</v>
      </c>
      <c r="HA31" s="20" t="s">
        <v>151</v>
      </c>
      <c r="HB31" s="32">
        <v>0</v>
      </c>
      <c r="HC31" s="20">
        <v>6</v>
      </c>
      <c r="HD31" s="20">
        <v>3</v>
      </c>
      <c r="HE31" s="20" t="s">
        <v>125</v>
      </c>
      <c r="HF31" s="20" t="s">
        <v>147</v>
      </c>
      <c r="HG31" s="20">
        <v>12</v>
      </c>
      <c r="HH31" s="20">
        <v>5</v>
      </c>
      <c r="HI31" s="20">
        <v>4</v>
      </c>
      <c r="HJ31" s="20">
        <v>14</v>
      </c>
      <c r="HK31" s="20" t="s">
        <v>201</v>
      </c>
      <c r="HM31" s="32">
        <v>1</v>
      </c>
      <c r="HN31" s="32">
        <v>0</v>
      </c>
      <c r="HO31" s="32">
        <v>1</v>
      </c>
      <c r="HP31" s="32">
        <v>1</v>
      </c>
      <c r="HQ31" s="32">
        <v>1</v>
      </c>
      <c r="HR31" s="32">
        <v>1</v>
      </c>
      <c r="HS31" s="32">
        <v>1</v>
      </c>
      <c r="HT31" s="32">
        <v>1</v>
      </c>
      <c r="HX31" s="32">
        <v>13.64</v>
      </c>
      <c r="HY31" s="32">
        <v>8</v>
      </c>
      <c r="IB31" s="20">
        <v>27</v>
      </c>
      <c r="IC31" s="20" t="s">
        <v>11</v>
      </c>
      <c r="ID31" s="20" t="s">
        <v>19</v>
      </c>
      <c r="IE31" s="33">
        <v>1</v>
      </c>
      <c r="IF31" s="20">
        <v>14</v>
      </c>
      <c r="IG31" s="20">
        <v>4</v>
      </c>
      <c r="IH31" s="20" t="s">
        <v>170</v>
      </c>
      <c r="II31" s="20" t="s">
        <v>171</v>
      </c>
      <c r="IJ31" s="20">
        <v>14</v>
      </c>
      <c r="IK31" s="20">
        <v>16</v>
      </c>
      <c r="IL31" s="20">
        <v>11</v>
      </c>
      <c r="IM31" s="20">
        <v>10</v>
      </c>
      <c r="IN31" s="20" t="s">
        <v>200</v>
      </c>
      <c r="IO31" s="34">
        <v>0</v>
      </c>
      <c r="IP31" s="20">
        <v>11</v>
      </c>
      <c r="IQ31" s="20">
        <v>6</v>
      </c>
      <c r="IR31" s="20" t="s">
        <v>389</v>
      </c>
      <c r="IS31" s="20" t="s">
        <v>129</v>
      </c>
      <c r="IT31" s="20">
        <v>17</v>
      </c>
      <c r="IU31" s="20">
        <v>19</v>
      </c>
      <c r="IV31" s="20">
        <v>7</v>
      </c>
      <c r="IW31" s="20">
        <v>9</v>
      </c>
      <c r="IX31" s="20" t="s">
        <v>225</v>
      </c>
      <c r="IZ31" s="20">
        <v>0</v>
      </c>
      <c r="JA31" s="20">
        <v>0</v>
      </c>
      <c r="JB31" s="20">
        <v>1</v>
      </c>
      <c r="JC31" s="20">
        <v>0</v>
      </c>
      <c r="JD31" s="20">
        <v>0</v>
      </c>
      <c r="JE31" s="20">
        <v>1</v>
      </c>
      <c r="JF31" s="20">
        <v>0</v>
      </c>
      <c r="JG31" s="20">
        <v>1</v>
      </c>
      <c r="JK31" s="20">
        <v>25.97</v>
      </c>
      <c r="JL31" s="20">
        <v>3</v>
      </c>
      <c r="JO31" s="20">
        <v>27</v>
      </c>
      <c r="JP31" s="20" t="s">
        <v>12</v>
      </c>
      <c r="JQ31" s="20" t="s">
        <v>17</v>
      </c>
      <c r="JR31" s="34">
        <v>1</v>
      </c>
      <c r="JS31" s="20">
        <v>11</v>
      </c>
      <c r="JT31" s="20">
        <v>1</v>
      </c>
      <c r="JU31" s="20" t="s">
        <v>264</v>
      </c>
      <c r="JV31" s="20" t="s">
        <v>117</v>
      </c>
      <c r="JW31" s="20">
        <v>16</v>
      </c>
      <c r="JX31" s="20">
        <v>20</v>
      </c>
      <c r="JY31" s="20">
        <v>7</v>
      </c>
      <c r="JZ31" s="20">
        <v>13</v>
      </c>
      <c r="KA31" s="20" t="s">
        <v>214</v>
      </c>
      <c r="KB31" s="33">
        <v>2</v>
      </c>
      <c r="KC31" s="20">
        <v>12</v>
      </c>
      <c r="KD31" s="20">
        <v>2</v>
      </c>
      <c r="KE31" s="20" t="s">
        <v>272</v>
      </c>
      <c r="KF31" s="20" t="s">
        <v>142</v>
      </c>
      <c r="KG31" s="20">
        <v>22</v>
      </c>
      <c r="KH31" s="20">
        <v>21</v>
      </c>
      <c r="KI31" s="20">
        <v>10</v>
      </c>
      <c r="KJ31" s="20">
        <v>13</v>
      </c>
      <c r="KK31" s="20" t="s">
        <v>215</v>
      </c>
      <c r="KM31" s="20">
        <v>1</v>
      </c>
      <c r="KN31" s="20">
        <v>1</v>
      </c>
      <c r="KO31" s="20">
        <v>1</v>
      </c>
      <c r="KP31" s="20">
        <v>1</v>
      </c>
      <c r="KQ31" s="20">
        <v>1</v>
      </c>
      <c r="KR31" s="20">
        <v>1</v>
      </c>
      <c r="KS31" s="20">
        <v>1</v>
      </c>
      <c r="KT31" s="20">
        <v>1</v>
      </c>
      <c r="KX31" s="20">
        <v>7.58</v>
      </c>
      <c r="KY31" s="20">
        <v>6</v>
      </c>
      <c r="LB31" s="20">
        <v>27</v>
      </c>
      <c r="LC31" s="20" t="s">
        <v>7</v>
      </c>
      <c r="LD31" s="20" t="s">
        <v>13</v>
      </c>
      <c r="LE31" s="34">
        <v>0</v>
      </c>
      <c r="LF31" s="20">
        <v>7</v>
      </c>
      <c r="LG31" s="20">
        <v>1</v>
      </c>
      <c r="LH31" s="20" t="s">
        <v>164</v>
      </c>
      <c r="LI31" s="20" t="s">
        <v>230</v>
      </c>
      <c r="LJ31" s="20">
        <v>22</v>
      </c>
      <c r="LK31" s="20">
        <v>10</v>
      </c>
      <c r="LL31" s="20">
        <v>16</v>
      </c>
      <c r="LM31" s="20">
        <v>8</v>
      </c>
      <c r="LN31" s="20" t="s">
        <v>516</v>
      </c>
      <c r="LO31" s="33">
        <v>3</v>
      </c>
      <c r="LP31" s="20">
        <v>12</v>
      </c>
      <c r="LQ31" s="20">
        <v>5</v>
      </c>
      <c r="LR31" s="20" t="s">
        <v>254</v>
      </c>
      <c r="LS31" s="20" t="s">
        <v>230</v>
      </c>
      <c r="LT31" s="20">
        <v>20</v>
      </c>
      <c r="LU31" s="20">
        <v>13</v>
      </c>
      <c r="LV31" s="20">
        <v>9</v>
      </c>
      <c r="LW31" s="20">
        <v>11</v>
      </c>
      <c r="LX31" s="20" t="s">
        <v>517</v>
      </c>
      <c r="LZ31" s="20">
        <v>1</v>
      </c>
      <c r="MA31" s="20">
        <v>1</v>
      </c>
      <c r="MB31" s="20">
        <v>0</v>
      </c>
      <c r="MC31" s="20">
        <v>0</v>
      </c>
      <c r="MD31" s="20">
        <v>1</v>
      </c>
      <c r="ME31" s="20">
        <v>0</v>
      </c>
      <c r="MF31" s="20">
        <v>0</v>
      </c>
      <c r="MG31" s="20">
        <v>1</v>
      </c>
      <c r="MK31" s="20">
        <v>27.38</v>
      </c>
      <c r="ML31" s="20">
        <v>2</v>
      </c>
      <c r="MO31" s="20">
        <v>27</v>
      </c>
      <c r="MP31" s="20" t="s">
        <v>18</v>
      </c>
      <c r="MQ31" s="20" t="s">
        <v>14</v>
      </c>
      <c r="MR31" s="33">
        <v>3</v>
      </c>
      <c r="MS31" s="20">
        <v>9</v>
      </c>
      <c r="MT31" s="20">
        <v>6</v>
      </c>
      <c r="MU31" s="20" t="s">
        <v>192</v>
      </c>
      <c r="MV31" s="20" t="s">
        <v>142</v>
      </c>
      <c r="MW31" s="20">
        <v>17</v>
      </c>
      <c r="MX31" s="20">
        <v>18</v>
      </c>
      <c r="MY31" s="20">
        <v>20</v>
      </c>
      <c r="MZ31" s="20">
        <v>12</v>
      </c>
      <c r="NA31" s="20" t="s">
        <v>524</v>
      </c>
      <c r="NB31" s="34">
        <v>0</v>
      </c>
      <c r="NC31" s="20">
        <v>15</v>
      </c>
      <c r="ND31" s="20">
        <v>3</v>
      </c>
      <c r="NE31" s="20" t="s">
        <v>141</v>
      </c>
      <c r="NF31" s="20" t="s">
        <v>142</v>
      </c>
      <c r="NG31" s="20">
        <v>19</v>
      </c>
      <c r="NH31" s="20">
        <v>12</v>
      </c>
      <c r="NI31" s="20">
        <v>14</v>
      </c>
      <c r="NJ31" s="20">
        <v>10</v>
      </c>
      <c r="NK31" s="20" t="s">
        <v>523</v>
      </c>
      <c r="NM31" s="20">
        <v>1</v>
      </c>
      <c r="NN31" s="20">
        <v>1</v>
      </c>
      <c r="NO31" s="20">
        <v>1</v>
      </c>
      <c r="NP31" s="20">
        <v>0</v>
      </c>
      <c r="NQ31" s="20">
        <v>1</v>
      </c>
      <c r="NR31" s="20">
        <v>1</v>
      </c>
      <c r="NS31" s="20">
        <v>0</v>
      </c>
      <c r="NT31" s="20">
        <v>0</v>
      </c>
      <c r="NX31" s="20">
        <v>46.67</v>
      </c>
      <c r="NY31" s="20">
        <v>2</v>
      </c>
      <c r="OB31" s="20">
        <v>27</v>
      </c>
      <c r="OC31" s="20" t="s">
        <v>15</v>
      </c>
      <c r="OD31" s="20" t="s">
        <v>22</v>
      </c>
      <c r="OE31" s="33">
        <v>4</v>
      </c>
      <c r="OF31" s="20">
        <v>11</v>
      </c>
      <c r="OG31" s="20">
        <v>5</v>
      </c>
      <c r="OH31" s="20" t="s">
        <v>358</v>
      </c>
      <c r="OI31" s="20" t="s">
        <v>258</v>
      </c>
      <c r="OJ31" s="20">
        <v>16</v>
      </c>
      <c r="OK31" s="20">
        <v>15</v>
      </c>
      <c r="OL31" s="20">
        <v>11</v>
      </c>
      <c r="OM31" s="20">
        <v>8</v>
      </c>
      <c r="ON31" s="20" t="s">
        <v>150</v>
      </c>
      <c r="OO31" s="34">
        <v>0</v>
      </c>
      <c r="OP31" s="20">
        <v>10</v>
      </c>
      <c r="OQ31" s="20">
        <v>2</v>
      </c>
      <c r="OR31" s="20" t="s">
        <v>141</v>
      </c>
      <c r="OS31" s="20" t="s">
        <v>171</v>
      </c>
      <c r="OT31" s="20">
        <v>14</v>
      </c>
      <c r="OU31" s="20">
        <v>10</v>
      </c>
      <c r="OV31" s="20">
        <v>10</v>
      </c>
      <c r="OW31" s="20">
        <v>9</v>
      </c>
      <c r="OX31" s="20" t="s">
        <v>148</v>
      </c>
      <c r="OZ31" s="20">
        <v>1</v>
      </c>
      <c r="PA31" s="20">
        <v>1</v>
      </c>
      <c r="PB31" s="20">
        <v>1</v>
      </c>
      <c r="PC31" s="20">
        <v>1</v>
      </c>
      <c r="PD31" s="20">
        <v>1</v>
      </c>
      <c r="PE31" s="20">
        <v>1</v>
      </c>
      <c r="PF31" s="20">
        <v>1</v>
      </c>
      <c r="PG31" s="20">
        <v>1</v>
      </c>
      <c r="PK31" s="20">
        <v>25.45</v>
      </c>
      <c r="PL31" s="20">
        <v>2</v>
      </c>
      <c r="PO31" s="20">
        <v>27</v>
      </c>
      <c r="PP31" s="20" t="s">
        <v>12</v>
      </c>
      <c r="PQ31" s="20" t="s">
        <v>17</v>
      </c>
      <c r="PR31" s="33">
        <v>2</v>
      </c>
      <c r="PS31" s="20">
        <v>12</v>
      </c>
      <c r="PT31" s="20">
        <v>2</v>
      </c>
      <c r="PU31" s="20" t="s">
        <v>272</v>
      </c>
      <c r="PV31" s="20" t="s">
        <v>142</v>
      </c>
      <c r="PW31" s="20">
        <v>22</v>
      </c>
      <c r="PX31" s="20">
        <v>21</v>
      </c>
      <c r="PY31" s="20">
        <v>10</v>
      </c>
      <c r="PZ31" s="20">
        <v>13</v>
      </c>
      <c r="QA31" s="20" t="s">
        <v>215</v>
      </c>
      <c r="QB31" s="34">
        <v>1</v>
      </c>
      <c r="QC31" s="20">
        <v>11</v>
      </c>
      <c r="QD31" s="20">
        <v>1</v>
      </c>
      <c r="QE31" s="20" t="s">
        <v>264</v>
      </c>
      <c r="QF31" s="20" t="s">
        <v>117</v>
      </c>
      <c r="QG31" s="20">
        <v>16</v>
      </c>
      <c r="QH31" s="20">
        <v>20</v>
      </c>
      <c r="QI31" s="20">
        <v>7</v>
      </c>
      <c r="QJ31" s="20">
        <v>13</v>
      </c>
      <c r="QK31" s="20" t="s">
        <v>214</v>
      </c>
      <c r="QM31" s="20">
        <v>1</v>
      </c>
      <c r="QN31" s="20">
        <v>1</v>
      </c>
      <c r="QO31" s="20">
        <v>1</v>
      </c>
      <c r="QP31" s="20">
        <v>1</v>
      </c>
      <c r="QQ31" s="20">
        <v>1</v>
      </c>
      <c r="QR31" s="20">
        <v>1</v>
      </c>
      <c r="QS31" s="20">
        <v>1</v>
      </c>
      <c r="QT31" s="20">
        <v>1</v>
      </c>
      <c r="QX31" s="20">
        <v>7.58</v>
      </c>
      <c r="QY31" s="20">
        <v>6</v>
      </c>
      <c r="RB31" s="20">
        <v>27</v>
      </c>
      <c r="RC31" s="20" t="s">
        <v>18</v>
      </c>
      <c r="RD31" s="20" t="s">
        <v>14</v>
      </c>
      <c r="RE31" s="34">
        <v>0</v>
      </c>
      <c r="RF31" s="20">
        <v>15</v>
      </c>
      <c r="RG31" s="20">
        <v>3</v>
      </c>
      <c r="RH31" s="20" t="s">
        <v>141</v>
      </c>
      <c r="RI31" s="20" t="s">
        <v>142</v>
      </c>
      <c r="RJ31" s="20">
        <v>19</v>
      </c>
      <c r="RK31" s="20">
        <v>12</v>
      </c>
      <c r="RL31" s="20">
        <v>14</v>
      </c>
      <c r="RM31" s="20">
        <v>10</v>
      </c>
      <c r="RN31" s="20" t="s">
        <v>523</v>
      </c>
      <c r="RO31" s="33">
        <v>3</v>
      </c>
      <c r="RP31" s="20">
        <v>9</v>
      </c>
      <c r="RQ31" s="20">
        <v>6</v>
      </c>
      <c r="RR31" s="20" t="s">
        <v>192</v>
      </c>
      <c r="RS31" s="20" t="s">
        <v>142</v>
      </c>
      <c r="RT31" s="20">
        <v>17</v>
      </c>
      <c r="RU31" s="20">
        <v>18</v>
      </c>
      <c r="RV31" s="20">
        <v>20</v>
      </c>
      <c r="RW31" s="20">
        <v>12</v>
      </c>
      <c r="RX31" s="20" t="s">
        <v>524</v>
      </c>
      <c r="RZ31" s="20">
        <v>1</v>
      </c>
      <c r="SA31" s="20">
        <v>1</v>
      </c>
      <c r="SB31" s="20">
        <v>1</v>
      </c>
      <c r="SC31" s="20">
        <v>0</v>
      </c>
      <c r="SD31" s="20">
        <v>1</v>
      </c>
      <c r="SE31" s="20">
        <v>1</v>
      </c>
      <c r="SF31" s="20">
        <v>0</v>
      </c>
      <c r="SG31" s="20">
        <v>0</v>
      </c>
      <c r="SK31" s="20">
        <v>46.67</v>
      </c>
      <c r="SL31" s="20">
        <v>2</v>
      </c>
      <c r="SO31" s="20">
        <v>27</v>
      </c>
      <c r="SP31" s="20" t="s">
        <v>11</v>
      </c>
      <c r="SQ31" s="20" t="s">
        <v>19</v>
      </c>
      <c r="SR31" s="34">
        <v>0</v>
      </c>
      <c r="SS31" s="20">
        <v>11</v>
      </c>
      <c r="ST31" s="20">
        <v>6</v>
      </c>
      <c r="SU31" s="20" t="s">
        <v>389</v>
      </c>
      <c r="SV31" s="20" t="s">
        <v>129</v>
      </c>
      <c r="SW31" s="20">
        <v>17</v>
      </c>
      <c r="SX31" s="20">
        <v>19</v>
      </c>
      <c r="SY31" s="20">
        <v>7</v>
      </c>
      <c r="SZ31" s="20">
        <v>9</v>
      </c>
      <c r="TA31" s="20" t="s">
        <v>225</v>
      </c>
      <c r="TB31" s="33">
        <v>1</v>
      </c>
      <c r="TC31" s="20">
        <v>14</v>
      </c>
      <c r="TD31" s="20">
        <v>4</v>
      </c>
      <c r="TE31" s="20" t="s">
        <v>170</v>
      </c>
      <c r="TF31" s="20" t="s">
        <v>171</v>
      </c>
      <c r="TG31" s="20">
        <v>14</v>
      </c>
      <c r="TH31" s="20">
        <v>16</v>
      </c>
      <c r="TI31" s="20">
        <v>11</v>
      </c>
      <c r="TJ31" s="20">
        <v>10</v>
      </c>
      <c r="TK31" s="20" t="s">
        <v>200</v>
      </c>
      <c r="TM31" s="20">
        <v>0</v>
      </c>
      <c r="TN31" s="20">
        <v>0</v>
      </c>
      <c r="TO31" s="20">
        <v>1</v>
      </c>
      <c r="TP31" s="20">
        <v>0</v>
      </c>
      <c r="TQ31" s="20">
        <v>0</v>
      </c>
      <c r="TR31" s="20">
        <v>1</v>
      </c>
      <c r="TS31" s="20">
        <v>0</v>
      </c>
      <c r="TT31" s="20">
        <v>1</v>
      </c>
      <c r="TX31" s="20">
        <v>25.97</v>
      </c>
      <c r="TY31" s="20">
        <v>3</v>
      </c>
      <c r="UB31" s="20">
        <v>27</v>
      </c>
      <c r="UC31" s="20" t="s">
        <v>9</v>
      </c>
      <c r="UD31" s="20" t="s">
        <v>16</v>
      </c>
      <c r="UE31" s="34">
        <v>1</v>
      </c>
      <c r="UF31" s="20">
        <v>8</v>
      </c>
      <c r="UG31" s="20">
        <v>4</v>
      </c>
      <c r="UH31" s="20" t="s">
        <v>125</v>
      </c>
      <c r="UI31" s="20" t="s">
        <v>154</v>
      </c>
      <c r="UJ31" s="20">
        <v>15</v>
      </c>
      <c r="UK31" s="20">
        <v>19</v>
      </c>
      <c r="UL31" s="20">
        <v>8</v>
      </c>
      <c r="UM31" s="20">
        <v>8</v>
      </c>
      <c r="UN31" s="20" t="s">
        <v>378</v>
      </c>
      <c r="UO31" s="33">
        <v>4</v>
      </c>
      <c r="UP31" s="20">
        <v>13</v>
      </c>
      <c r="UQ31" s="20">
        <v>6</v>
      </c>
      <c r="UR31" s="20" t="s">
        <v>350</v>
      </c>
      <c r="US31" s="20" t="s">
        <v>171</v>
      </c>
      <c r="UT31" s="20">
        <v>18</v>
      </c>
      <c r="UU31" s="20">
        <v>19</v>
      </c>
      <c r="UV31" s="20">
        <v>6</v>
      </c>
      <c r="UW31" s="20">
        <v>6</v>
      </c>
      <c r="UX31" s="20" t="s">
        <v>388</v>
      </c>
      <c r="UZ31" s="20">
        <v>1</v>
      </c>
      <c r="VA31" s="20">
        <v>0</v>
      </c>
      <c r="VB31" s="20">
        <v>1</v>
      </c>
      <c r="VC31" s="20">
        <v>1</v>
      </c>
      <c r="VD31" s="20">
        <v>0</v>
      </c>
      <c r="VE31" s="20">
        <v>0</v>
      </c>
      <c r="VF31" s="20">
        <v>1</v>
      </c>
      <c r="VG31" s="20">
        <v>1</v>
      </c>
      <c r="VK31" s="20">
        <v>3.85</v>
      </c>
      <c r="VL31" s="20">
        <v>3</v>
      </c>
      <c r="VO31" s="20">
        <v>27</v>
      </c>
      <c r="VP31" s="20" t="s">
        <v>20</v>
      </c>
      <c r="VQ31" s="20" t="s">
        <v>34</v>
      </c>
      <c r="VR31" s="33">
        <v>2</v>
      </c>
      <c r="VS31" s="20">
        <v>13</v>
      </c>
      <c r="VT31" s="20">
        <v>8</v>
      </c>
      <c r="VU31" s="20" t="s">
        <v>534</v>
      </c>
      <c r="VV31" s="20" t="s">
        <v>129</v>
      </c>
      <c r="VW31" s="20">
        <v>17</v>
      </c>
      <c r="VX31" s="20">
        <v>21</v>
      </c>
      <c r="VY31" s="20">
        <v>7</v>
      </c>
      <c r="VZ31" s="20">
        <v>8</v>
      </c>
      <c r="WA31" s="20" t="s">
        <v>314</v>
      </c>
      <c r="WB31" s="34">
        <v>0</v>
      </c>
      <c r="WC31" s="20">
        <v>4</v>
      </c>
      <c r="WD31" s="20">
        <v>0</v>
      </c>
      <c r="WE31" s="20" t="s">
        <v>116</v>
      </c>
      <c r="WF31" s="20" t="s">
        <v>147</v>
      </c>
      <c r="WG31" s="20">
        <v>13</v>
      </c>
      <c r="WH31" s="20">
        <v>10</v>
      </c>
      <c r="WI31" s="20">
        <v>3</v>
      </c>
      <c r="WJ31" s="20">
        <v>11</v>
      </c>
      <c r="WK31" s="20" t="s">
        <v>509</v>
      </c>
      <c r="WM31" s="20">
        <v>1</v>
      </c>
      <c r="WN31" s="20">
        <v>1</v>
      </c>
      <c r="WO31" s="20">
        <v>1</v>
      </c>
      <c r="WP31" s="20">
        <v>1</v>
      </c>
      <c r="WQ31" s="20">
        <v>1</v>
      </c>
      <c r="WR31" s="20">
        <v>1</v>
      </c>
      <c r="WS31" s="20">
        <v>1</v>
      </c>
      <c r="WT31" s="20">
        <v>1</v>
      </c>
      <c r="WX31" s="20">
        <v>61.54</v>
      </c>
      <c r="WY31" s="20">
        <v>4</v>
      </c>
      <c r="XB31" s="20">
        <v>27</v>
      </c>
      <c r="XC31" s="20" t="s">
        <v>20</v>
      </c>
      <c r="XD31" s="20" t="s">
        <v>34</v>
      </c>
      <c r="XE31" s="34">
        <v>0</v>
      </c>
      <c r="XF31" s="20">
        <v>4</v>
      </c>
      <c r="XG31" s="20">
        <v>0</v>
      </c>
      <c r="XH31" s="20" t="s">
        <v>116</v>
      </c>
      <c r="XI31" s="20" t="s">
        <v>147</v>
      </c>
      <c r="XJ31" s="20">
        <v>13</v>
      </c>
      <c r="XK31" s="20">
        <v>10</v>
      </c>
      <c r="XL31" s="20">
        <v>3</v>
      </c>
      <c r="XM31" s="20">
        <v>11</v>
      </c>
      <c r="XN31" s="20" t="s">
        <v>509</v>
      </c>
      <c r="XO31" s="33">
        <v>2</v>
      </c>
      <c r="XP31" s="20">
        <v>13</v>
      </c>
      <c r="XQ31" s="20">
        <v>8</v>
      </c>
      <c r="XR31" s="20" t="s">
        <v>534</v>
      </c>
      <c r="XS31" s="20" t="s">
        <v>129</v>
      </c>
      <c r="XT31" s="20">
        <v>17</v>
      </c>
      <c r="XU31" s="20">
        <v>21</v>
      </c>
      <c r="XV31" s="20">
        <v>7</v>
      </c>
      <c r="XW31" s="20">
        <v>8</v>
      </c>
      <c r="XX31" s="20" t="s">
        <v>314</v>
      </c>
      <c r="XZ31" s="20">
        <v>1</v>
      </c>
      <c r="YA31" s="20">
        <v>1</v>
      </c>
      <c r="YB31" s="20">
        <v>1</v>
      </c>
      <c r="YC31" s="20">
        <v>1</v>
      </c>
      <c r="YD31" s="20">
        <v>1</v>
      </c>
      <c r="YE31" s="20">
        <v>1</v>
      </c>
      <c r="YF31" s="20">
        <v>1</v>
      </c>
      <c r="YG31" s="20">
        <v>1</v>
      </c>
      <c r="YK31" s="20">
        <v>61.54</v>
      </c>
      <c r="YL31" s="20">
        <v>4</v>
      </c>
      <c r="YO31" s="20">
        <v>27</v>
      </c>
      <c r="YP31" s="20" t="s">
        <v>21</v>
      </c>
      <c r="YQ31" s="20" t="s">
        <v>5</v>
      </c>
      <c r="YR31" s="34">
        <v>1</v>
      </c>
      <c r="YS31" s="20">
        <v>8</v>
      </c>
      <c r="YT31" s="20">
        <v>4</v>
      </c>
      <c r="YU31" s="20" t="s">
        <v>125</v>
      </c>
      <c r="YV31" s="20" t="s">
        <v>176</v>
      </c>
      <c r="YW31" s="20">
        <v>16</v>
      </c>
      <c r="YX31" s="20">
        <v>9</v>
      </c>
      <c r="YY31" s="20">
        <v>2</v>
      </c>
      <c r="YZ31" s="20">
        <v>10</v>
      </c>
      <c r="ZA31" s="20" t="s">
        <v>365</v>
      </c>
      <c r="ZB31" s="33">
        <v>5</v>
      </c>
      <c r="ZC31" s="20">
        <v>20</v>
      </c>
      <c r="ZD31" s="20">
        <v>8</v>
      </c>
      <c r="ZE31" s="20" t="s">
        <v>133</v>
      </c>
      <c r="ZF31" s="20" t="s">
        <v>230</v>
      </c>
      <c r="ZG31" s="20">
        <v>19</v>
      </c>
      <c r="ZH31" s="20">
        <v>12</v>
      </c>
      <c r="ZI31" s="20">
        <v>10</v>
      </c>
      <c r="ZJ31" s="20">
        <v>12</v>
      </c>
      <c r="ZK31" s="20" t="s">
        <v>364</v>
      </c>
      <c r="ZM31" s="20">
        <v>1</v>
      </c>
      <c r="ZN31" s="20">
        <v>0</v>
      </c>
      <c r="ZO31" s="20">
        <v>1</v>
      </c>
      <c r="ZP31" s="20">
        <v>1</v>
      </c>
      <c r="ZQ31" s="20">
        <v>1</v>
      </c>
      <c r="ZR31" s="20">
        <v>1</v>
      </c>
      <c r="ZS31" s="20">
        <v>0</v>
      </c>
      <c r="ZT31" s="20">
        <v>1</v>
      </c>
      <c r="ZX31" s="20">
        <v>10</v>
      </c>
      <c r="ZY31" s="20">
        <v>3</v>
      </c>
      <c r="AAB31" s="20">
        <v>27</v>
      </c>
      <c r="AAC31" s="20" t="s">
        <v>15</v>
      </c>
      <c r="AAD31" s="20" t="s">
        <v>22</v>
      </c>
      <c r="AAE31" s="34">
        <v>0</v>
      </c>
      <c r="AAF31" s="20">
        <v>10</v>
      </c>
      <c r="AAG31" s="20">
        <v>2</v>
      </c>
      <c r="AAH31" s="20" t="s">
        <v>141</v>
      </c>
      <c r="AAI31" s="20" t="s">
        <v>171</v>
      </c>
      <c r="AAJ31" s="20">
        <v>14</v>
      </c>
      <c r="AAK31" s="20">
        <v>10</v>
      </c>
      <c r="AAL31" s="20">
        <v>10</v>
      </c>
      <c r="AAM31" s="20">
        <v>9</v>
      </c>
      <c r="AAN31" s="20" t="s">
        <v>148</v>
      </c>
      <c r="AAO31" s="33">
        <v>4</v>
      </c>
      <c r="AAP31" s="20">
        <v>11</v>
      </c>
      <c r="AAQ31" s="20">
        <v>5</v>
      </c>
      <c r="AAR31" s="20" t="s">
        <v>358</v>
      </c>
      <c r="AAS31" s="20" t="s">
        <v>258</v>
      </c>
      <c r="AAT31" s="20">
        <v>16</v>
      </c>
      <c r="AAU31" s="20">
        <v>15</v>
      </c>
      <c r="AAV31" s="20">
        <v>11</v>
      </c>
      <c r="AAW31" s="20">
        <v>8</v>
      </c>
      <c r="AAX31" s="20" t="s">
        <v>150</v>
      </c>
      <c r="AAZ31" s="20">
        <v>1</v>
      </c>
      <c r="ABA31" s="20">
        <v>1</v>
      </c>
      <c r="ABB31" s="20">
        <v>1</v>
      </c>
      <c r="ABC31" s="20">
        <v>1</v>
      </c>
      <c r="ABD31" s="20">
        <v>1</v>
      </c>
      <c r="ABE31" s="20">
        <v>1</v>
      </c>
      <c r="ABF31" s="20">
        <v>1</v>
      </c>
      <c r="ABG31" s="20">
        <v>1</v>
      </c>
      <c r="ABK31" s="20">
        <v>25.45</v>
      </c>
      <c r="ABL31" s="20">
        <v>2</v>
      </c>
      <c r="ABO31" s="20">
        <v>27</v>
      </c>
      <c r="ABP31" s="20" t="s">
        <v>23</v>
      </c>
      <c r="ABQ31" s="20" t="s">
        <v>6</v>
      </c>
      <c r="ABR31" s="34">
        <v>1</v>
      </c>
      <c r="ABS31" s="20">
        <v>12</v>
      </c>
      <c r="ABT31" s="20">
        <v>4</v>
      </c>
      <c r="ABU31" s="20" t="s">
        <v>209</v>
      </c>
      <c r="ABV31" s="20" t="s">
        <v>230</v>
      </c>
      <c r="ABW31" s="20">
        <v>11</v>
      </c>
      <c r="ABX31" s="20">
        <v>13</v>
      </c>
      <c r="ABY31" s="20">
        <v>9</v>
      </c>
      <c r="ABZ31" s="20">
        <v>12</v>
      </c>
      <c r="ACA31" s="20" t="s">
        <v>516</v>
      </c>
      <c r="ACB31" s="33">
        <v>3</v>
      </c>
      <c r="ACC31" s="20">
        <v>21</v>
      </c>
      <c r="ACD31" s="20">
        <v>8</v>
      </c>
      <c r="ACE31" s="20" t="s">
        <v>251</v>
      </c>
      <c r="ACF31" s="20" t="s">
        <v>258</v>
      </c>
      <c r="ACG31" s="20">
        <v>28</v>
      </c>
      <c r="ACH31" s="20">
        <v>13</v>
      </c>
      <c r="ACI31" s="20">
        <v>15</v>
      </c>
      <c r="ACJ31" s="20">
        <v>4</v>
      </c>
      <c r="ACK31" s="20" t="s">
        <v>517</v>
      </c>
      <c r="ACM31" s="20">
        <v>1</v>
      </c>
      <c r="ACN31" s="20">
        <v>1</v>
      </c>
      <c r="ACO31" s="20">
        <v>1</v>
      </c>
      <c r="ACP31" s="20">
        <v>1</v>
      </c>
      <c r="ACQ31" s="20">
        <v>1</v>
      </c>
      <c r="ACR31" s="20">
        <v>1</v>
      </c>
      <c r="ACS31" s="20">
        <v>1</v>
      </c>
      <c r="ACT31" s="20">
        <v>1</v>
      </c>
      <c r="ACX31" s="20">
        <v>4.76</v>
      </c>
      <c r="ACY31" s="20">
        <v>17</v>
      </c>
    </row>
    <row r="32" spans="1:779" x14ac:dyDescent="0.3">
      <c r="A32" s="27">
        <f>E32/G32</f>
        <v>0.5714285714285714</v>
      </c>
      <c r="B32" s="20">
        <v>28</v>
      </c>
      <c r="C32" s="20" t="s">
        <v>19</v>
      </c>
      <c r="D32" s="20" t="s">
        <v>5</v>
      </c>
      <c r="E32" s="33">
        <v>4</v>
      </c>
      <c r="F32" s="20">
        <v>10</v>
      </c>
      <c r="G32" s="30">
        <v>7</v>
      </c>
      <c r="H32" s="27">
        <v>0.7</v>
      </c>
      <c r="I32" s="28">
        <v>0.89</v>
      </c>
      <c r="J32" s="20">
        <v>15</v>
      </c>
      <c r="K32" s="20">
        <v>7</v>
      </c>
      <c r="L32" s="20">
        <v>6</v>
      </c>
      <c r="M32" s="30">
        <v>12</v>
      </c>
      <c r="N32" s="28">
        <v>0.69</v>
      </c>
      <c r="O32" s="34">
        <v>0</v>
      </c>
      <c r="P32" s="20">
        <v>7</v>
      </c>
      <c r="Q32" s="30">
        <v>0</v>
      </c>
      <c r="R32" s="27">
        <v>0</v>
      </c>
      <c r="S32" s="28">
        <v>0.7</v>
      </c>
      <c r="T32" s="20">
        <v>18</v>
      </c>
      <c r="U32" s="20">
        <v>9</v>
      </c>
      <c r="V32" s="20">
        <v>1</v>
      </c>
      <c r="W32" s="30">
        <v>8</v>
      </c>
      <c r="X32" s="28">
        <v>0.31</v>
      </c>
      <c r="Z32" s="20">
        <v>1</v>
      </c>
      <c r="AA32" s="20">
        <v>1</v>
      </c>
      <c r="AB32" s="20">
        <v>1</v>
      </c>
      <c r="AC32" s="20">
        <v>0</v>
      </c>
      <c r="AD32" s="20">
        <v>0</v>
      </c>
      <c r="AE32" s="20">
        <v>1</v>
      </c>
      <c r="AF32" s="20">
        <v>0</v>
      </c>
      <c r="AG32" s="20">
        <v>1</v>
      </c>
      <c r="AK32" s="20">
        <v>70</v>
      </c>
      <c r="AL32" s="20">
        <v>3</v>
      </c>
      <c r="AM32" s="20"/>
      <c r="AN32" s="20"/>
      <c r="AO32" s="20">
        <v>28</v>
      </c>
      <c r="AP32" s="20" t="s">
        <v>6</v>
      </c>
      <c r="AQ32" s="20" t="s">
        <v>10</v>
      </c>
      <c r="AR32" s="33">
        <v>7</v>
      </c>
      <c r="AS32" s="30">
        <v>20</v>
      </c>
      <c r="AT32" s="30">
        <v>12</v>
      </c>
      <c r="AU32" s="27">
        <v>0.6</v>
      </c>
      <c r="AV32" s="28">
        <v>0.85</v>
      </c>
      <c r="AW32" s="20">
        <v>20</v>
      </c>
      <c r="AX32" s="20">
        <v>8</v>
      </c>
      <c r="AY32" s="30">
        <v>8</v>
      </c>
      <c r="AZ32" s="20">
        <v>10</v>
      </c>
      <c r="BA32" s="27">
        <v>0.56100000000000005</v>
      </c>
      <c r="BB32" s="34">
        <v>1</v>
      </c>
      <c r="BC32" s="20">
        <v>8</v>
      </c>
      <c r="BD32" s="20">
        <v>3</v>
      </c>
      <c r="BE32" s="20" t="s">
        <v>153</v>
      </c>
      <c r="BF32" s="20" t="s">
        <v>134</v>
      </c>
      <c r="BG32" s="20">
        <v>16</v>
      </c>
      <c r="BH32" s="20">
        <v>9</v>
      </c>
      <c r="BI32" s="20">
        <v>4</v>
      </c>
      <c r="BJ32" s="20">
        <v>14</v>
      </c>
      <c r="BK32" s="20" t="s">
        <v>260</v>
      </c>
      <c r="BM32" s="20">
        <v>1</v>
      </c>
      <c r="BN32" s="20">
        <v>1</v>
      </c>
      <c r="BO32" s="20">
        <v>1</v>
      </c>
      <c r="BP32" s="20">
        <v>1</v>
      </c>
      <c r="BQ32" s="20">
        <v>0</v>
      </c>
      <c r="BR32" s="20">
        <v>1</v>
      </c>
      <c r="BS32" s="20">
        <v>1</v>
      </c>
      <c r="BT32" s="20">
        <v>1</v>
      </c>
      <c r="BX32" s="20">
        <v>22.5</v>
      </c>
      <c r="BY32" s="20">
        <v>4</v>
      </c>
      <c r="BZ32" s="20"/>
      <c r="CA32" s="20"/>
      <c r="CB32" s="20">
        <v>28</v>
      </c>
      <c r="CC32" s="20" t="s">
        <v>17</v>
      </c>
      <c r="CD32" s="20" t="s">
        <v>7</v>
      </c>
      <c r="CE32" s="33">
        <v>3</v>
      </c>
      <c r="CF32" s="20">
        <v>20</v>
      </c>
      <c r="CG32" s="20">
        <v>5</v>
      </c>
      <c r="CH32" s="20" t="s">
        <v>131</v>
      </c>
      <c r="CI32" s="20" t="s">
        <v>144</v>
      </c>
      <c r="CJ32" s="20">
        <v>25</v>
      </c>
      <c r="CK32" s="20">
        <v>19</v>
      </c>
      <c r="CL32" s="20">
        <v>10</v>
      </c>
      <c r="CM32" s="20">
        <v>11</v>
      </c>
      <c r="CN32" s="20" t="s">
        <v>535</v>
      </c>
      <c r="CO32" s="34">
        <v>1</v>
      </c>
      <c r="CP32" s="20">
        <v>10</v>
      </c>
      <c r="CQ32" s="20">
        <v>3</v>
      </c>
      <c r="CR32" s="20" t="s">
        <v>237</v>
      </c>
      <c r="CS32" s="20" t="s">
        <v>154</v>
      </c>
      <c r="CT32" s="20">
        <v>20</v>
      </c>
      <c r="CU32" s="20">
        <v>30</v>
      </c>
      <c r="CV32" s="20">
        <v>17</v>
      </c>
      <c r="CW32" s="20">
        <v>12</v>
      </c>
      <c r="CX32" s="20" t="s">
        <v>536</v>
      </c>
      <c r="CZ32" s="20">
        <v>1</v>
      </c>
      <c r="DA32" s="20">
        <v>0</v>
      </c>
      <c r="DB32" s="20">
        <v>1</v>
      </c>
      <c r="DC32" s="20">
        <v>1</v>
      </c>
      <c r="DD32" s="20">
        <v>0</v>
      </c>
      <c r="DE32" s="20">
        <v>0</v>
      </c>
      <c r="DF32" s="20">
        <v>1</v>
      </c>
      <c r="DG32" s="20">
        <v>1</v>
      </c>
      <c r="DK32" s="20">
        <v>5</v>
      </c>
      <c r="DL32" s="20">
        <v>5</v>
      </c>
      <c r="DO32" s="20">
        <v>28</v>
      </c>
      <c r="DP32" s="20" t="s">
        <v>8</v>
      </c>
      <c r="DQ32" s="20" t="s">
        <v>15</v>
      </c>
      <c r="DR32" s="34">
        <v>0</v>
      </c>
      <c r="DS32" s="20">
        <v>13</v>
      </c>
      <c r="DT32" s="20">
        <v>2</v>
      </c>
      <c r="DU32" s="20" t="s">
        <v>205</v>
      </c>
      <c r="DV32" s="20" t="s">
        <v>168</v>
      </c>
      <c r="DW32" s="20">
        <v>14</v>
      </c>
      <c r="DX32" s="20">
        <v>13</v>
      </c>
      <c r="DY32" s="20">
        <v>7</v>
      </c>
      <c r="DZ32" s="20">
        <v>12</v>
      </c>
      <c r="EA32" s="20" t="s">
        <v>331</v>
      </c>
      <c r="EB32" s="33">
        <v>1</v>
      </c>
      <c r="EC32" s="20">
        <v>10</v>
      </c>
      <c r="ED32" s="20">
        <v>3</v>
      </c>
      <c r="EE32" s="20" t="s">
        <v>237</v>
      </c>
      <c r="EF32" s="20" t="s">
        <v>144</v>
      </c>
      <c r="EG32" s="20">
        <v>16</v>
      </c>
      <c r="EH32" s="20">
        <v>11</v>
      </c>
      <c r="EI32" s="20">
        <v>3</v>
      </c>
      <c r="EJ32" s="20">
        <v>9</v>
      </c>
      <c r="EK32" s="20" t="s">
        <v>330</v>
      </c>
      <c r="EM32" s="20">
        <v>1</v>
      </c>
      <c r="EN32" s="20">
        <v>1</v>
      </c>
      <c r="EO32" s="20">
        <v>0</v>
      </c>
      <c r="EP32" s="20">
        <v>1</v>
      </c>
      <c r="EQ32" s="20">
        <v>0</v>
      </c>
      <c r="ER32" s="20">
        <v>0</v>
      </c>
      <c r="ES32" s="20">
        <v>1</v>
      </c>
      <c r="ET32" s="20">
        <v>0</v>
      </c>
      <c r="EX32" s="20">
        <v>14.62</v>
      </c>
      <c r="EY32" s="20">
        <v>2</v>
      </c>
      <c r="FB32" s="20">
        <v>28</v>
      </c>
      <c r="FC32" s="20" t="s">
        <v>34</v>
      </c>
      <c r="FD32" s="20" t="s">
        <v>9</v>
      </c>
      <c r="FE32" s="33">
        <v>2</v>
      </c>
      <c r="FF32" s="20">
        <v>10</v>
      </c>
      <c r="FG32" s="20">
        <v>6</v>
      </c>
      <c r="FH32" s="20" t="s">
        <v>173</v>
      </c>
      <c r="FI32" s="20" t="s">
        <v>161</v>
      </c>
      <c r="FJ32" s="20">
        <v>30</v>
      </c>
      <c r="FK32" s="20">
        <v>22</v>
      </c>
      <c r="FL32" s="20">
        <v>4</v>
      </c>
      <c r="FM32" s="20">
        <v>17</v>
      </c>
      <c r="FN32" s="20" t="s">
        <v>208</v>
      </c>
      <c r="FO32" s="34">
        <v>0</v>
      </c>
      <c r="FP32" s="20">
        <v>5</v>
      </c>
      <c r="FQ32" s="20">
        <v>1</v>
      </c>
      <c r="FR32" s="20" t="s">
        <v>141</v>
      </c>
      <c r="FS32" s="20" t="s">
        <v>123</v>
      </c>
      <c r="FT32" s="20">
        <v>24</v>
      </c>
      <c r="FU32" s="20">
        <v>13</v>
      </c>
      <c r="FV32" s="20">
        <v>7</v>
      </c>
      <c r="FW32" s="20">
        <v>15</v>
      </c>
      <c r="FX32" s="20" t="s">
        <v>210</v>
      </c>
      <c r="FZ32" s="20">
        <v>1</v>
      </c>
      <c r="GA32" s="20">
        <v>1</v>
      </c>
      <c r="GB32" s="20">
        <v>1</v>
      </c>
      <c r="GC32" s="20">
        <v>1</v>
      </c>
      <c r="GD32" s="20">
        <v>1</v>
      </c>
      <c r="GE32" s="20">
        <v>0</v>
      </c>
      <c r="GF32" s="20">
        <v>0</v>
      </c>
      <c r="GG32" s="20">
        <v>1</v>
      </c>
      <c r="GK32" s="20">
        <v>40</v>
      </c>
      <c r="GL32" s="20">
        <v>6</v>
      </c>
      <c r="GO32" s="20">
        <v>28</v>
      </c>
      <c r="GP32" s="20" t="s">
        <v>6</v>
      </c>
      <c r="GQ32" s="20" t="s">
        <v>10</v>
      </c>
      <c r="GR32" s="34">
        <v>1</v>
      </c>
      <c r="GS32" s="20">
        <v>8</v>
      </c>
      <c r="GT32" s="20">
        <v>3</v>
      </c>
      <c r="GU32" s="20" t="s">
        <v>153</v>
      </c>
      <c r="GV32" s="20" t="s">
        <v>134</v>
      </c>
      <c r="GW32" s="20">
        <v>16</v>
      </c>
      <c r="GX32" s="20">
        <v>9</v>
      </c>
      <c r="GY32" s="20">
        <v>4</v>
      </c>
      <c r="GZ32" s="20">
        <v>14</v>
      </c>
      <c r="HA32" s="20" t="s">
        <v>260</v>
      </c>
      <c r="HB32" s="33">
        <v>7</v>
      </c>
      <c r="HC32" s="20">
        <v>20</v>
      </c>
      <c r="HD32" s="20">
        <v>12</v>
      </c>
      <c r="HE32" s="20" t="s">
        <v>173</v>
      </c>
      <c r="HF32" s="20" t="s">
        <v>258</v>
      </c>
      <c r="HG32" s="20">
        <v>20</v>
      </c>
      <c r="HH32" s="20">
        <v>8</v>
      </c>
      <c r="HI32" s="20">
        <v>8</v>
      </c>
      <c r="HJ32" s="20">
        <v>10</v>
      </c>
      <c r="HK32" s="20" t="s">
        <v>262</v>
      </c>
      <c r="HM32" s="20">
        <v>1</v>
      </c>
      <c r="HN32" s="20">
        <v>1</v>
      </c>
      <c r="HO32" s="20">
        <v>1</v>
      </c>
      <c r="HP32" s="20">
        <v>1</v>
      </c>
      <c r="HQ32" s="20">
        <v>0</v>
      </c>
      <c r="HR32" s="20">
        <v>1</v>
      </c>
      <c r="HS32" s="20">
        <v>1</v>
      </c>
      <c r="HT32" s="20">
        <v>1</v>
      </c>
      <c r="HX32" s="20">
        <v>22.5</v>
      </c>
      <c r="HY32" s="20">
        <v>4</v>
      </c>
      <c r="IB32" s="20">
        <v>28</v>
      </c>
      <c r="IC32" s="20" t="s">
        <v>22</v>
      </c>
      <c r="ID32" s="20" t="s">
        <v>11</v>
      </c>
      <c r="IE32" s="32">
        <v>1</v>
      </c>
      <c r="IF32" s="20">
        <v>7</v>
      </c>
      <c r="IG32" s="20">
        <v>4</v>
      </c>
      <c r="IH32" s="20" t="s">
        <v>226</v>
      </c>
      <c r="II32" s="20" t="s">
        <v>142</v>
      </c>
      <c r="IJ32" s="20">
        <v>18</v>
      </c>
      <c r="IK32" s="20">
        <v>12</v>
      </c>
      <c r="IL32" s="20">
        <v>8</v>
      </c>
      <c r="IM32" s="20">
        <v>9</v>
      </c>
      <c r="IN32" s="20" t="s">
        <v>439</v>
      </c>
      <c r="IO32" s="32">
        <v>1</v>
      </c>
      <c r="IP32" s="20">
        <v>14</v>
      </c>
      <c r="IQ32" s="20">
        <v>4</v>
      </c>
      <c r="IR32" s="20" t="s">
        <v>170</v>
      </c>
      <c r="IS32" s="20" t="s">
        <v>219</v>
      </c>
      <c r="IT32" s="20">
        <v>20</v>
      </c>
      <c r="IU32" s="20">
        <v>7</v>
      </c>
      <c r="IV32" s="20">
        <v>14</v>
      </c>
      <c r="IW32" s="20">
        <v>11</v>
      </c>
      <c r="IX32" s="20" t="s">
        <v>440</v>
      </c>
      <c r="IZ32" s="32">
        <v>0</v>
      </c>
      <c r="JA32" s="32">
        <v>0</v>
      </c>
      <c r="JB32" s="32">
        <v>0</v>
      </c>
      <c r="JC32" s="32">
        <v>1</v>
      </c>
      <c r="JD32" s="32">
        <v>0</v>
      </c>
      <c r="JE32" s="32">
        <v>1</v>
      </c>
      <c r="JF32" s="32">
        <v>0</v>
      </c>
      <c r="JG32" s="32">
        <v>0</v>
      </c>
      <c r="JK32" s="32">
        <v>28.57</v>
      </c>
      <c r="JL32" s="32">
        <v>2</v>
      </c>
      <c r="JO32" s="20">
        <v>28</v>
      </c>
      <c r="JP32" s="20" t="s">
        <v>16</v>
      </c>
      <c r="JQ32" s="20" t="s">
        <v>12</v>
      </c>
      <c r="JR32" s="32">
        <v>3</v>
      </c>
      <c r="JS32" s="20">
        <v>5</v>
      </c>
      <c r="JT32" s="20">
        <v>2</v>
      </c>
      <c r="JU32" s="20" t="s">
        <v>133</v>
      </c>
      <c r="JV32" s="20" t="s">
        <v>219</v>
      </c>
      <c r="JW32" s="20">
        <v>7</v>
      </c>
      <c r="JX32" s="20">
        <v>23</v>
      </c>
      <c r="JY32" s="20">
        <v>4</v>
      </c>
      <c r="JZ32" s="20">
        <v>6</v>
      </c>
      <c r="KA32" s="20" t="s">
        <v>322</v>
      </c>
      <c r="KB32" s="32">
        <v>3</v>
      </c>
      <c r="KC32" s="20">
        <v>14</v>
      </c>
      <c r="KD32" s="20">
        <v>7</v>
      </c>
      <c r="KE32" s="20" t="s">
        <v>125</v>
      </c>
      <c r="KF32" s="20" t="s">
        <v>154</v>
      </c>
      <c r="KG32" s="20">
        <v>11</v>
      </c>
      <c r="KH32" s="20">
        <v>17</v>
      </c>
      <c r="KI32" s="20">
        <v>7</v>
      </c>
      <c r="KJ32" s="20">
        <v>3</v>
      </c>
      <c r="KK32" s="20" t="s">
        <v>321</v>
      </c>
      <c r="KM32" s="32">
        <v>1</v>
      </c>
      <c r="KN32" s="32">
        <v>1</v>
      </c>
      <c r="KO32" s="32">
        <v>1</v>
      </c>
      <c r="KP32" s="32">
        <v>1</v>
      </c>
      <c r="KQ32" s="32">
        <v>0</v>
      </c>
      <c r="KR32" s="32">
        <v>1</v>
      </c>
      <c r="KS32" s="32">
        <v>1</v>
      </c>
      <c r="KT32" s="32">
        <v>1</v>
      </c>
      <c r="KX32" s="32">
        <v>10</v>
      </c>
      <c r="KY32" s="32">
        <v>4</v>
      </c>
      <c r="LB32" s="20">
        <v>28</v>
      </c>
      <c r="LC32" s="20" t="s">
        <v>13</v>
      </c>
      <c r="LD32" s="20" t="s">
        <v>23</v>
      </c>
      <c r="LE32" s="32">
        <v>1</v>
      </c>
      <c r="LF32" s="20">
        <v>15</v>
      </c>
      <c r="LG32" s="20">
        <v>3</v>
      </c>
      <c r="LH32" s="20" t="s">
        <v>141</v>
      </c>
      <c r="LI32" s="20" t="s">
        <v>144</v>
      </c>
      <c r="LJ32" s="20">
        <v>23</v>
      </c>
      <c r="LK32" s="20">
        <v>11</v>
      </c>
      <c r="LL32" s="20">
        <v>6</v>
      </c>
      <c r="LM32" s="20">
        <v>10</v>
      </c>
      <c r="LN32" s="20" t="s">
        <v>362</v>
      </c>
      <c r="LO32" s="32">
        <v>1</v>
      </c>
      <c r="LP32" s="20">
        <v>10</v>
      </c>
      <c r="LQ32" s="20">
        <v>3</v>
      </c>
      <c r="LR32" s="20" t="s">
        <v>237</v>
      </c>
      <c r="LS32" s="20" t="s">
        <v>203</v>
      </c>
      <c r="LT32" s="20">
        <v>20</v>
      </c>
      <c r="LU32" s="20">
        <v>15</v>
      </c>
      <c r="LV32" s="20">
        <v>6</v>
      </c>
      <c r="LW32" s="20">
        <v>14</v>
      </c>
      <c r="LX32" s="20" t="s">
        <v>363</v>
      </c>
      <c r="LZ32" s="32">
        <v>0</v>
      </c>
      <c r="MA32" s="32">
        <v>0</v>
      </c>
      <c r="MB32" s="32">
        <v>1</v>
      </c>
      <c r="MC32" s="32">
        <v>1</v>
      </c>
      <c r="MD32" s="32">
        <v>0</v>
      </c>
      <c r="ME32" s="32">
        <v>0</v>
      </c>
      <c r="MF32" s="32">
        <v>1</v>
      </c>
      <c r="MG32" s="32">
        <v>1</v>
      </c>
      <c r="MK32" s="32">
        <v>10</v>
      </c>
      <c r="ML32" s="32">
        <v>3</v>
      </c>
      <c r="MO32" s="20">
        <v>28</v>
      </c>
      <c r="MP32" s="20" t="s">
        <v>14</v>
      </c>
      <c r="MQ32" s="20" t="s">
        <v>20</v>
      </c>
      <c r="MR32" s="33">
        <v>2</v>
      </c>
      <c r="MS32" s="20">
        <v>11</v>
      </c>
      <c r="MT32" s="20">
        <v>4</v>
      </c>
      <c r="MU32" s="20" t="s">
        <v>249</v>
      </c>
      <c r="MV32" s="20" t="s">
        <v>142</v>
      </c>
      <c r="MW32" s="20">
        <v>10</v>
      </c>
      <c r="MX32" s="20">
        <v>21</v>
      </c>
      <c r="MY32" s="20">
        <v>7</v>
      </c>
      <c r="MZ32" s="20">
        <v>13</v>
      </c>
      <c r="NA32" s="20" t="s">
        <v>160</v>
      </c>
      <c r="NB32" s="34">
        <v>0</v>
      </c>
      <c r="NC32" s="20">
        <v>10</v>
      </c>
      <c r="ND32" s="20">
        <v>4</v>
      </c>
      <c r="NE32" s="20" t="s">
        <v>133</v>
      </c>
      <c r="NF32" s="20" t="s">
        <v>134</v>
      </c>
      <c r="NG32" s="20">
        <v>17</v>
      </c>
      <c r="NH32" s="20">
        <v>16</v>
      </c>
      <c r="NI32" s="20">
        <v>7</v>
      </c>
      <c r="NJ32" s="20">
        <v>3</v>
      </c>
      <c r="NK32" s="20" t="s">
        <v>162</v>
      </c>
      <c r="NM32" s="20">
        <v>0</v>
      </c>
      <c r="NN32" s="20">
        <v>0</v>
      </c>
      <c r="NO32" s="20">
        <v>0</v>
      </c>
      <c r="NP32" s="20">
        <v>0</v>
      </c>
      <c r="NQ32" s="20">
        <v>1</v>
      </c>
      <c r="NR32" s="20">
        <v>0</v>
      </c>
      <c r="NS32" s="20">
        <v>0</v>
      </c>
      <c r="NT32" s="20">
        <v>0</v>
      </c>
      <c r="NX32" s="20">
        <v>3.64</v>
      </c>
      <c r="NY32" s="20">
        <v>7</v>
      </c>
      <c r="OB32" s="20">
        <v>28</v>
      </c>
      <c r="OC32" s="20" t="s">
        <v>8</v>
      </c>
      <c r="OD32" s="20" t="s">
        <v>15</v>
      </c>
      <c r="OE32" s="33">
        <v>1</v>
      </c>
      <c r="OF32" s="20">
        <v>10</v>
      </c>
      <c r="OG32" s="20">
        <v>3</v>
      </c>
      <c r="OH32" s="20" t="s">
        <v>237</v>
      </c>
      <c r="OI32" s="20" t="s">
        <v>144</v>
      </c>
      <c r="OJ32" s="20">
        <v>16</v>
      </c>
      <c r="OK32" s="20">
        <v>11</v>
      </c>
      <c r="OL32" s="20">
        <v>3</v>
      </c>
      <c r="OM32" s="20">
        <v>9</v>
      </c>
      <c r="ON32" s="20" t="s">
        <v>330</v>
      </c>
      <c r="OO32" s="34">
        <v>0</v>
      </c>
      <c r="OP32" s="20">
        <v>13</v>
      </c>
      <c r="OQ32" s="20">
        <v>2</v>
      </c>
      <c r="OR32" s="20" t="s">
        <v>205</v>
      </c>
      <c r="OS32" s="20" t="s">
        <v>168</v>
      </c>
      <c r="OT32" s="20">
        <v>14</v>
      </c>
      <c r="OU32" s="20">
        <v>13</v>
      </c>
      <c r="OV32" s="20">
        <v>7</v>
      </c>
      <c r="OW32" s="20">
        <v>12</v>
      </c>
      <c r="OX32" s="20" t="s">
        <v>331</v>
      </c>
      <c r="OZ32" s="20">
        <v>1</v>
      </c>
      <c r="PA32" s="20">
        <v>1</v>
      </c>
      <c r="PB32" s="20">
        <v>0</v>
      </c>
      <c r="PC32" s="20">
        <v>1</v>
      </c>
      <c r="PD32" s="20">
        <v>0</v>
      </c>
      <c r="PE32" s="20">
        <v>0</v>
      </c>
      <c r="PF32" s="20">
        <v>1</v>
      </c>
      <c r="PG32" s="20">
        <v>0</v>
      </c>
      <c r="PK32" s="20">
        <v>14.62</v>
      </c>
      <c r="PL32" s="20">
        <v>2</v>
      </c>
      <c r="PO32" s="20">
        <v>28</v>
      </c>
      <c r="PP32" s="20" t="s">
        <v>17</v>
      </c>
      <c r="PQ32" s="20" t="s">
        <v>7</v>
      </c>
      <c r="PR32" s="34">
        <v>1</v>
      </c>
      <c r="PS32" s="20">
        <v>10</v>
      </c>
      <c r="PT32" s="20">
        <v>3</v>
      </c>
      <c r="PU32" s="20" t="s">
        <v>237</v>
      </c>
      <c r="PV32" s="20" t="s">
        <v>154</v>
      </c>
      <c r="PW32" s="20">
        <v>20</v>
      </c>
      <c r="PX32" s="20">
        <v>30</v>
      </c>
      <c r="PY32" s="20">
        <v>17</v>
      </c>
      <c r="PZ32" s="20">
        <v>12</v>
      </c>
      <c r="QA32" s="20" t="s">
        <v>536</v>
      </c>
      <c r="QB32" s="33">
        <v>3</v>
      </c>
      <c r="QC32" s="20">
        <v>20</v>
      </c>
      <c r="QD32" s="20">
        <v>5</v>
      </c>
      <c r="QE32" s="20" t="s">
        <v>131</v>
      </c>
      <c r="QF32" s="20" t="s">
        <v>144</v>
      </c>
      <c r="QG32" s="20">
        <v>25</v>
      </c>
      <c r="QH32" s="20">
        <v>19</v>
      </c>
      <c r="QI32" s="20">
        <v>10</v>
      </c>
      <c r="QJ32" s="20">
        <v>11</v>
      </c>
      <c r="QK32" s="20" t="s">
        <v>535</v>
      </c>
      <c r="QM32" s="20">
        <v>1</v>
      </c>
      <c r="QN32" s="20">
        <v>0</v>
      </c>
      <c r="QO32" s="20">
        <v>1</v>
      </c>
      <c r="QP32" s="20">
        <v>1</v>
      </c>
      <c r="QQ32" s="20">
        <v>0</v>
      </c>
      <c r="QR32" s="20">
        <v>0</v>
      </c>
      <c r="QS32" s="20">
        <v>1</v>
      </c>
      <c r="QT32" s="20">
        <v>1</v>
      </c>
      <c r="QX32" s="20">
        <v>5</v>
      </c>
      <c r="QY32" s="20">
        <v>5</v>
      </c>
      <c r="RB32" s="20">
        <v>28</v>
      </c>
      <c r="RC32" s="20" t="s">
        <v>18</v>
      </c>
      <c r="RD32" s="20" t="s">
        <v>21</v>
      </c>
      <c r="RE32" s="33">
        <v>2</v>
      </c>
      <c r="RF32" s="20">
        <v>9</v>
      </c>
      <c r="RG32" s="20">
        <v>8</v>
      </c>
      <c r="RH32" s="20" t="s">
        <v>177</v>
      </c>
      <c r="RI32" s="20" t="s">
        <v>126</v>
      </c>
      <c r="RJ32" s="20">
        <v>21</v>
      </c>
      <c r="RK32" s="20">
        <v>16</v>
      </c>
      <c r="RL32" s="20">
        <v>8</v>
      </c>
      <c r="RM32" s="20">
        <v>8</v>
      </c>
      <c r="RN32" s="20" t="s">
        <v>157</v>
      </c>
      <c r="RO32" s="34">
        <v>1</v>
      </c>
      <c r="RP32" s="20">
        <v>7</v>
      </c>
      <c r="RQ32" s="20">
        <v>1</v>
      </c>
      <c r="RR32" s="20" t="s">
        <v>164</v>
      </c>
      <c r="RS32" s="20" t="s">
        <v>168</v>
      </c>
      <c r="RT32" s="20">
        <v>15</v>
      </c>
      <c r="RU32" s="20">
        <v>17</v>
      </c>
      <c r="RV32" s="20">
        <v>9</v>
      </c>
      <c r="RW32" s="20">
        <v>11</v>
      </c>
      <c r="RX32" s="20" t="s">
        <v>159</v>
      </c>
      <c r="RZ32" s="20">
        <v>1</v>
      </c>
      <c r="SA32" s="20">
        <v>1</v>
      </c>
      <c r="SB32" s="20">
        <v>0</v>
      </c>
      <c r="SC32" s="20">
        <v>1</v>
      </c>
      <c r="SD32" s="20">
        <v>0</v>
      </c>
      <c r="SE32" s="20">
        <v>0</v>
      </c>
      <c r="SF32" s="20">
        <v>1</v>
      </c>
      <c r="SG32" s="20">
        <v>0</v>
      </c>
      <c r="SK32" s="20">
        <v>74.599999999999994</v>
      </c>
      <c r="SL32" s="20">
        <v>6</v>
      </c>
      <c r="SO32" s="20">
        <v>28</v>
      </c>
      <c r="SP32" s="20" t="s">
        <v>19</v>
      </c>
      <c r="SQ32" s="20" t="s">
        <v>5</v>
      </c>
      <c r="SR32" s="34">
        <v>0</v>
      </c>
      <c r="SS32" s="20">
        <v>7</v>
      </c>
      <c r="ST32" s="20">
        <v>0</v>
      </c>
      <c r="SU32" s="20" t="s">
        <v>116</v>
      </c>
      <c r="SV32" s="20" t="s">
        <v>219</v>
      </c>
      <c r="SW32" s="20">
        <v>18</v>
      </c>
      <c r="SX32" s="20">
        <v>9</v>
      </c>
      <c r="SY32" s="20">
        <v>1</v>
      </c>
      <c r="SZ32" s="20">
        <v>8</v>
      </c>
      <c r="TA32" s="20" t="s">
        <v>201</v>
      </c>
      <c r="TB32" s="33">
        <v>4</v>
      </c>
      <c r="TC32" s="20">
        <v>10</v>
      </c>
      <c r="TD32" s="20">
        <v>7</v>
      </c>
      <c r="TE32" s="20" t="s">
        <v>419</v>
      </c>
      <c r="TF32" s="20" t="s">
        <v>343</v>
      </c>
      <c r="TG32" s="20">
        <v>15</v>
      </c>
      <c r="TH32" s="20">
        <v>7</v>
      </c>
      <c r="TI32" s="20">
        <v>6</v>
      </c>
      <c r="TJ32" s="20">
        <v>12</v>
      </c>
      <c r="TK32" s="20" t="s">
        <v>151</v>
      </c>
      <c r="TM32" s="20">
        <v>1</v>
      </c>
      <c r="TN32" s="20">
        <v>1</v>
      </c>
      <c r="TO32" s="20">
        <v>1</v>
      </c>
      <c r="TP32" s="20">
        <v>0</v>
      </c>
      <c r="TQ32" s="20">
        <v>0</v>
      </c>
      <c r="TR32" s="20">
        <v>1</v>
      </c>
      <c r="TS32" s="20">
        <v>0</v>
      </c>
      <c r="TT32" s="20">
        <v>1</v>
      </c>
      <c r="TX32" s="20">
        <v>70</v>
      </c>
      <c r="TY32" s="20">
        <v>3</v>
      </c>
      <c r="UB32" s="20">
        <v>28</v>
      </c>
      <c r="UC32" s="20" t="s">
        <v>16</v>
      </c>
      <c r="UD32" s="20" t="s">
        <v>12</v>
      </c>
      <c r="UE32" s="32">
        <v>3</v>
      </c>
      <c r="UF32" s="20">
        <v>14</v>
      </c>
      <c r="UG32" s="20">
        <v>7</v>
      </c>
      <c r="UH32" s="20" t="s">
        <v>125</v>
      </c>
      <c r="UI32" s="20" t="s">
        <v>154</v>
      </c>
      <c r="UJ32" s="20">
        <v>11</v>
      </c>
      <c r="UK32" s="20">
        <v>17</v>
      </c>
      <c r="UL32" s="20">
        <v>7</v>
      </c>
      <c r="UM32" s="20">
        <v>3</v>
      </c>
      <c r="UN32" s="20" t="s">
        <v>321</v>
      </c>
      <c r="UO32" s="32">
        <v>3</v>
      </c>
      <c r="UP32" s="20">
        <v>5</v>
      </c>
      <c r="UQ32" s="20">
        <v>2</v>
      </c>
      <c r="UR32" s="20" t="s">
        <v>133</v>
      </c>
      <c r="US32" s="20" t="s">
        <v>219</v>
      </c>
      <c r="UT32" s="20">
        <v>7</v>
      </c>
      <c r="UU32" s="20">
        <v>23</v>
      </c>
      <c r="UV32" s="20">
        <v>4</v>
      </c>
      <c r="UW32" s="20">
        <v>6</v>
      </c>
      <c r="UX32" s="20" t="s">
        <v>322</v>
      </c>
      <c r="UZ32" s="32">
        <v>1</v>
      </c>
      <c r="VA32" s="32">
        <v>1</v>
      </c>
      <c r="VB32" s="32">
        <v>1</v>
      </c>
      <c r="VC32" s="32">
        <v>1</v>
      </c>
      <c r="VD32" s="32">
        <v>0</v>
      </c>
      <c r="VE32" s="32">
        <v>1</v>
      </c>
      <c r="VF32" s="32">
        <v>1</v>
      </c>
      <c r="VG32" s="32">
        <v>1</v>
      </c>
      <c r="VK32" s="32">
        <v>10</v>
      </c>
      <c r="VL32" s="32">
        <v>4</v>
      </c>
      <c r="VO32" s="20">
        <v>28</v>
      </c>
      <c r="VP32" s="20" t="s">
        <v>14</v>
      </c>
      <c r="VQ32" s="20" t="s">
        <v>20</v>
      </c>
      <c r="VR32" s="34">
        <v>0</v>
      </c>
      <c r="VS32" s="20">
        <v>10</v>
      </c>
      <c r="VT32" s="20">
        <v>4</v>
      </c>
      <c r="VU32" s="20" t="s">
        <v>133</v>
      </c>
      <c r="VV32" s="20" t="s">
        <v>134</v>
      </c>
      <c r="VW32" s="20">
        <v>17</v>
      </c>
      <c r="VX32" s="20">
        <v>16</v>
      </c>
      <c r="VY32" s="20">
        <v>7</v>
      </c>
      <c r="VZ32" s="20">
        <v>3</v>
      </c>
      <c r="WA32" s="20" t="s">
        <v>162</v>
      </c>
      <c r="WB32" s="33">
        <v>2</v>
      </c>
      <c r="WC32" s="20">
        <v>11</v>
      </c>
      <c r="WD32" s="20">
        <v>4</v>
      </c>
      <c r="WE32" s="20" t="s">
        <v>249</v>
      </c>
      <c r="WF32" s="20" t="s">
        <v>142</v>
      </c>
      <c r="WG32" s="20">
        <v>10</v>
      </c>
      <c r="WH32" s="20">
        <v>21</v>
      </c>
      <c r="WI32" s="20">
        <v>7</v>
      </c>
      <c r="WJ32" s="20">
        <v>13</v>
      </c>
      <c r="WK32" s="20" t="s">
        <v>160</v>
      </c>
      <c r="WM32" s="20">
        <v>0</v>
      </c>
      <c r="WN32" s="20">
        <v>0</v>
      </c>
      <c r="WO32" s="20">
        <v>0</v>
      </c>
      <c r="WP32" s="20">
        <v>0</v>
      </c>
      <c r="WQ32" s="20">
        <v>1</v>
      </c>
      <c r="WR32" s="20">
        <v>0</v>
      </c>
      <c r="WS32" s="20">
        <v>0</v>
      </c>
      <c r="WT32" s="20">
        <v>0</v>
      </c>
      <c r="WX32" s="20">
        <v>3.64</v>
      </c>
      <c r="WY32" s="20">
        <v>7</v>
      </c>
      <c r="XB32" s="20">
        <v>28</v>
      </c>
      <c r="XC32" s="20" t="s">
        <v>34</v>
      </c>
      <c r="XD32" s="20" t="s">
        <v>9</v>
      </c>
      <c r="XE32" s="34">
        <v>0</v>
      </c>
      <c r="XF32" s="20">
        <v>5</v>
      </c>
      <c r="XG32" s="20">
        <v>1</v>
      </c>
      <c r="XH32" s="20" t="s">
        <v>141</v>
      </c>
      <c r="XI32" s="20" t="s">
        <v>123</v>
      </c>
      <c r="XJ32" s="20">
        <v>24</v>
      </c>
      <c r="XK32" s="20">
        <v>13</v>
      </c>
      <c r="XL32" s="20">
        <v>7</v>
      </c>
      <c r="XM32" s="20">
        <v>15</v>
      </c>
      <c r="XN32" s="20" t="s">
        <v>210</v>
      </c>
      <c r="XO32" s="33">
        <v>2</v>
      </c>
      <c r="XP32" s="20">
        <v>10</v>
      </c>
      <c r="XQ32" s="20">
        <v>6</v>
      </c>
      <c r="XR32" s="20" t="s">
        <v>173</v>
      </c>
      <c r="XS32" s="20" t="s">
        <v>161</v>
      </c>
      <c r="XT32" s="20">
        <v>30</v>
      </c>
      <c r="XU32" s="20">
        <v>22</v>
      </c>
      <c r="XV32" s="20">
        <v>4</v>
      </c>
      <c r="XW32" s="20">
        <v>17</v>
      </c>
      <c r="XX32" s="20" t="s">
        <v>208</v>
      </c>
      <c r="XZ32" s="20">
        <v>1</v>
      </c>
      <c r="YA32" s="20">
        <v>1</v>
      </c>
      <c r="YB32" s="20">
        <v>1</v>
      </c>
      <c r="YC32" s="20">
        <v>1</v>
      </c>
      <c r="YD32" s="20">
        <v>1</v>
      </c>
      <c r="YE32" s="20">
        <v>0</v>
      </c>
      <c r="YF32" s="20">
        <v>0</v>
      </c>
      <c r="YG32" s="20">
        <v>1</v>
      </c>
      <c r="YK32" s="20">
        <v>40</v>
      </c>
      <c r="YL32" s="20">
        <v>6</v>
      </c>
      <c r="YO32" s="20">
        <v>28</v>
      </c>
      <c r="YP32" s="20" t="s">
        <v>18</v>
      </c>
      <c r="YQ32" s="20" t="s">
        <v>21</v>
      </c>
      <c r="YR32" s="34">
        <v>1</v>
      </c>
      <c r="YS32" s="20">
        <v>7</v>
      </c>
      <c r="YT32" s="20">
        <v>1</v>
      </c>
      <c r="YU32" s="20" t="s">
        <v>164</v>
      </c>
      <c r="YV32" s="20" t="s">
        <v>168</v>
      </c>
      <c r="YW32" s="20">
        <v>15</v>
      </c>
      <c r="YX32" s="20">
        <v>17</v>
      </c>
      <c r="YY32" s="20">
        <v>9</v>
      </c>
      <c r="YZ32" s="20">
        <v>11</v>
      </c>
      <c r="ZA32" s="20" t="s">
        <v>159</v>
      </c>
      <c r="ZB32" s="33">
        <v>2</v>
      </c>
      <c r="ZC32" s="20">
        <v>9</v>
      </c>
      <c r="ZD32" s="20">
        <v>8</v>
      </c>
      <c r="ZE32" s="20" t="s">
        <v>177</v>
      </c>
      <c r="ZF32" s="20" t="s">
        <v>126</v>
      </c>
      <c r="ZG32" s="20">
        <v>21</v>
      </c>
      <c r="ZH32" s="20">
        <v>16</v>
      </c>
      <c r="ZI32" s="20">
        <v>8</v>
      </c>
      <c r="ZJ32" s="20">
        <v>8</v>
      </c>
      <c r="ZK32" s="20" t="s">
        <v>157</v>
      </c>
      <c r="ZM32" s="20">
        <v>1</v>
      </c>
      <c r="ZN32" s="20">
        <v>1</v>
      </c>
      <c r="ZO32" s="20">
        <v>0</v>
      </c>
      <c r="ZP32" s="20">
        <v>1</v>
      </c>
      <c r="ZQ32" s="20">
        <v>0</v>
      </c>
      <c r="ZR32" s="20">
        <v>0</v>
      </c>
      <c r="ZS32" s="20">
        <v>1</v>
      </c>
      <c r="ZT32" s="20">
        <v>0</v>
      </c>
      <c r="ZX32" s="20">
        <v>74.599999999999994</v>
      </c>
      <c r="ZY32" s="20">
        <v>6</v>
      </c>
      <c r="AAB32" s="20">
        <v>28</v>
      </c>
      <c r="AAC32" s="20" t="s">
        <v>22</v>
      </c>
      <c r="AAD32" s="20" t="s">
        <v>11</v>
      </c>
      <c r="AAE32" s="32">
        <v>1</v>
      </c>
      <c r="AAF32" s="20">
        <v>14</v>
      </c>
      <c r="AAG32" s="20">
        <v>4</v>
      </c>
      <c r="AAH32" s="20" t="s">
        <v>170</v>
      </c>
      <c r="AAI32" s="20" t="s">
        <v>219</v>
      </c>
      <c r="AAJ32" s="20">
        <v>20</v>
      </c>
      <c r="AAK32" s="20">
        <v>7</v>
      </c>
      <c r="AAL32" s="20">
        <v>14</v>
      </c>
      <c r="AAM32" s="20">
        <v>11</v>
      </c>
      <c r="AAN32" s="20" t="s">
        <v>440</v>
      </c>
      <c r="AAO32" s="32">
        <v>1</v>
      </c>
      <c r="AAP32" s="20">
        <v>7</v>
      </c>
      <c r="AAQ32" s="20">
        <v>4</v>
      </c>
      <c r="AAR32" s="20" t="s">
        <v>226</v>
      </c>
      <c r="AAS32" s="20" t="s">
        <v>142</v>
      </c>
      <c r="AAT32" s="20">
        <v>18</v>
      </c>
      <c r="AAU32" s="20">
        <v>12</v>
      </c>
      <c r="AAV32" s="20">
        <v>8</v>
      </c>
      <c r="AAW32" s="20">
        <v>9</v>
      </c>
      <c r="AAX32" s="20" t="s">
        <v>439</v>
      </c>
      <c r="AAZ32" s="32">
        <v>0</v>
      </c>
      <c r="ABA32" s="32">
        <v>0</v>
      </c>
      <c r="ABB32" s="32">
        <v>0</v>
      </c>
      <c r="ABC32" s="32">
        <v>1</v>
      </c>
      <c r="ABD32" s="32">
        <v>0</v>
      </c>
      <c r="ABE32" s="32">
        <v>1</v>
      </c>
      <c r="ABF32" s="32">
        <v>0</v>
      </c>
      <c r="ABG32" s="32">
        <v>0</v>
      </c>
      <c r="ABK32" s="32">
        <v>28.57</v>
      </c>
      <c r="ABL32" s="32">
        <v>2</v>
      </c>
      <c r="ABO32" s="20">
        <v>28</v>
      </c>
      <c r="ABP32" s="20" t="s">
        <v>13</v>
      </c>
      <c r="ABQ32" s="20" t="s">
        <v>23</v>
      </c>
      <c r="ABR32" s="32">
        <v>1</v>
      </c>
      <c r="ABS32" s="20">
        <v>10</v>
      </c>
      <c r="ABT32" s="20">
        <v>3</v>
      </c>
      <c r="ABU32" s="20" t="s">
        <v>237</v>
      </c>
      <c r="ABV32" s="20" t="s">
        <v>203</v>
      </c>
      <c r="ABW32" s="20">
        <v>20</v>
      </c>
      <c r="ABX32" s="20">
        <v>15</v>
      </c>
      <c r="ABY32" s="20">
        <v>6</v>
      </c>
      <c r="ABZ32" s="20">
        <v>14</v>
      </c>
      <c r="ACA32" s="20" t="s">
        <v>363</v>
      </c>
      <c r="ACB32" s="32">
        <v>1</v>
      </c>
      <c r="ACC32" s="20">
        <v>15</v>
      </c>
      <c r="ACD32" s="20">
        <v>3</v>
      </c>
      <c r="ACE32" s="20" t="s">
        <v>141</v>
      </c>
      <c r="ACF32" s="20" t="s">
        <v>144</v>
      </c>
      <c r="ACG32" s="20">
        <v>23</v>
      </c>
      <c r="ACH32" s="20">
        <v>11</v>
      </c>
      <c r="ACI32" s="20">
        <v>6</v>
      </c>
      <c r="ACJ32" s="20">
        <v>10</v>
      </c>
      <c r="ACK32" s="20" t="s">
        <v>362</v>
      </c>
      <c r="ACM32" s="32">
        <v>0</v>
      </c>
      <c r="ACN32" s="32">
        <v>0</v>
      </c>
      <c r="ACO32" s="32">
        <v>1</v>
      </c>
      <c r="ACP32" s="32">
        <v>1</v>
      </c>
      <c r="ACQ32" s="32">
        <v>0</v>
      </c>
      <c r="ACR32" s="32">
        <v>0</v>
      </c>
      <c r="ACS32" s="32">
        <v>1</v>
      </c>
      <c r="ACT32" s="32">
        <v>1</v>
      </c>
      <c r="ACX32" s="32">
        <v>10</v>
      </c>
      <c r="ACY32" s="32">
        <v>3</v>
      </c>
    </row>
    <row r="33" spans="1:781" x14ac:dyDescent="0.3">
      <c r="A33" s="27">
        <f>E33/G33</f>
        <v>0.66666666666666663</v>
      </c>
      <c r="B33" s="20">
        <v>29</v>
      </c>
      <c r="C33" s="20" t="s">
        <v>5</v>
      </c>
      <c r="D33" s="20" t="s">
        <v>22</v>
      </c>
      <c r="E33" s="33">
        <v>6</v>
      </c>
      <c r="F33" s="20">
        <v>16</v>
      </c>
      <c r="G33" s="30">
        <v>9</v>
      </c>
      <c r="H33" s="27">
        <v>0.5625</v>
      </c>
      <c r="I33" s="28">
        <v>0.9</v>
      </c>
      <c r="J33" s="20">
        <v>21</v>
      </c>
      <c r="K33" s="20">
        <v>6</v>
      </c>
      <c r="L33" s="20">
        <v>15</v>
      </c>
      <c r="M33" s="30">
        <v>16</v>
      </c>
      <c r="N33" s="27">
        <v>0.70299999999999996</v>
      </c>
      <c r="O33" s="34">
        <v>0</v>
      </c>
      <c r="P33" s="20">
        <v>6</v>
      </c>
      <c r="Q33" s="30">
        <v>1</v>
      </c>
      <c r="R33" s="27">
        <v>0.16669999999999999</v>
      </c>
      <c r="S33" s="28">
        <v>0.76</v>
      </c>
      <c r="T33" s="20">
        <v>30</v>
      </c>
      <c r="U33" s="20">
        <v>5</v>
      </c>
      <c r="V33" s="20">
        <v>11</v>
      </c>
      <c r="W33" s="30">
        <v>8</v>
      </c>
      <c r="X33" s="27">
        <v>0.29699999999999999</v>
      </c>
      <c r="Z33" s="20">
        <v>1</v>
      </c>
      <c r="AA33" s="20">
        <v>1</v>
      </c>
      <c r="AB33" s="20">
        <v>1</v>
      </c>
      <c r="AC33" s="20">
        <v>0</v>
      </c>
      <c r="AD33" s="20">
        <v>1</v>
      </c>
      <c r="AE33" s="20">
        <v>1</v>
      </c>
      <c r="AF33" s="20">
        <v>0</v>
      </c>
      <c r="AG33" s="20">
        <v>1</v>
      </c>
      <c r="AK33" s="20">
        <v>39.58</v>
      </c>
      <c r="AL33" s="20">
        <v>9</v>
      </c>
      <c r="AM33" s="20"/>
      <c r="AN33" s="20"/>
      <c r="AO33" s="20">
        <v>29</v>
      </c>
      <c r="AP33" s="20" t="s">
        <v>15</v>
      </c>
      <c r="AQ33" s="20" t="s">
        <v>6</v>
      </c>
      <c r="AR33" s="33">
        <v>2</v>
      </c>
      <c r="AS33" s="30">
        <v>12</v>
      </c>
      <c r="AT33" s="30">
        <v>4</v>
      </c>
      <c r="AU33" s="27">
        <v>0.33329999999999999</v>
      </c>
      <c r="AV33" s="28">
        <v>0.86</v>
      </c>
      <c r="AW33" s="20">
        <v>12</v>
      </c>
      <c r="AX33" s="20">
        <v>12</v>
      </c>
      <c r="AY33" s="30">
        <v>15</v>
      </c>
      <c r="AZ33" s="20">
        <v>11</v>
      </c>
      <c r="BA33" s="27">
        <v>0.48299999999999998</v>
      </c>
      <c r="BB33" s="34">
        <v>1</v>
      </c>
      <c r="BC33" s="20">
        <v>15</v>
      </c>
      <c r="BD33" s="20">
        <v>6</v>
      </c>
      <c r="BE33" s="20" t="s">
        <v>133</v>
      </c>
      <c r="BF33" s="20" t="s">
        <v>230</v>
      </c>
      <c r="BG33" s="20">
        <v>13</v>
      </c>
      <c r="BH33" s="20">
        <v>15</v>
      </c>
      <c r="BI33" s="20">
        <v>10</v>
      </c>
      <c r="BJ33" s="20">
        <v>9</v>
      </c>
      <c r="BK33" s="20" t="s">
        <v>359</v>
      </c>
      <c r="BM33" s="20">
        <v>0</v>
      </c>
      <c r="BN33" s="20">
        <v>0</v>
      </c>
      <c r="BO33" s="20">
        <v>1</v>
      </c>
      <c r="BP33" s="20">
        <v>0</v>
      </c>
      <c r="BQ33" s="20">
        <v>0</v>
      </c>
      <c r="BR33" s="20">
        <v>1</v>
      </c>
      <c r="BS33" s="20">
        <v>0</v>
      </c>
      <c r="BT33" s="20">
        <v>0</v>
      </c>
      <c r="BX33" s="20">
        <v>6.67</v>
      </c>
      <c r="BY33" s="20">
        <v>1</v>
      </c>
      <c r="BZ33" s="20"/>
      <c r="CA33" s="20"/>
      <c r="CB33" s="20">
        <v>29</v>
      </c>
      <c r="CC33" s="20" t="s">
        <v>7</v>
      </c>
      <c r="CD33" s="20" t="s">
        <v>16</v>
      </c>
      <c r="CE33" s="33">
        <v>3</v>
      </c>
      <c r="CF33" s="20">
        <v>14</v>
      </c>
      <c r="CG33" s="20">
        <v>7</v>
      </c>
      <c r="CH33" s="20" t="s">
        <v>125</v>
      </c>
      <c r="CI33" s="20" t="s">
        <v>134</v>
      </c>
      <c r="CJ33" s="20">
        <v>18</v>
      </c>
      <c r="CK33" s="20">
        <v>16</v>
      </c>
      <c r="CL33" s="20">
        <v>10</v>
      </c>
      <c r="CM33" s="20">
        <v>4</v>
      </c>
      <c r="CN33" s="20" t="s">
        <v>277</v>
      </c>
      <c r="CO33" s="34">
        <v>0</v>
      </c>
      <c r="CP33" s="20">
        <v>6</v>
      </c>
      <c r="CQ33" s="20">
        <v>2</v>
      </c>
      <c r="CR33" s="20" t="s">
        <v>209</v>
      </c>
      <c r="CS33" s="20" t="s">
        <v>171</v>
      </c>
      <c r="CT33" s="20">
        <v>13</v>
      </c>
      <c r="CU33" s="20">
        <v>7</v>
      </c>
      <c r="CV33" s="20">
        <v>6</v>
      </c>
      <c r="CW33" s="20">
        <v>13</v>
      </c>
      <c r="CX33" s="20" t="s">
        <v>278</v>
      </c>
      <c r="CZ33" s="20">
        <v>1</v>
      </c>
      <c r="DA33" s="20">
        <v>1</v>
      </c>
      <c r="DB33" s="20">
        <v>1</v>
      </c>
      <c r="DC33" s="20">
        <v>1</v>
      </c>
      <c r="DD33" s="20">
        <v>1</v>
      </c>
      <c r="DE33" s="20">
        <v>1</v>
      </c>
      <c r="DF33" s="20">
        <v>1</v>
      </c>
      <c r="DG33" s="20">
        <v>1</v>
      </c>
      <c r="DK33" s="20">
        <v>16.670000000000002</v>
      </c>
      <c r="DL33" s="20">
        <v>5</v>
      </c>
      <c r="DO33" s="20">
        <v>29</v>
      </c>
      <c r="DP33" s="20" t="s">
        <v>11</v>
      </c>
      <c r="DQ33" s="20" t="s">
        <v>8</v>
      </c>
      <c r="DR33" s="34">
        <v>2</v>
      </c>
      <c r="DS33" s="20">
        <v>13</v>
      </c>
      <c r="DT33" s="20">
        <v>6</v>
      </c>
      <c r="DU33" s="20" t="s">
        <v>350</v>
      </c>
      <c r="DV33" s="20" t="s">
        <v>120</v>
      </c>
      <c r="DW33" s="20">
        <v>9</v>
      </c>
      <c r="DX33" s="20">
        <v>10</v>
      </c>
      <c r="DY33" s="20">
        <v>11</v>
      </c>
      <c r="DZ33" s="20">
        <v>7</v>
      </c>
      <c r="EA33" s="20" t="s">
        <v>322</v>
      </c>
      <c r="EB33" s="33">
        <v>4</v>
      </c>
      <c r="EC33" s="20">
        <v>14</v>
      </c>
      <c r="ED33" s="20">
        <v>4</v>
      </c>
      <c r="EE33" s="20" t="s">
        <v>170</v>
      </c>
      <c r="EF33" s="20" t="s">
        <v>230</v>
      </c>
      <c r="EG33" s="20">
        <v>14</v>
      </c>
      <c r="EH33" s="20">
        <v>16</v>
      </c>
      <c r="EI33" s="20">
        <v>4</v>
      </c>
      <c r="EJ33" s="20">
        <v>7</v>
      </c>
      <c r="EK33" s="20" t="s">
        <v>321</v>
      </c>
      <c r="EM33" s="20">
        <v>0</v>
      </c>
      <c r="EN33" s="20">
        <v>0</v>
      </c>
      <c r="EO33" s="20">
        <v>0</v>
      </c>
      <c r="EP33" s="20">
        <v>1</v>
      </c>
      <c r="EQ33" s="20">
        <v>1</v>
      </c>
      <c r="ER33" s="20">
        <v>0</v>
      </c>
      <c r="ES33" s="20">
        <v>0</v>
      </c>
      <c r="ET33" s="20">
        <v>1</v>
      </c>
      <c r="EX33" s="20">
        <v>17.579999999999998</v>
      </c>
      <c r="EY33" s="20">
        <v>5</v>
      </c>
      <c r="FB33" s="20">
        <v>29</v>
      </c>
      <c r="FC33" s="20" t="s">
        <v>9</v>
      </c>
      <c r="FD33" s="20" t="s">
        <v>14</v>
      </c>
      <c r="FE33" s="33">
        <v>3</v>
      </c>
      <c r="FF33" s="20">
        <v>18</v>
      </c>
      <c r="FG33" s="20">
        <v>9</v>
      </c>
      <c r="FH33" s="20" t="s">
        <v>125</v>
      </c>
      <c r="FI33" s="20" t="s">
        <v>123</v>
      </c>
      <c r="FJ33" s="20">
        <v>39</v>
      </c>
      <c r="FK33" s="20">
        <v>27</v>
      </c>
      <c r="FL33" s="20">
        <v>8</v>
      </c>
      <c r="FM33" s="20">
        <v>15</v>
      </c>
      <c r="FN33" s="20" t="s">
        <v>453</v>
      </c>
      <c r="FO33" s="34">
        <v>1</v>
      </c>
      <c r="FP33" s="20">
        <v>3</v>
      </c>
      <c r="FQ33" s="20">
        <v>1</v>
      </c>
      <c r="FR33" s="20" t="s">
        <v>209</v>
      </c>
      <c r="FS33" s="20" t="s">
        <v>154</v>
      </c>
      <c r="FT33" s="20">
        <v>18</v>
      </c>
      <c r="FU33" s="20">
        <v>13</v>
      </c>
      <c r="FV33" s="20">
        <v>12</v>
      </c>
      <c r="FW33" s="20">
        <v>16</v>
      </c>
      <c r="FX33" s="20" t="s">
        <v>454</v>
      </c>
      <c r="FZ33" s="20">
        <v>1</v>
      </c>
      <c r="GA33" s="20">
        <v>1</v>
      </c>
      <c r="GB33" s="20">
        <v>0</v>
      </c>
      <c r="GC33" s="20">
        <v>1</v>
      </c>
      <c r="GD33" s="20">
        <v>1</v>
      </c>
      <c r="GE33" s="20">
        <v>0</v>
      </c>
      <c r="GF33" s="20">
        <v>1</v>
      </c>
      <c r="GG33" s="20">
        <v>0</v>
      </c>
      <c r="GK33" s="20">
        <v>16.670000000000002</v>
      </c>
      <c r="GL33" s="20">
        <v>21</v>
      </c>
      <c r="GO33" s="20">
        <v>29</v>
      </c>
      <c r="GP33" s="20" t="s">
        <v>10</v>
      </c>
      <c r="GQ33" s="20" t="s">
        <v>13</v>
      </c>
      <c r="GR33" s="33">
        <v>1</v>
      </c>
      <c r="GS33" s="20">
        <v>7</v>
      </c>
      <c r="GT33" s="20">
        <v>1</v>
      </c>
      <c r="GU33" s="20" t="s">
        <v>164</v>
      </c>
      <c r="GV33" s="20" t="s">
        <v>139</v>
      </c>
      <c r="GW33" s="20">
        <v>22</v>
      </c>
      <c r="GX33" s="20">
        <v>18</v>
      </c>
      <c r="GY33" s="20">
        <v>5</v>
      </c>
      <c r="GZ33" s="20">
        <v>12</v>
      </c>
      <c r="HA33" s="20" t="s">
        <v>394</v>
      </c>
      <c r="HB33" s="34">
        <v>0</v>
      </c>
      <c r="HC33" s="20">
        <v>15</v>
      </c>
      <c r="HD33" s="20">
        <v>6</v>
      </c>
      <c r="HE33" s="20" t="s">
        <v>133</v>
      </c>
      <c r="HF33" s="20" t="s">
        <v>142</v>
      </c>
      <c r="HG33" s="20">
        <v>14</v>
      </c>
      <c r="HH33" s="20">
        <v>30</v>
      </c>
      <c r="HI33" s="20">
        <v>2</v>
      </c>
      <c r="HJ33" s="20">
        <v>13</v>
      </c>
      <c r="HK33" s="20" t="s">
        <v>393</v>
      </c>
      <c r="HM33" s="20">
        <v>0</v>
      </c>
      <c r="HN33" s="20">
        <v>0</v>
      </c>
      <c r="HO33" s="20">
        <v>0</v>
      </c>
      <c r="HP33" s="20">
        <v>1</v>
      </c>
      <c r="HQ33" s="20">
        <v>0</v>
      </c>
      <c r="HR33" s="20">
        <v>1</v>
      </c>
      <c r="HS33" s="20">
        <v>1</v>
      </c>
      <c r="HT33" s="20">
        <v>0</v>
      </c>
      <c r="HX33" s="20">
        <v>25.71</v>
      </c>
      <c r="HY33" s="20">
        <v>8</v>
      </c>
      <c r="IB33" s="20">
        <v>29</v>
      </c>
      <c r="IC33" s="20" t="s">
        <v>11</v>
      </c>
      <c r="ID33" s="20" t="s">
        <v>8</v>
      </c>
      <c r="IE33" s="33">
        <v>4</v>
      </c>
      <c r="IF33" s="20">
        <v>14</v>
      </c>
      <c r="IG33" s="20">
        <v>4</v>
      </c>
      <c r="IH33" s="20" t="s">
        <v>170</v>
      </c>
      <c r="II33" s="20" t="s">
        <v>230</v>
      </c>
      <c r="IJ33" s="20">
        <v>14</v>
      </c>
      <c r="IK33" s="20">
        <v>16</v>
      </c>
      <c r="IL33" s="20">
        <v>4</v>
      </c>
      <c r="IM33" s="20">
        <v>7</v>
      </c>
      <c r="IN33" s="20" t="s">
        <v>321</v>
      </c>
      <c r="IO33" s="34">
        <v>2</v>
      </c>
      <c r="IP33" s="20">
        <v>13</v>
      </c>
      <c r="IQ33" s="20">
        <v>6</v>
      </c>
      <c r="IR33" s="20" t="s">
        <v>350</v>
      </c>
      <c r="IS33" s="20" t="s">
        <v>120</v>
      </c>
      <c r="IT33" s="20">
        <v>9</v>
      </c>
      <c r="IU33" s="20">
        <v>10</v>
      </c>
      <c r="IV33" s="20">
        <v>11</v>
      </c>
      <c r="IW33" s="20">
        <v>7</v>
      </c>
      <c r="IX33" s="20" t="s">
        <v>322</v>
      </c>
      <c r="IZ33" s="20">
        <v>0</v>
      </c>
      <c r="JA33" s="20">
        <v>0</v>
      </c>
      <c r="JB33" s="20">
        <v>0</v>
      </c>
      <c r="JC33" s="20">
        <v>1</v>
      </c>
      <c r="JD33" s="20">
        <v>1</v>
      </c>
      <c r="JE33" s="20">
        <v>0</v>
      </c>
      <c r="JF33" s="20">
        <v>0</v>
      </c>
      <c r="JG33" s="20">
        <v>1</v>
      </c>
      <c r="JK33" s="20">
        <v>17.579999999999998</v>
      </c>
      <c r="JL33" s="20">
        <v>5</v>
      </c>
      <c r="JO33" s="20">
        <v>29</v>
      </c>
      <c r="JP33" s="20" t="s">
        <v>12</v>
      </c>
      <c r="JQ33" s="20" t="s">
        <v>34</v>
      </c>
      <c r="JR33" s="33">
        <v>1</v>
      </c>
      <c r="JS33" s="20">
        <v>13</v>
      </c>
      <c r="JT33" s="20">
        <v>3</v>
      </c>
      <c r="JU33" s="20" t="s">
        <v>158</v>
      </c>
      <c r="JV33" s="20" t="s">
        <v>203</v>
      </c>
      <c r="JW33" s="20">
        <v>21</v>
      </c>
      <c r="JX33" s="20">
        <v>27</v>
      </c>
      <c r="JY33" s="20">
        <v>8</v>
      </c>
      <c r="JZ33" s="20">
        <v>8</v>
      </c>
      <c r="KA33" s="20" t="s">
        <v>537</v>
      </c>
      <c r="KB33" s="34">
        <v>0</v>
      </c>
      <c r="KC33" s="20">
        <v>9</v>
      </c>
      <c r="KD33" s="20">
        <v>4</v>
      </c>
      <c r="KE33" s="20" t="s">
        <v>197</v>
      </c>
      <c r="KF33" s="20" t="s">
        <v>142</v>
      </c>
      <c r="KG33" s="20">
        <v>17</v>
      </c>
      <c r="KH33" s="20">
        <v>14</v>
      </c>
      <c r="KI33" s="20">
        <v>6</v>
      </c>
      <c r="KJ33" s="20">
        <v>15</v>
      </c>
      <c r="KK33" s="20" t="s">
        <v>538</v>
      </c>
      <c r="KM33" s="20">
        <v>0</v>
      </c>
      <c r="KN33" s="20">
        <v>0</v>
      </c>
      <c r="KO33" s="20">
        <v>0</v>
      </c>
      <c r="KP33" s="20">
        <v>1</v>
      </c>
      <c r="KQ33" s="20">
        <v>1</v>
      </c>
      <c r="KR33" s="20">
        <v>1</v>
      </c>
      <c r="KS33" s="20">
        <v>1</v>
      </c>
      <c r="KT33" s="20">
        <v>0</v>
      </c>
      <c r="KX33" s="20">
        <v>21.37</v>
      </c>
      <c r="KY33" s="20">
        <v>4</v>
      </c>
      <c r="LB33" s="20">
        <v>29</v>
      </c>
      <c r="LC33" s="20" t="s">
        <v>10</v>
      </c>
      <c r="LD33" s="20" t="s">
        <v>13</v>
      </c>
      <c r="LE33" s="34">
        <v>0</v>
      </c>
      <c r="LF33" s="20">
        <v>15</v>
      </c>
      <c r="LG33" s="20">
        <v>6</v>
      </c>
      <c r="LH33" s="20" t="s">
        <v>133</v>
      </c>
      <c r="LI33" s="20" t="s">
        <v>142</v>
      </c>
      <c r="LJ33" s="20">
        <v>14</v>
      </c>
      <c r="LK33" s="20">
        <v>30</v>
      </c>
      <c r="LL33" s="20">
        <v>2</v>
      </c>
      <c r="LM33" s="20">
        <v>13</v>
      </c>
      <c r="LN33" s="20" t="s">
        <v>393</v>
      </c>
      <c r="LO33" s="33">
        <v>1</v>
      </c>
      <c r="LP33" s="20">
        <v>7</v>
      </c>
      <c r="LQ33" s="20">
        <v>1</v>
      </c>
      <c r="LR33" s="20" t="s">
        <v>164</v>
      </c>
      <c r="LS33" s="20" t="s">
        <v>139</v>
      </c>
      <c r="LT33" s="20">
        <v>22</v>
      </c>
      <c r="LU33" s="20">
        <v>18</v>
      </c>
      <c r="LV33" s="20">
        <v>5</v>
      </c>
      <c r="LW33" s="20">
        <v>12</v>
      </c>
      <c r="LX33" s="20" t="s">
        <v>394</v>
      </c>
      <c r="LZ33" s="20">
        <v>0</v>
      </c>
      <c r="MA33" s="20">
        <v>0</v>
      </c>
      <c r="MB33" s="20">
        <v>0</v>
      </c>
      <c r="MC33" s="20">
        <v>1</v>
      </c>
      <c r="MD33" s="20">
        <v>0</v>
      </c>
      <c r="ME33" s="20">
        <v>1</v>
      </c>
      <c r="MF33" s="20">
        <v>1</v>
      </c>
      <c r="MG33" s="20">
        <v>0</v>
      </c>
      <c r="MK33" s="20">
        <v>25.71</v>
      </c>
      <c r="ML33" s="20">
        <v>8</v>
      </c>
      <c r="MO33" s="20">
        <v>29</v>
      </c>
      <c r="MP33" s="20" t="s">
        <v>9</v>
      </c>
      <c r="MQ33" s="20" t="s">
        <v>14</v>
      </c>
      <c r="MR33" s="34">
        <v>1</v>
      </c>
      <c r="MS33" s="20">
        <v>3</v>
      </c>
      <c r="MT33" s="20">
        <v>1</v>
      </c>
      <c r="MU33" s="20" t="s">
        <v>209</v>
      </c>
      <c r="MV33" s="20" t="s">
        <v>154</v>
      </c>
      <c r="MW33" s="20">
        <v>18</v>
      </c>
      <c r="MX33" s="20">
        <v>13</v>
      </c>
      <c r="MY33" s="20">
        <v>12</v>
      </c>
      <c r="MZ33" s="20">
        <v>16</v>
      </c>
      <c r="NA33" s="20" t="s">
        <v>454</v>
      </c>
      <c r="NB33" s="33">
        <v>3</v>
      </c>
      <c r="NC33" s="20">
        <v>18</v>
      </c>
      <c r="ND33" s="20">
        <v>9</v>
      </c>
      <c r="NE33" s="20" t="s">
        <v>125</v>
      </c>
      <c r="NF33" s="20" t="s">
        <v>123</v>
      </c>
      <c r="NG33" s="20">
        <v>39</v>
      </c>
      <c r="NH33" s="20">
        <v>27</v>
      </c>
      <c r="NI33" s="20">
        <v>8</v>
      </c>
      <c r="NJ33" s="20">
        <v>15</v>
      </c>
      <c r="NK33" s="20" t="s">
        <v>453</v>
      </c>
      <c r="NM33" s="20">
        <v>1</v>
      </c>
      <c r="NN33" s="20">
        <v>1</v>
      </c>
      <c r="NO33" s="20">
        <v>0</v>
      </c>
      <c r="NP33" s="20">
        <v>1</v>
      </c>
      <c r="NQ33" s="20">
        <v>1</v>
      </c>
      <c r="NR33" s="20">
        <v>0</v>
      </c>
      <c r="NS33" s="20">
        <v>1</v>
      </c>
      <c r="NT33" s="20">
        <v>0</v>
      </c>
      <c r="NX33" s="20">
        <v>16.670000000000002</v>
      </c>
      <c r="NY33" s="20">
        <v>21</v>
      </c>
      <c r="OB33" s="20">
        <v>29</v>
      </c>
      <c r="OC33" s="20" t="s">
        <v>15</v>
      </c>
      <c r="OD33" s="20" t="s">
        <v>6</v>
      </c>
      <c r="OE33" s="34">
        <v>1</v>
      </c>
      <c r="OF33" s="20">
        <v>15</v>
      </c>
      <c r="OG33" s="20">
        <v>6</v>
      </c>
      <c r="OH33" s="20" t="s">
        <v>133</v>
      </c>
      <c r="OI33" s="20" t="s">
        <v>230</v>
      </c>
      <c r="OJ33" s="20">
        <v>13</v>
      </c>
      <c r="OK33" s="20">
        <v>15</v>
      </c>
      <c r="OL33" s="20">
        <v>10</v>
      </c>
      <c r="OM33" s="20">
        <v>9</v>
      </c>
      <c r="ON33" s="20" t="s">
        <v>359</v>
      </c>
      <c r="OO33" s="33">
        <v>2</v>
      </c>
      <c r="OP33" s="20">
        <v>12</v>
      </c>
      <c r="OQ33" s="20">
        <v>4</v>
      </c>
      <c r="OR33" s="20" t="s">
        <v>209</v>
      </c>
      <c r="OS33" s="20" t="s">
        <v>179</v>
      </c>
      <c r="OT33" s="20">
        <v>12</v>
      </c>
      <c r="OU33" s="20">
        <v>12</v>
      </c>
      <c r="OV33" s="20">
        <v>15</v>
      </c>
      <c r="OW33" s="20">
        <v>11</v>
      </c>
      <c r="OX33" s="20" t="s">
        <v>360</v>
      </c>
      <c r="OZ33" s="20">
        <v>0</v>
      </c>
      <c r="PA33" s="20">
        <v>0</v>
      </c>
      <c r="PB33" s="20">
        <v>1</v>
      </c>
      <c r="PC33" s="20">
        <v>0</v>
      </c>
      <c r="PD33" s="20">
        <v>0</v>
      </c>
      <c r="PE33" s="20">
        <v>1</v>
      </c>
      <c r="PF33" s="20">
        <v>0</v>
      </c>
      <c r="PG33" s="20">
        <v>0</v>
      </c>
      <c r="PK33" s="20">
        <v>6.67</v>
      </c>
      <c r="PL33" s="20">
        <v>1</v>
      </c>
      <c r="PO33" s="20">
        <v>29</v>
      </c>
      <c r="PP33" s="20" t="s">
        <v>23</v>
      </c>
      <c r="PQ33" s="20" t="s">
        <v>17</v>
      </c>
      <c r="PR33" s="34">
        <v>0</v>
      </c>
      <c r="PS33" s="20">
        <v>6</v>
      </c>
      <c r="PT33" s="20">
        <v>1</v>
      </c>
      <c r="PU33" s="20" t="s">
        <v>272</v>
      </c>
      <c r="PV33" s="20" t="s">
        <v>176</v>
      </c>
      <c r="PW33" s="20">
        <v>32</v>
      </c>
      <c r="PX33" s="20">
        <v>10</v>
      </c>
      <c r="PY33" s="20">
        <v>5</v>
      </c>
      <c r="PZ33" s="20">
        <v>12</v>
      </c>
      <c r="QA33" s="20" t="s">
        <v>539</v>
      </c>
      <c r="QB33" s="33">
        <v>1</v>
      </c>
      <c r="QC33" s="20">
        <v>13</v>
      </c>
      <c r="QD33" s="20">
        <v>6</v>
      </c>
      <c r="QE33" s="20" t="s">
        <v>350</v>
      </c>
      <c r="QF33" s="20" t="s">
        <v>139</v>
      </c>
      <c r="QG33" s="20">
        <v>18</v>
      </c>
      <c r="QH33" s="20">
        <v>29</v>
      </c>
      <c r="QI33" s="20">
        <v>2</v>
      </c>
      <c r="QJ33" s="20">
        <v>17</v>
      </c>
      <c r="QK33" s="20" t="s">
        <v>540</v>
      </c>
      <c r="QM33" s="20">
        <v>1</v>
      </c>
      <c r="QN33" s="20">
        <v>1</v>
      </c>
      <c r="QO33" s="20">
        <v>0</v>
      </c>
      <c r="QP33" s="20">
        <v>0</v>
      </c>
      <c r="QQ33" s="20">
        <v>1</v>
      </c>
      <c r="QR33" s="20">
        <v>0</v>
      </c>
      <c r="QS33" s="20">
        <v>0</v>
      </c>
      <c r="QT33" s="20">
        <v>0</v>
      </c>
      <c r="QX33" s="20">
        <v>29.49</v>
      </c>
      <c r="QY33" s="20">
        <v>14</v>
      </c>
      <c r="RB33" s="20">
        <v>29</v>
      </c>
      <c r="RC33" s="20" t="s">
        <v>20</v>
      </c>
      <c r="RD33" s="20" t="s">
        <v>18</v>
      </c>
      <c r="RE33" s="32">
        <v>1</v>
      </c>
      <c r="RF33" s="20">
        <v>10</v>
      </c>
      <c r="RG33" s="20">
        <v>2</v>
      </c>
      <c r="RH33" s="20" t="s">
        <v>141</v>
      </c>
      <c r="RI33" s="20" t="s">
        <v>161</v>
      </c>
      <c r="RJ33" s="20">
        <v>26</v>
      </c>
      <c r="RK33" s="20">
        <v>19</v>
      </c>
      <c r="RL33" s="20">
        <v>7</v>
      </c>
      <c r="RM33" s="20">
        <v>9</v>
      </c>
      <c r="RN33" s="20" t="s">
        <v>392</v>
      </c>
      <c r="RO33" s="32">
        <v>1</v>
      </c>
      <c r="RP33" s="20">
        <v>8</v>
      </c>
      <c r="RQ33" s="20">
        <v>1</v>
      </c>
      <c r="RR33" s="20" t="s">
        <v>122</v>
      </c>
      <c r="RS33" s="20" t="s">
        <v>147</v>
      </c>
      <c r="RT33" s="20">
        <v>23</v>
      </c>
      <c r="RU33" s="20">
        <v>13</v>
      </c>
      <c r="RV33" s="20">
        <v>10</v>
      </c>
      <c r="RW33" s="20">
        <v>16</v>
      </c>
      <c r="RX33" s="20" t="s">
        <v>467</v>
      </c>
      <c r="RZ33" s="32">
        <v>1</v>
      </c>
      <c r="SA33" s="32">
        <v>1</v>
      </c>
      <c r="SB33" s="32">
        <v>1</v>
      </c>
      <c r="SC33" s="32">
        <v>1</v>
      </c>
      <c r="SD33" s="32">
        <v>1</v>
      </c>
      <c r="SE33" s="32">
        <v>0</v>
      </c>
      <c r="SF33" s="32">
        <v>1</v>
      </c>
      <c r="SG33" s="32">
        <v>1</v>
      </c>
      <c r="SK33" s="32">
        <v>7.5</v>
      </c>
      <c r="SL33" s="32">
        <v>3</v>
      </c>
      <c r="SO33" s="20">
        <v>29</v>
      </c>
      <c r="SP33" s="20" t="s">
        <v>21</v>
      </c>
      <c r="SQ33" s="20" t="s">
        <v>19</v>
      </c>
      <c r="SR33" s="32">
        <v>1</v>
      </c>
      <c r="SS33" s="20">
        <v>7</v>
      </c>
      <c r="ST33" s="20">
        <v>1</v>
      </c>
      <c r="SU33" s="20" t="s">
        <v>164</v>
      </c>
      <c r="SV33" s="20" t="s">
        <v>215</v>
      </c>
      <c r="SW33" s="20">
        <v>16</v>
      </c>
      <c r="SX33" s="20">
        <v>27</v>
      </c>
      <c r="SY33" s="20">
        <v>2</v>
      </c>
      <c r="SZ33" s="20">
        <v>13</v>
      </c>
      <c r="TA33" s="20" t="s">
        <v>541</v>
      </c>
      <c r="TB33" s="32">
        <v>1</v>
      </c>
      <c r="TC33" s="20">
        <v>12</v>
      </c>
      <c r="TD33" s="20">
        <v>3</v>
      </c>
      <c r="TE33" s="20" t="s">
        <v>131</v>
      </c>
      <c r="TF33" s="20" t="s">
        <v>151</v>
      </c>
      <c r="TG33" s="20">
        <v>15</v>
      </c>
      <c r="TH33" s="20">
        <v>29</v>
      </c>
      <c r="TI33" s="20">
        <v>7</v>
      </c>
      <c r="TJ33" s="20">
        <v>11</v>
      </c>
      <c r="TK33" s="20" t="s">
        <v>283</v>
      </c>
      <c r="TM33" s="32">
        <v>1</v>
      </c>
      <c r="TN33" s="32">
        <v>1</v>
      </c>
      <c r="TO33" s="32">
        <v>1</v>
      </c>
      <c r="TP33" s="32">
        <v>0</v>
      </c>
      <c r="TQ33" s="32">
        <v>1</v>
      </c>
      <c r="TR33" s="32">
        <v>1</v>
      </c>
      <c r="TS33" s="32">
        <v>1</v>
      </c>
      <c r="TT33" s="32">
        <v>1</v>
      </c>
      <c r="TX33" s="32">
        <v>10.71</v>
      </c>
      <c r="TY33" s="32">
        <v>1</v>
      </c>
      <c r="UB33" s="20">
        <v>29</v>
      </c>
      <c r="UC33" s="20" t="s">
        <v>7</v>
      </c>
      <c r="UD33" s="20" t="s">
        <v>16</v>
      </c>
      <c r="UE33" s="34">
        <v>0</v>
      </c>
      <c r="UF33" s="20">
        <v>6</v>
      </c>
      <c r="UG33" s="20">
        <v>2</v>
      </c>
      <c r="UH33" s="20" t="s">
        <v>209</v>
      </c>
      <c r="UI33" s="20" t="s">
        <v>171</v>
      </c>
      <c r="UJ33" s="20">
        <v>13</v>
      </c>
      <c r="UK33" s="20">
        <v>7</v>
      </c>
      <c r="UL33" s="20">
        <v>6</v>
      </c>
      <c r="UM33" s="20">
        <v>13</v>
      </c>
      <c r="UN33" s="20" t="s">
        <v>278</v>
      </c>
      <c r="UO33" s="33">
        <v>3</v>
      </c>
      <c r="UP33" s="20">
        <v>14</v>
      </c>
      <c r="UQ33" s="20">
        <v>7</v>
      </c>
      <c r="UR33" s="20" t="s">
        <v>125</v>
      </c>
      <c r="US33" s="20" t="s">
        <v>134</v>
      </c>
      <c r="UT33" s="20">
        <v>18</v>
      </c>
      <c r="UU33" s="20">
        <v>16</v>
      </c>
      <c r="UV33" s="20">
        <v>10</v>
      </c>
      <c r="UW33" s="20">
        <v>4</v>
      </c>
      <c r="UX33" s="20" t="s">
        <v>277</v>
      </c>
      <c r="UZ33" s="20">
        <v>1</v>
      </c>
      <c r="VA33" s="20">
        <v>1</v>
      </c>
      <c r="VB33" s="20">
        <v>1</v>
      </c>
      <c r="VC33" s="20">
        <v>1</v>
      </c>
      <c r="VD33" s="20">
        <v>1</v>
      </c>
      <c r="VE33" s="20">
        <v>1</v>
      </c>
      <c r="VF33" s="20">
        <v>1</v>
      </c>
      <c r="VG33" s="20">
        <v>1</v>
      </c>
      <c r="VK33" s="20">
        <v>16.670000000000002</v>
      </c>
      <c r="VL33" s="20">
        <v>5</v>
      </c>
      <c r="VO33" s="20">
        <v>29</v>
      </c>
      <c r="VP33" s="20" t="s">
        <v>20</v>
      </c>
      <c r="VQ33" s="20" t="s">
        <v>18</v>
      </c>
      <c r="VR33" s="32">
        <v>1</v>
      </c>
      <c r="VS33" s="20">
        <v>8</v>
      </c>
      <c r="VT33" s="20">
        <v>1</v>
      </c>
      <c r="VU33" s="20" t="s">
        <v>122</v>
      </c>
      <c r="VV33" s="20" t="s">
        <v>147</v>
      </c>
      <c r="VW33" s="20">
        <v>23</v>
      </c>
      <c r="VX33" s="20">
        <v>13</v>
      </c>
      <c r="VY33" s="20">
        <v>10</v>
      </c>
      <c r="VZ33" s="20">
        <v>16</v>
      </c>
      <c r="WA33" s="20" t="s">
        <v>467</v>
      </c>
      <c r="WB33" s="32">
        <v>1</v>
      </c>
      <c r="WC33" s="20">
        <v>10</v>
      </c>
      <c r="WD33" s="20">
        <v>2</v>
      </c>
      <c r="WE33" s="20" t="s">
        <v>141</v>
      </c>
      <c r="WF33" s="20" t="s">
        <v>161</v>
      </c>
      <c r="WG33" s="20">
        <v>26</v>
      </c>
      <c r="WH33" s="20">
        <v>19</v>
      </c>
      <c r="WI33" s="20">
        <v>7</v>
      </c>
      <c r="WJ33" s="20">
        <v>9</v>
      </c>
      <c r="WK33" s="20" t="s">
        <v>392</v>
      </c>
      <c r="WM33" s="32">
        <v>1</v>
      </c>
      <c r="WN33" s="32">
        <v>1</v>
      </c>
      <c r="WO33" s="32">
        <v>1</v>
      </c>
      <c r="WP33" s="32">
        <v>1</v>
      </c>
      <c r="WQ33" s="32">
        <v>1</v>
      </c>
      <c r="WR33" s="32">
        <v>0</v>
      </c>
      <c r="WS33" s="32">
        <v>1</v>
      </c>
      <c r="WT33" s="32">
        <v>1</v>
      </c>
      <c r="WX33" s="32">
        <v>7.5</v>
      </c>
      <c r="WY33" s="32">
        <v>3</v>
      </c>
      <c r="XB33" s="20">
        <v>29</v>
      </c>
      <c r="XC33" s="20" t="s">
        <v>12</v>
      </c>
      <c r="XD33" s="20" t="s">
        <v>34</v>
      </c>
      <c r="XE33" s="34">
        <v>0</v>
      </c>
      <c r="XF33" s="20">
        <v>9</v>
      </c>
      <c r="XG33" s="20">
        <v>4</v>
      </c>
      <c r="XH33" s="20" t="s">
        <v>197</v>
      </c>
      <c r="XI33" s="20" t="s">
        <v>142</v>
      </c>
      <c r="XJ33" s="20">
        <v>17</v>
      </c>
      <c r="XK33" s="20">
        <v>14</v>
      </c>
      <c r="XL33" s="20">
        <v>6</v>
      </c>
      <c r="XM33" s="20">
        <v>15</v>
      </c>
      <c r="XN33" s="20" t="s">
        <v>538</v>
      </c>
      <c r="XO33" s="33">
        <v>1</v>
      </c>
      <c r="XP33" s="20">
        <v>13</v>
      </c>
      <c r="XQ33" s="20">
        <v>3</v>
      </c>
      <c r="XR33" s="20" t="s">
        <v>158</v>
      </c>
      <c r="XS33" s="20" t="s">
        <v>203</v>
      </c>
      <c r="XT33" s="20">
        <v>21</v>
      </c>
      <c r="XU33" s="20">
        <v>27</v>
      </c>
      <c r="XV33" s="20">
        <v>8</v>
      </c>
      <c r="XW33" s="20">
        <v>8</v>
      </c>
      <c r="XX33" s="20" t="s">
        <v>537</v>
      </c>
      <c r="XZ33" s="20">
        <v>0</v>
      </c>
      <c r="YA33" s="20">
        <v>0</v>
      </c>
      <c r="YB33" s="20">
        <v>0</v>
      </c>
      <c r="YC33" s="20">
        <v>1</v>
      </c>
      <c r="YD33" s="20">
        <v>1</v>
      </c>
      <c r="YE33" s="20">
        <v>1</v>
      </c>
      <c r="YF33" s="20">
        <v>1</v>
      </c>
      <c r="YG33" s="20">
        <v>0</v>
      </c>
      <c r="YK33" s="20">
        <v>21.37</v>
      </c>
      <c r="YL33" s="20">
        <v>4</v>
      </c>
      <c r="YO33" s="20">
        <v>29</v>
      </c>
      <c r="YP33" s="20" t="s">
        <v>21</v>
      </c>
      <c r="YQ33" s="20" t="s">
        <v>19</v>
      </c>
      <c r="YR33" s="32">
        <v>1</v>
      </c>
      <c r="YS33" s="20">
        <v>12</v>
      </c>
      <c r="YT33" s="20">
        <v>3</v>
      </c>
      <c r="YU33" s="20" t="s">
        <v>131</v>
      </c>
      <c r="YV33" s="20" t="s">
        <v>151</v>
      </c>
      <c r="YW33" s="20">
        <v>15</v>
      </c>
      <c r="YX33" s="20">
        <v>29</v>
      </c>
      <c r="YY33" s="20">
        <v>7</v>
      </c>
      <c r="YZ33" s="20">
        <v>11</v>
      </c>
      <c r="ZA33" s="20" t="s">
        <v>283</v>
      </c>
      <c r="ZB33" s="32">
        <v>1</v>
      </c>
      <c r="ZC33" s="20">
        <v>7</v>
      </c>
      <c r="ZD33" s="20">
        <v>1</v>
      </c>
      <c r="ZE33" s="20" t="s">
        <v>164</v>
      </c>
      <c r="ZF33" s="20" t="s">
        <v>215</v>
      </c>
      <c r="ZG33" s="20">
        <v>16</v>
      </c>
      <c r="ZH33" s="20">
        <v>27</v>
      </c>
      <c r="ZI33" s="20">
        <v>2</v>
      </c>
      <c r="ZJ33" s="20">
        <v>13</v>
      </c>
      <c r="ZK33" s="20" t="s">
        <v>541</v>
      </c>
      <c r="ZM33" s="32">
        <v>1</v>
      </c>
      <c r="ZN33" s="32">
        <v>1</v>
      </c>
      <c r="ZO33" s="32">
        <v>1</v>
      </c>
      <c r="ZP33" s="32">
        <v>0</v>
      </c>
      <c r="ZQ33" s="32">
        <v>1</v>
      </c>
      <c r="ZR33" s="32">
        <v>1</v>
      </c>
      <c r="ZS33" s="32">
        <v>1</v>
      </c>
      <c r="ZT33" s="32">
        <v>1</v>
      </c>
      <c r="ZX33" s="32">
        <v>10.71</v>
      </c>
      <c r="ZY33" s="32">
        <v>1</v>
      </c>
      <c r="AAB33" s="20">
        <v>29</v>
      </c>
      <c r="AAC33" s="20" t="s">
        <v>5</v>
      </c>
      <c r="AAD33" s="20" t="s">
        <v>22</v>
      </c>
      <c r="AAE33" s="34">
        <v>0</v>
      </c>
      <c r="AAF33" s="20">
        <v>6</v>
      </c>
      <c r="AAG33" s="20">
        <v>1</v>
      </c>
      <c r="AAH33" s="20" t="s">
        <v>272</v>
      </c>
      <c r="AAI33" s="20" t="s">
        <v>154</v>
      </c>
      <c r="AAJ33" s="20">
        <v>30</v>
      </c>
      <c r="AAK33" s="20">
        <v>5</v>
      </c>
      <c r="AAL33" s="20">
        <v>11</v>
      </c>
      <c r="AAM33" s="20">
        <v>8</v>
      </c>
      <c r="AAN33" s="20" t="s">
        <v>542</v>
      </c>
      <c r="AAO33" s="33">
        <v>6</v>
      </c>
      <c r="AAP33" s="20">
        <v>16</v>
      </c>
      <c r="AAQ33" s="20">
        <v>9</v>
      </c>
      <c r="AAR33" s="20" t="s">
        <v>298</v>
      </c>
      <c r="AAS33" s="20" t="s">
        <v>252</v>
      </c>
      <c r="AAT33" s="20">
        <v>21</v>
      </c>
      <c r="AAU33" s="20">
        <v>6</v>
      </c>
      <c r="AAV33" s="20">
        <v>15</v>
      </c>
      <c r="AAW33" s="20">
        <v>16</v>
      </c>
      <c r="AAX33" s="20" t="s">
        <v>543</v>
      </c>
      <c r="AAZ33" s="20">
        <v>1</v>
      </c>
      <c r="ABA33" s="20">
        <v>1</v>
      </c>
      <c r="ABB33" s="20">
        <v>1</v>
      </c>
      <c r="ABC33" s="20">
        <v>0</v>
      </c>
      <c r="ABD33" s="20">
        <v>1</v>
      </c>
      <c r="ABE33" s="20">
        <v>1</v>
      </c>
      <c r="ABF33" s="20">
        <v>0</v>
      </c>
      <c r="ABG33" s="20">
        <v>1</v>
      </c>
      <c r="ABK33" s="20">
        <v>39.58</v>
      </c>
      <c r="ABL33" s="20">
        <v>9</v>
      </c>
      <c r="ABO33" s="20">
        <v>29</v>
      </c>
      <c r="ABP33" s="20" t="s">
        <v>23</v>
      </c>
      <c r="ABQ33" s="20" t="s">
        <v>17</v>
      </c>
      <c r="ABR33" s="33">
        <v>1</v>
      </c>
      <c r="ABS33" s="20">
        <v>13</v>
      </c>
      <c r="ABT33" s="20">
        <v>6</v>
      </c>
      <c r="ABU33" s="20" t="s">
        <v>350</v>
      </c>
      <c r="ABV33" s="20" t="s">
        <v>139</v>
      </c>
      <c r="ABW33" s="20">
        <v>18</v>
      </c>
      <c r="ABX33" s="20">
        <v>29</v>
      </c>
      <c r="ABY33" s="20">
        <v>2</v>
      </c>
      <c r="ABZ33" s="20">
        <v>17</v>
      </c>
      <c r="ACA33" s="20" t="s">
        <v>540</v>
      </c>
      <c r="ACB33" s="34">
        <v>0</v>
      </c>
      <c r="ACC33" s="20">
        <v>6</v>
      </c>
      <c r="ACD33" s="20">
        <v>1</v>
      </c>
      <c r="ACE33" s="20" t="s">
        <v>272</v>
      </c>
      <c r="ACF33" s="20" t="s">
        <v>176</v>
      </c>
      <c r="ACG33" s="20">
        <v>32</v>
      </c>
      <c r="ACH33" s="20">
        <v>10</v>
      </c>
      <c r="ACI33" s="20">
        <v>5</v>
      </c>
      <c r="ACJ33" s="20">
        <v>12</v>
      </c>
      <c r="ACK33" s="20" t="s">
        <v>539</v>
      </c>
      <c r="ACM33" s="20">
        <v>1</v>
      </c>
      <c r="ACN33" s="20">
        <v>1</v>
      </c>
      <c r="ACO33" s="20">
        <v>0</v>
      </c>
      <c r="ACP33" s="20">
        <v>0</v>
      </c>
      <c r="ACQ33" s="20">
        <v>1</v>
      </c>
      <c r="ACR33" s="20">
        <v>0</v>
      </c>
      <c r="ACS33" s="20">
        <v>0</v>
      </c>
      <c r="ACT33" s="20">
        <v>0</v>
      </c>
      <c r="ACX33" s="20">
        <v>29.49</v>
      </c>
      <c r="ACY33" s="20">
        <v>14</v>
      </c>
    </row>
    <row r="34" spans="1:781" x14ac:dyDescent="0.3">
      <c r="A34" s="27"/>
      <c r="B34" s="20">
        <v>30</v>
      </c>
      <c r="C34" s="20" t="s">
        <v>8</v>
      </c>
      <c r="D34" s="20" t="s">
        <v>5</v>
      </c>
      <c r="E34" s="32">
        <v>2</v>
      </c>
      <c r="F34" s="20">
        <v>15</v>
      </c>
      <c r="G34" s="30">
        <v>6</v>
      </c>
      <c r="H34" s="27">
        <v>0.4</v>
      </c>
      <c r="I34" s="28">
        <v>0.89</v>
      </c>
      <c r="J34" s="20">
        <v>17</v>
      </c>
      <c r="K34" s="20">
        <v>9</v>
      </c>
      <c r="L34" s="20">
        <v>8</v>
      </c>
      <c r="M34" s="30">
        <v>8</v>
      </c>
      <c r="N34" s="27">
        <v>0.67700000000000005</v>
      </c>
      <c r="O34" s="32">
        <v>2</v>
      </c>
      <c r="P34" s="20">
        <v>14</v>
      </c>
      <c r="Q34" s="30">
        <v>6</v>
      </c>
      <c r="R34" s="27">
        <v>0.42859999999999998</v>
      </c>
      <c r="S34" s="28">
        <v>0.78</v>
      </c>
      <c r="T34" s="20">
        <v>20</v>
      </c>
      <c r="U34" s="20">
        <v>6</v>
      </c>
      <c r="V34" s="20">
        <v>9</v>
      </c>
      <c r="W34" s="30">
        <v>14</v>
      </c>
      <c r="X34" s="27">
        <v>0.32300000000000001</v>
      </c>
      <c r="Z34" s="32">
        <v>1</v>
      </c>
      <c r="AA34" s="32">
        <v>0</v>
      </c>
      <c r="AB34" s="32">
        <v>1</v>
      </c>
      <c r="AC34" s="32">
        <v>0</v>
      </c>
      <c r="AD34" s="32">
        <v>1</v>
      </c>
      <c r="AE34" s="32">
        <v>0</v>
      </c>
      <c r="AF34" s="32">
        <v>1</v>
      </c>
      <c r="AG34" s="32">
        <v>1</v>
      </c>
      <c r="AK34" s="32">
        <v>2.86</v>
      </c>
      <c r="AL34" s="32">
        <v>3</v>
      </c>
      <c r="AM34" s="20"/>
      <c r="AN34" s="20"/>
      <c r="AO34" s="20">
        <v>30</v>
      </c>
      <c r="AP34" s="20" t="s">
        <v>6</v>
      </c>
      <c r="AQ34" s="20" t="s">
        <v>11</v>
      </c>
      <c r="AR34" s="33">
        <v>4</v>
      </c>
      <c r="AS34" s="30">
        <v>26</v>
      </c>
      <c r="AT34" s="30">
        <v>12</v>
      </c>
      <c r="AU34" s="27">
        <v>0.46150000000000002</v>
      </c>
      <c r="AV34" s="28">
        <v>0.89</v>
      </c>
      <c r="AW34" s="20">
        <v>25</v>
      </c>
      <c r="AX34" s="20">
        <v>10</v>
      </c>
      <c r="AY34" s="30">
        <v>8</v>
      </c>
      <c r="AZ34" s="20">
        <v>5</v>
      </c>
      <c r="BA34" s="27">
        <v>0.63200000000000001</v>
      </c>
      <c r="BB34" s="34">
        <v>0</v>
      </c>
      <c r="BC34" s="20">
        <v>8</v>
      </c>
      <c r="BD34" s="20">
        <v>4</v>
      </c>
      <c r="BE34" s="20" t="s">
        <v>125</v>
      </c>
      <c r="BF34" s="20" t="s">
        <v>144</v>
      </c>
      <c r="BG34" s="20">
        <v>11</v>
      </c>
      <c r="BH34" s="20">
        <v>5</v>
      </c>
      <c r="BI34" s="20">
        <v>9</v>
      </c>
      <c r="BJ34" s="20">
        <v>12</v>
      </c>
      <c r="BK34" s="20" t="s">
        <v>544</v>
      </c>
      <c r="BM34" s="20">
        <v>1</v>
      </c>
      <c r="BN34" s="20">
        <v>0</v>
      </c>
      <c r="BO34" s="20">
        <v>1</v>
      </c>
      <c r="BP34" s="20">
        <v>1</v>
      </c>
      <c r="BQ34" s="20">
        <v>1</v>
      </c>
      <c r="BR34" s="20">
        <v>0</v>
      </c>
      <c r="BS34" s="20">
        <v>1</v>
      </c>
      <c r="BT34" s="20">
        <v>1</v>
      </c>
      <c r="BX34" s="20">
        <v>3.85</v>
      </c>
      <c r="BY34" s="20">
        <v>14</v>
      </c>
      <c r="BZ34" s="20"/>
      <c r="CA34" s="20"/>
      <c r="CB34" s="20">
        <v>30</v>
      </c>
      <c r="CC34" s="20" t="s">
        <v>34</v>
      </c>
      <c r="CD34" s="20" t="s">
        <v>7</v>
      </c>
      <c r="CE34" s="34">
        <v>1</v>
      </c>
      <c r="CF34" s="20">
        <v>4</v>
      </c>
      <c r="CG34" s="20">
        <v>1</v>
      </c>
      <c r="CH34" s="20" t="s">
        <v>131</v>
      </c>
      <c r="CI34" s="20" t="s">
        <v>203</v>
      </c>
      <c r="CJ34" s="20">
        <v>22</v>
      </c>
      <c r="CK34" s="20">
        <v>25</v>
      </c>
      <c r="CL34" s="20">
        <v>9</v>
      </c>
      <c r="CM34" s="20">
        <v>16</v>
      </c>
      <c r="CN34" s="20" t="s">
        <v>404</v>
      </c>
      <c r="CO34" s="33">
        <v>2</v>
      </c>
      <c r="CP34" s="20">
        <v>12</v>
      </c>
      <c r="CQ34" s="20">
        <v>3</v>
      </c>
      <c r="CR34" s="20" t="s">
        <v>131</v>
      </c>
      <c r="CS34" s="20" t="s">
        <v>171</v>
      </c>
      <c r="CT34" s="20">
        <v>27</v>
      </c>
      <c r="CU34" s="20">
        <v>19</v>
      </c>
      <c r="CV34" s="20">
        <v>6</v>
      </c>
      <c r="CW34" s="20">
        <v>13</v>
      </c>
      <c r="CX34" s="20" t="s">
        <v>402</v>
      </c>
      <c r="CZ34" s="20">
        <v>1</v>
      </c>
      <c r="DA34" s="20">
        <v>0</v>
      </c>
      <c r="DB34" s="20">
        <v>1</v>
      </c>
      <c r="DC34" s="20">
        <v>1</v>
      </c>
      <c r="DD34" s="20">
        <v>0</v>
      </c>
      <c r="DE34" s="20">
        <v>0</v>
      </c>
      <c r="DF34" s="20">
        <v>1</v>
      </c>
      <c r="DG34" s="20">
        <v>1</v>
      </c>
      <c r="DK34" s="20">
        <v>0</v>
      </c>
      <c r="DL34" s="20">
        <v>5</v>
      </c>
      <c r="DO34" s="20">
        <v>30</v>
      </c>
      <c r="DP34" s="20" t="s">
        <v>8</v>
      </c>
      <c r="DQ34" s="20" t="s">
        <v>5</v>
      </c>
      <c r="DR34" s="32">
        <v>2</v>
      </c>
      <c r="DS34" s="20">
        <v>14</v>
      </c>
      <c r="DT34" s="20">
        <v>6</v>
      </c>
      <c r="DU34" s="20" t="s">
        <v>207</v>
      </c>
      <c r="DV34" s="20" t="s">
        <v>129</v>
      </c>
      <c r="DW34" s="20">
        <v>20</v>
      </c>
      <c r="DX34" s="20">
        <v>6</v>
      </c>
      <c r="DY34" s="20">
        <v>9</v>
      </c>
      <c r="DZ34" s="20">
        <v>14</v>
      </c>
      <c r="EA34" s="20" t="s">
        <v>213</v>
      </c>
      <c r="EB34" s="32">
        <v>2</v>
      </c>
      <c r="EC34" s="20">
        <v>15</v>
      </c>
      <c r="ED34" s="20">
        <v>6</v>
      </c>
      <c r="EE34" s="20" t="s">
        <v>133</v>
      </c>
      <c r="EF34" s="20" t="s">
        <v>343</v>
      </c>
      <c r="EG34" s="20">
        <v>17</v>
      </c>
      <c r="EH34" s="20">
        <v>9</v>
      </c>
      <c r="EI34" s="20">
        <v>8</v>
      </c>
      <c r="EJ34" s="20">
        <v>8</v>
      </c>
      <c r="EK34" s="20" t="s">
        <v>212</v>
      </c>
      <c r="EM34" s="32">
        <v>1</v>
      </c>
      <c r="EN34" s="32">
        <v>0</v>
      </c>
      <c r="EO34" s="32">
        <v>1</v>
      </c>
      <c r="EP34" s="32">
        <v>0</v>
      </c>
      <c r="EQ34" s="32">
        <v>1</v>
      </c>
      <c r="ER34" s="32">
        <v>0</v>
      </c>
      <c r="ES34" s="32">
        <v>1</v>
      </c>
      <c r="ET34" s="32">
        <v>1</v>
      </c>
      <c r="EX34" s="32">
        <v>2.86</v>
      </c>
      <c r="EY34" s="32">
        <v>3</v>
      </c>
      <c r="FB34" s="20">
        <v>30</v>
      </c>
      <c r="FC34" s="20" t="s">
        <v>18</v>
      </c>
      <c r="FD34" s="20" t="s">
        <v>9</v>
      </c>
      <c r="FE34" s="34">
        <v>1</v>
      </c>
      <c r="FF34" s="20">
        <v>14</v>
      </c>
      <c r="FG34" s="20">
        <v>4</v>
      </c>
      <c r="FH34" s="20" t="s">
        <v>170</v>
      </c>
      <c r="FI34" s="20" t="s">
        <v>161</v>
      </c>
      <c r="FJ34" s="20">
        <v>13</v>
      </c>
      <c r="FK34" s="20">
        <v>22</v>
      </c>
      <c r="FL34" s="20">
        <v>4</v>
      </c>
      <c r="FM34" s="20">
        <v>20</v>
      </c>
      <c r="FN34" s="20" t="s">
        <v>336</v>
      </c>
      <c r="FO34" s="33">
        <v>2</v>
      </c>
      <c r="FP34" s="20">
        <v>17</v>
      </c>
      <c r="FQ34" s="20">
        <v>7</v>
      </c>
      <c r="FR34" s="20" t="s">
        <v>166</v>
      </c>
      <c r="FS34" s="20" t="s">
        <v>219</v>
      </c>
      <c r="FT34" s="20">
        <v>27</v>
      </c>
      <c r="FU34" s="20">
        <v>16</v>
      </c>
      <c r="FV34" s="20">
        <v>9</v>
      </c>
      <c r="FW34" s="20">
        <v>10</v>
      </c>
      <c r="FX34" s="20" t="s">
        <v>338</v>
      </c>
      <c r="FZ34" s="20">
        <v>1</v>
      </c>
      <c r="GA34" s="20">
        <v>1</v>
      </c>
      <c r="GB34" s="20">
        <v>0</v>
      </c>
      <c r="GC34" s="20">
        <v>1</v>
      </c>
      <c r="GD34" s="20">
        <v>0</v>
      </c>
      <c r="GE34" s="20">
        <v>1</v>
      </c>
      <c r="GF34" s="20">
        <v>1</v>
      </c>
      <c r="GG34" s="20">
        <v>0</v>
      </c>
      <c r="GK34" s="20">
        <v>12.61</v>
      </c>
      <c r="GL34" s="20">
        <v>14</v>
      </c>
      <c r="GO34" s="20">
        <v>30</v>
      </c>
      <c r="GP34" s="20" t="s">
        <v>17</v>
      </c>
      <c r="GQ34" s="20" t="s">
        <v>10</v>
      </c>
      <c r="GR34" s="33">
        <v>2</v>
      </c>
      <c r="GS34" s="20">
        <v>13</v>
      </c>
      <c r="GT34" s="20">
        <v>6</v>
      </c>
      <c r="GU34" s="20" t="s">
        <v>350</v>
      </c>
      <c r="GV34" s="20" t="s">
        <v>123</v>
      </c>
      <c r="GW34" s="20">
        <v>30</v>
      </c>
      <c r="GX34" s="20">
        <v>25</v>
      </c>
      <c r="GY34" s="20">
        <v>14</v>
      </c>
      <c r="GZ34" s="20">
        <v>12</v>
      </c>
      <c r="HA34" s="20" t="s">
        <v>441</v>
      </c>
      <c r="HB34" s="34">
        <v>0</v>
      </c>
      <c r="HC34" s="20">
        <v>14</v>
      </c>
      <c r="HD34" s="20">
        <v>4</v>
      </c>
      <c r="HE34" s="20" t="s">
        <v>170</v>
      </c>
      <c r="HF34" s="20" t="s">
        <v>154</v>
      </c>
      <c r="HG34" s="20">
        <v>25</v>
      </c>
      <c r="HH34" s="20">
        <v>18</v>
      </c>
      <c r="HI34" s="20">
        <v>11</v>
      </c>
      <c r="HJ34" s="20">
        <v>14</v>
      </c>
      <c r="HK34" s="20" t="s">
        <v>442</v>
      </c>
      <c r="HM34" s="20">
        <v>1</v>
      </c>
      <c r="HN34" s="20">
        <v>1</v>
      </c>
      <c r="HO34" s="20">
        <v>0</v>
      </c>
      <c r="HP34" s="20">
        <v>1</v>
      </c>
      <c r="HQ34" s="20">
        <v>1</v>
      </c>
      <c r="HR34" s="20">
        <v>1</v>
      </c>
      <c r="HS34" s="20">
        <v>1</v>
      </c>
      <c r="HT34" s="20">
        <v>1</v>
      </c>
      <c r="HX34" s="20">
        <v>17.579999999999998</v>
      </c>
      <c r="HY34" s="20">
        <v>5</v>
      </c>
      <c r="IB34" s="20">
        <v>30</v>
      </c>
      <c r="IC34" s="20" t="s">
        <v>6</v>
      </c>
      <c r="ID34" s="20" t="s">
        <v>11</v>
      </c>
      <c r="IE34" s="34">
        <v>0</v>
      </c>
      <c r="IF34" s="20">
        <v>8</v>
      </c>
      <c r="IG34" s="20">
        <v>4</v>
      </c>
      <c r="IH34" s="20" t="s">
        <v>125</v>
      </c>
      <c r="II34" s="20" t="s">
        <v>144</v>
      </c>
      <c r="IJ34" s="20">
        <v>11</v>
      </c>
      <c r="IK34" s="20">
        <v>5</v>
      </c>
      <c r="IL34" s="20">
        <v>9</v>
      </c>
      <c r="IM34" s="20">
        <v>12</v>
      </c>
      <c r="IN34" s="20" t="s">
        <v>544</v>
      </c>
      <c r="IO34" s="33">
        <v>4</v>
      </c>
      <c r="IP34" s="20">
        <v>26</v>
      </c>
      <c r="IQ34" s="20">
        <v>12</v>
      </c>
      <c r="IR34" s="20" t="s">
        <v>350</v>
      </c>
      <c r="IS34" s="20" t="s">
        <v>343</v>
      </c>
      <c r="IT34" s="20">
        <v>25</v>
      </c>
      <c r="IU34" s="20">
        <v>10</v>
      </c>
      <c r="IV34" s="20">
        <v>8</v>
      </c>
      <c r="IW34" s="20">
        <v>5</v>
      </c>
      <c r="IX34" s="20" t="s">
        <v>545</v>
      </c>
      <c r="IZ34" s="20">
        <v>1</v>
      </c>
      <c r="JA34" s="20">
        <v>0</v>
      </c>
      <c r="JB34" s="20">
        <v>1</v>
      </c>
      <c r="JC34" s="20">
        <v>1</v>
      </c>
      <c r="JD34" s="20">
        <v>1</v>
      </c>
      <c r="JE34" s="20">
        <v>0</v>
      </c>
      <c r="JF34" s="20">
        <v>1</v>
      </c>
      <c r="JG34" s="20">
        <v>1</v>
      </c>
      <c r="JK34" s="20">
        <v>3.85</v>
      </c>
      <c r="JL34" s="20">
        <v>14</v>
      </c>
      <c r="JO34" s="20">
        <v>30</v>
      </c>
      <c r="JP34" s="20" t="s">
        <v>14</v>
      </c>
      <c r="JQ34" s="20" t="s">
        <v>12</v>
      </c>
      <c r="JR34" s="33">
        <v>1</v>
      </c>
      <c r="JS34" s="20">
        <v>14</v>
      </c>
      <c r="JT34" s="20">
        <v>5</v>
      </c>
      <c r="JU34" s="20" t="s">
        <v>297</v>
      </c>
      <c r="JV34" s="20" t="s">
        <v>219</v>
      </c>
      <c r="JW34" s="20">
        <v>24</v>
      </c>
      <c r="JX34" s="20">
        <v>21</v>
      </c>
      <c r="JY34" s="20">
        <v>7</v>
      </c>
      <c r="JZ34" s="20">
        <v>15</v>
      </c>
      <c r="KA34" s="20" t="s">
        <v>234</v>
      </c>
      <c r="KB34" s="34">
        <v>0</v>
      </c>
      <c r="KC34" s="20">
        <v>16</v>
      </c>
      <c r="KD34" s="20">
        <v>5</v>
      </c>
      <c r="KE34" s="20" t="s">
        <v>149</v>
      </c>
      <c r="KF34" s="20" t="s">
        <v>154</v>
      </c>
      <c r="KG34" s="20">
        <v>24</v>
      </c>
      <c r="KH34" s="20">
        <v>22</v>
      </c>
      <c r="KI34" s="20">
        <v>13</v>
      </c>
      <c r="KJ34" s="20">
        <v>10</v>
      </c>
      <c r="KK34" s="20" t="s">
        <v>233</v>
      </c>
      <c r="KM34" s="20">
        <v>1</v>
      </c>
      <c r="KN34" s="20">
        <v>1</v>
      </c>
      <c r="KO34" s="20">
        <v>0</v>
      </c>
      <c r="KP34" s="20">
        <v>1</v>
      </c>
      <c r="KQ34" s="20">
        <v>0</v>
      </c>
      <c r="KR34" s="20">
        <v>0</v>
      </c>
      <c r="KS34" s="20">
        <v>0</v>
      </c>
      <c r="KT34" s="20">
        <v>0</v>
      </c>
      <c r="KX34" s="20">
        <v>4.46</v>
      </c>
      <c r="KY34" s="20">
        <v>0</v>
      </c>
      <c r="LB34" s="20">
        <v>30</v>
      </c>
      <c r="LC34" s="20" t="s">
        <v>13</v>
      </c>
      <c r="LD34" s="20" t="s">
        <v>15</v>
      </c>
      <c r="LE34" s="34">
        <v>0</v>
      </c>
      <c r="LF34" s="20">
        <v>13</v>
      </c>
      <c r="LG34" s="20">
        <v>3</v>
      </c>
      <c r="LH34" s="20" t="s">
        <v>158</v>
      </c>
      <c r="LI34" s="20" t="s">
        <v>230</v>
      </c>
      <c r="LJ34" s="20">
        <v>14</v>
      </c>
      <c r="LK34" s="20">
        <v>19</v>
      </c>
      <c r="LL34" s="20">
        <v>11</v>
      </c>
      <c r="LM34" s="20">
        <v>9</v>
      </c>
      <c r="LN34" s="20" t="s">
        <v>521</v>
      </c>
      <c r="LO34" s="33">
        <v>1</v>
      </c>
      <c r="LP34" s="20">
        <v>12</v>
      </c>
      <c r="LQ34" s="20">
        <v>7</v>
      </c>
      <c r="LR34" s="20" t="s">
        <v>405</v>
      </c>
      <c r="LS34" s="20" t="s">
        <v>123</v>
      </c>
      <c r="LT34" s="20">
        <v>18</v>
      </c>
      <c r="LU34" s="20">
        <v>9</v>
      </c>
      <c r="LV34" s="20">
        <v>5</v>
      </c>
      <c r="LW34" s="20">
        <v>10</v>
      </c>
      <c r="LX34" s="20" t="s">
        <v>520</v>
      </c>
      <c r="LZ34" s="20">
        <v>1</v>
      </c>
      <c r="MA34" s="20">
        <v>1</v>
      </c>
      <c r="MB34" s="20">
        <v>0</v>
      </c>
      <c r="MC34" s="20">
        <v>1</v>
      </c>
      <c r="MD34" s="20">
        <v>0</v>
      </c>
      <c r="ME34" s="20">
        <v>0</v>
      </c>
      <c r="MF34" s="20">
        <v>0</v>
      </c>
      <c r="MG34" s="20">
        <v>0</v>
      </c>
      <c r="MK34" s="20">
        <v>35.26</v>
      </c>
      <c r="ML34" s="20">
        <v>4</v>
      </c>
      <c r="MO34" s="20">
        <v>30</v>
      </c>
      <c r="MP34" s="20" t="s">
        <v>14</v>
      </c>
      <c r="MQ34" s="20" t="s">
        <v>12</v>
      </c>
      <c r="MR34" s="34">
        <v>0</v>
      </c>
      <c r="MS34" s="20">
        <v>16</v>
      </c>
      <c r="MT34" s="20">
        <v>5</v>
      </c>
      <c r="MU34" s="20" t="s">
        <v>149</v>
      </c>
      <c r="MV34" s="20" t="s">
        <v>154</v>
      </c>
      <c r="MW34" s="20">
        <v>24</v>
      </c>
      <c r="MX34" s="20">
        <v>22</v>
      </c>
      <c r="MY34" s="20">
        <v>13</v>
      </c>
      <c r="MZ34" s="20">
        <v>10</v>
      </c>
      <c r="NA34" s="20" t="s">
        <v>233</v>
      </c>
      <c r="NB34" s="33">
        <v>1</v>
      </c>
      <c r="NC34" s="20">
        <v>14</v>
      </c>
      <c r="ND34" s="20">
        <v>5</v>
      </c>
      <c r="NE34" s="20" t="s">
        <v>297</v>
      </c>
      <c r="NF34" s="20" t="s">
        <v>219</v>
      </c>
      <c r="NG34" s="20">
        <v>24</v>
      </c>
      <c r="NH34" s="20">
        <v>21</v>
      </c>
      <c r="NI34" s="20">
        <v>7</v>
      </c>
      <c r="NJ34" s="20">
        <v>15</v>
      </c>
      <c r="NK34" s="20" t="s">
        <v>234</v>
      </c>
      <c r="NM34" s="20">
        <v>1</v>
      </c>
      <c r="NN34" s="20">
        <v>1</v>
      </c>
      <c r="NO34" s="20">
        <v>0</v>
      </c>
      <c r="NP34" s="20">
        <v>1</v>
      </c>
      <c r="NQ34" s="20">
        <v>0</v>
      </c>
      <c r="NR34" s="20">
        <v>0</v>
      </c>
      <c r="NS34" s="20">
        <v>0</v>
      </c>
      <c r="NT34" s="20">
        <v>0</v>
      </c>
      <c r="NX34" s="20">
        <v>4.46</v>
      </c>
      <c r="NY34" s="20">
        <v>0</v>
      </c>
      <c r="OB34" s="20">
        <v>30</v>
      </c>
      <c r="OC34" s="20" t="s">
        <v>13</v>
      </c>
      <c r="OD34" s="20" t="s">
        <v>15</v>
      </c>
      <c r="OE34" s="33">
        <v>1</v>
      </c>
      <c r="OF34" s="20">
        <v>12</v>
      </c>
      <c r="OG34" s="20">
        <v>7</v>
      </c>
      <c r="OH34" s="20" t="s">
        <v>405</v>
      </c>
      <c r="OI34" s="20" t="s">
        <v>123</v>
      </c>
      <c r="OJ34" s="20">
        <v>18</v>
      </c>
      <c r="OK34" s="20">
        <v>9</v>
      </c>
      <c r="OL34" s="20">
        <v>5</v>
      </c>
      <c r="OM34" s="20">
        <v>10</v>
      </c>
      <c r="ON34" s="20" t="s">
        <v>520</v>
      </c>
      <c r="OO34" s="34">
        <v>0</v>
      </c>
      <c r="OP34" s="20">
        <v>13</v>
      </c>
      <c r="OQ34" s="20">
        <v>3</v>
      </c>
      <c r="OR34" s="20" t="s">
        <v>158</v>
      </c>
      <c r="OS34" s="20" t="s">
        <v>230</v>
      </c>
      <c r="OT34" s="20">
        <v>14</v>
      </c>
      <c r="OU34" s="20">
        <v>19</v>
      </c>
      <c r="OV34" s="20">
        <v>11</v>
      </c>
      <c r="OW34" s="20">
        <v>9</v>
      </c>
      <c r="OX34" s="20" t="s">
        <v>521</v>
      </c>
      <c r="OZ34" s="20">
        <v>1</v>
      </c>
      <c r="PA34" s="20">
        <v>1</v>
      </c>
      <c r="PB34" s="20">
        <v>0</v>
      </c>
      <c r="PC34" s="20">
        <v>1</v>
      </c>
      <c r="PD34" s="20">
        <v>0</v>
      </c>
      <c r="PE34" s="20">
        <v>0</v>
      </c>
      <c r="PF34" s="20">
        <v>0</v>
      </c>
      <c r="PG34" s="20">
        <v>0</v>
      </c>
      <c r="PK34" s="20">
        <v>35.26</v>
      </c>
      <c r="PL34" s="20">
        <v>4</v>
      </c>
      <c r="PO34" s="20">
        <v>30</v>
      </c>
      <c r="PP34" s="20" t="s">
        <v>17</v>
      </c>
      <c r="PQ34" s="20" t="s">
        <v>10</v>
      </c>
      <c r="PR34" s="34">
        <v>0</v>
      </c>
      <c r="PS34" s="20">
        <v>14</v>
      </c>
      <c r="PT34" s="20">
        <v>4</v>
      </c>
      <c r="PU34" s="20" t="s">
        <v>170</v>
      </c>
      <c r="PV34" s="20" t="s">
        <v>154</v>
      </c>
      <c r="PW34" s="20">
        <v>25</v>
      </c>
      <c r="PX34" s="20">
        <v>18</v>
      </c>
      <c r="PY34" s="20">
        <v>11</v>
      </c>
      <c r="PZ34" s="20">
        <v>14</v>
      </c>
      <c r="QA34" s="20" t="s">
        <v>442</v>
      </c>
      <c r="QB34" s="33">
        <v>2</v>
      </c>
      <c r="QC34" s="20">
        <v>13</v>
      </c>
      <c r="QD34" s="20">
        <v>6</v>
      </c>
      <c r="QE34" s="20" t="s">
        <v>350</v>
      </c>
      <c r="QF34" s="20" t="s">
        <v>123</v>
      </c>
      <c r="QG34" s="20">
        <v>30</v>
      </c>
      <c r="QH34" s="20">
        <v>25</v>
      </c>
      <c r="QI34" s="20">
        <v>14</v>
      </c>
      <c r="QJ34" s="20">
        <v>12</v>
      </c>
      <c r="QK34" s="20" t="s">
        <v>441</v>
      </c>
      <c r="QM34" s="20">
        <v>1</v>
      </c>
      <c r="QN34" s="20">
        <v>1</v>
      </c>
      <c r="QO34" s="20">
        <v>0</v>
      </c>
      <c r="QP34" s="20">
        <v>1</v>
      </c>
      <c r="QQ34" s="20">
        <v>1</v>
      </c>
      <c r="QR34" s="20">
        <v>1</v>
      </c>
      <c r="QS34" s="20">
        <v>1</v>
      </c>
      <c r="QT34" s="20">
        <v>1</v>
      </c>
      <c r="QX34" s="20">
        <v>17.579999999999998</v>
      </c>
      <c r="QY34" s="20">
        <v>5</v>
      </c>
      <c r="RB34" s="20">
        <v>30</v>
      </c>
      <c r="RC34" s="20" t="s">
        <v>18</v>
      </c>
      <c r="RD34" s="20" t="s">
        <v>9</v>
      </c>
      <c r="RE34" s="33">
        <v>2</v>
      </c>
      <c r="RF34" s="20">
        <v>17</v>
      </c>
      <c r="RG34" s="20">
        <v>7</v>
      </c>
      <c r="RH34" s="20" t="s">
        <v>166</v>
      </c>
      <c r="RI34" s="20" t="s">
        <v>219</v>
      </c>
      <c r="RJ34" s="20">
        <v>27</v>
      </c>
      <c r="RK34" s="20">
        <v>16</v>
      </c>
      <c r="RL34" s="20">
        <v>9</v>
      </c>
      <c r="RM34" s="20">
        <v>10</v>
      </c>
      <c r="RN34" s="20" t="s">
        <v>338</v>
      </c>
      <c r="RO34" s="34">
        <v>1</v>
      </c>
      <c r="RP34" s="20">
        <v>14</v>
      </c>
      <c r="RQ34" s="20">
        <v>4</v>
      </c>
      <c r="RR34" s="20" t="s">
        <v>170</v>
      </c>
      <c r="RS34" s="20" t="s">
        <v>161</v>
      </c>
      <c r="RT34" s="20">
        <v>13</v>
      </c>
      <c r="RU34" s="20">
        <v>22</v>
      </c>
      <c r="RV34" s="20">
        <v>4</v>
      </c>
      <c r="RW34" s="20">
        <v>20</v>
      </c>
      <c r="RX34" s="20" t="s">
        <v>336</v>
      </c>
      <c r="RZ34" s="20">
        <v>1</v>
      </c>
      <c r="SA34" s="20">
        <v>1</v>
      </c>
      <c r="SB34" s="20">
        <v>0</v>
      </c>
      <c r="SC34" s="20">
        <v>1</v>
      </c>
      <c r="SD34" s="20">
        <v>0</v>
      </c>
      <c r="SE34" s="20">
        <v>1</v>
      </c>
      <c r="SF34" s="20">
        <v>1</v>
      </c>
      <c r="SG34" s="20">
        <v>0</v>
      </c>
      <c r="SK34" s="20">
        <v>12.61</v>
      </c>
      <c r="SL34" s="20">
        <v>14</v>
      </c>
      <c r="SO34" s="20">
        <v>30</v>
      </c>
      <c r="SP34" s="20" t="s">
        <v>22</v>
      </c>
      <c r="SQ34" s="20" t="s">
        <v>19</v>
      </c>
      <c r="SR34" s="32">
        <v>1</v>
      </c>
      <c r="SS34" s="20">
        <v>20</v>
      </c>
      <c r="ST34" s="20">
        <v>6</v>
      </c>
      <c r="SU34" s="20" t="s">
        <v>237</v>
      </c>
      <c r="SV34" s="20" t="s">
        <v>142</v>
      </c>
      <c r="SW34" s="20">
        <v>17</v>
      </c>
      <c r="SX34" s="20">
        <v>20</v>
      </c>
      <c r="SY34" s="20">
        <v>17</v>
      </c>
      <c r="SZ34" s="20">
        <v>13</v>
      </c>
      <c r="TA34" s="20" t="s">
        <v>393</v>
      </c>
      <c r="TB34" s="32">
        <v>1</v>
      </c>
      <c r="TC34" s="20">
        <v>8</v>
      </c>
      <c r="TD34" s="20">
        <v>4</v>
      </c>
      <c r="TE34" s="20" t="s">
        <v>125</v>
      </c>
      <c r="TF34" s="20" t="s">
        <v>193</v>
      </c>
      <c r="TG34" s="20">
        <v>26</v>
      </c>
      <c r="TH34" s="20">
        <v>14</v>
      </c>
      <c r="TI34" s="20">
        <v>13</v>
      </c>
      <c r="TJ34" s="20">
        <v>11</v>
      </c>
      <c r="TK34" s="20" t="s">
        <v>394</v>
      </c>
      <c r="TM34" s="32">
        <v>1</v>
      </c>
      <c r="TN34" s="32">
        <v>0</v>
      </c>
      <c r="TO34" s="32">
        <v>1</v>
      </c>
      <c r="TP34" s="32">
        <v>0</v>
      </c>
      <c r="TQ34" s="32">
        <v>1</v>
      </c>
      <c r="TR34" s="32">
        <v>1</v>
      </c>
      <c r="TS34" s="32">
        <v>0</v>
      </c>
      <c r="TT34" s="32">
        <v>1</v>
      </c>
      <c r="TX34" s="32">
        <v>20</v>
      </c>
      <c r="TY34" s="32">
        <v>9</v>
      </c>
      <c r="UB34" s="20">
        <v>30</v>
      </c>
      <c r="UC34" s="20" t="s">
        <v>16</v>
      </c>
      <c r="UD34" s="20" t="s">
        <v>23</v>
      </c>
      <c r="UE34" s="33">
        <v>2</v>
      </c>
      <c r="UF34" s="20">
        <v>15</v>
      </c>
      <c r="UG34" s="20">
        <v>6</v>
      </c>
      <c r="UH34" s="20" t="s">
        <v>133</v>
      </c>
      <c r="UI34" s="20" t="s">
        <v>161</v>
      </c>
      <c r="UJ34" s="20">
        <v>5</v>
      </c>
      <c r="UK34" s="20">
        <v>9</v>
      </c>
      <c r="UL34" s="20">
        <v>10</v>
      </c>
      <c r="UM34" s="20">
        <v>10</v>
      </c>
      <c r="UN34" s="20" t="s">
        <v>324</v>
      </c>
      <c r="UO34" s="34">
        <v>1</v>
      </c>
      <c r="UP34" s="20">
        <v>7</v>
      </c>
      <c r="UQ34" s="20">
        <v>1</v>
      </c>
      <c r="UR34" s="20" t="s">
        <v>164</v>
      </c>
      <c r="US34" s="20" t="s">
        <v>203</v>
      </c>
      <c r="UT34" s="20">
        <v>12</v>
      </c>
      <c r="UU34" s="20">
        <v>17</v>
      </c>
      <c r="UV34" s="20">
        <v>5</v>
      </c>
      <c r="UW34" s="20">
        <v>5</v>
      </c>
      <c r="UX34" s="20" t="s">
        <v>323</v>
      </c>
      <c r="UZ34" s="20">
        <v>1</v>
      </c>
      <c r="VA34" s="20">
        <v>1</v>
      </c>
      <c r="VB34" s="20">
        <v>1</v>
      </c>
      <c r="VC34" s="20">
        <v>0</v>
      </c>
      <c r="VD34" s="20">
        <v>0</v>
      </c>
      <c r="VE34" s="20">
        <v>1</v>
      </c>
      <c r="VF34" s="20">
        <v>0</v>
      </c>
      <c r="VG34" s="20">
        <v>1</v>
      </c>
      <c r="VK34" s="20">
        <v>25.71</v>
      </c>
      <c r="VL34" s="20">
        <v>7</v>
      </c>
      <c r="VO34" s="20">
        <v>30</v>
      </c>
      <c r="VP34" s="20" t="s">
        <v>20</v>
      </c>
      <c r="VQ34" s="20" t="s">
        <v>21</v>
      </c>
      <c r="VR34" s="32">
        <v>2</v>
      </c>
      <c r="VS34" s="20">
        <v>11</v>
      </c>
      <c r="VT34" s="20">
        <v>2</v>
      </c>
      <c r="VU34" s="20" t="s">
        <v>138</v>
      </c>
      <c r="VV34" s="20" t="s">
        <v>156</v>
      </c>
      <c r="VW34" s="20">
        <v>24</v>
      </c>
      <c r="VX34" s="20">
        <v>15</v>
      </c>
      <c r="VY34" s="20">
        <v>5</v>
      </c>
      <c r="VZ34" s="20">
        <v>10</v>
      </c>
      <c r="WA34" s="20" t="s">
        <v>527</v>
      </c>
      <c r="WB34" s="32">
        <v>2</v>
      </c>
      <c r="WC34" s="20">
        <v>22</v>
      </c>
      <c r="WD34" s="20">
        <v>6</v>
      </c>
      <c r="WE34" s="20" t="s">
        <v>128</v>
      </c>
      <c r="WF34" s="20" t="s">
        <v>136</v>
      </c>
      <c r="WG34" s="20">
        <v>16</v>
      </c>
      <c r="WH34" s="20">
        <v>15</v>
      </c>
      <c r="WI34" s="20">
        <v>12</v>
      </c>
      <c r="WJ34" s="20">
        <v>9</v>
      </c>
      <c r="WK34" s="20" t="s">
        <v>528</v>
      </c>
      <c r="WM34" s="32">
        <v>1</v>
      </c>
      <c r="WN34" s="32">
        <v>1</v>
      </c>
      <c r="WO34" s="32">
        <v>1</v>
      </c>
      <c r="WP34" s="32">
        <v>0</v>
      </c>
      <c r="WQ34" s="32">
        <v>1</v>
      </c>
      <c r="WR34" s="32">
        <v>1</v>
      </c>
      <c r="WS34" s="32">
        <v>1</v>
      </c>
      <c r="WT34" s="32">
        <v>1</v>
      </c>
      <c r="WX34" s="32">
        <v>9.09</v>
      </c>
      <c r="WY34" s="32">
        <v>8</v>
      </c>
      <c r="XB34" s="20">
        <v>30</v>
      </c>
      <c r="XC34" s="20" t="s">
        <v>34</v>
      </c>
      <c r="XD34" s="20" t="s">
        <v>7</v>
      </c>
      <c r="XE34" s="33">
        <v>2</v>
      </c>
      <c r="XF34" s="20">
        <v>12</v>
      </c>
      <c r="XG34" s="20">
        <v>3</v>
      </c>
      <c r="XH34" s="20" t="s">
        <v>131</v>
      </c>
      <c r="XI34" s="20" t="s">
        <v>171</v>
      </c>
      <c r="XJ34" s="20">
        <v>27</v>
      </c>
      <c r="XK34" s="20">
        <v>19</v>
      </c>
      <c r="XL34" s="20">
        <v>6</v>
      </c>
      <c r="XM34" s="20">
        <v>13</v>
      </c>
      <c r="XN34" s="20" t="s">
        <v>402</v>
      </c>
      <c r="XO34" s="34">
        <v>1</v>
      </c>
      <c r="XP34" s="20">
        <v>4</v>
      </c>
      <c r="XQ34" s="20">
        <v>1</v>
      </c>
      <c r="XR34" s="20" t="s">
        <v>131</v>
      </c>
      <c r="XS34" s="20" t="s">
        <v>203</v>
      </c>
      <c r="XT34" s="20">
        <v>22</v>
      </c>
      <c r="XU34" s="20">
        <v>25</v>
      </c>
      <c r="XV34" s="20">
        <v>9</v>
      </c>
      <c r="XW34" s="20">
        <v>16</v>
      </c>
      <c r="XX34" s="20" t="s">
        <v>404</v>
      </c>
      <c r="XZ34" s="20">
        <v>1</v>
      </c>
      <c r="YA34" s="20">
        <v>0</v>
      </c>
      <c r="YB34" s="20">
        <v>1</v>
      </c>
      <c r="YC34" s="20">
        <v>1</v>
      </c>
      <c r="YD34" s="20">
        <v>0</v>
      </c>
      <c r="YE34" s="20">
        <v>0</v>
      </c>
      <c r="YF34" s="20">
        <v>1</v>
      </c>
      <c r="YG34" s="20">
        <v>1</v>
      </c>
      <c r="YK34" s="20">
        <v>0</v>
      </c>
      <c r="YL34" s="20">
        <v>5</v>
      </c>
      <c r="YO34" s="20">
        <v>30</v>
      </c>
      <c r="YP34" s="20" t="s">
        <v>20</v>
      </c>
      <c r="YQ34" s="20" t="s">
        <v>21</v>
      </c>
      <c r="YR34" s="32">
        <v>2</v>
      </c>
      <c r="YS34" s="20">
        <v>22</v>
      </c>
      <c r="YT34" s="20">
        <v>6</v>
      </c>
      <c r="YU34" s="20" t="s">
        <v>128</v>
      </c>
      <c r="YV34" s="20" t="s">
        <v>136</v>
      </c>
      <c r="YW34" s="20">
        <v>16</v>
      </c>
      <c r="YX34" s="20">
        <v>15</v>
      </c>
      <c r="YY34" s="20">
        <v>12</v>
      </c>
      <c r="YZ34" s="20">
        <v>9</v>
      </c>
      <c r="ZA34" s="20" t="s">
        <v>528</v>
      </c>
      <c r="ZB34" s="32">
        <v>2</v>
      </c>
      <c r="ZC34" s="20">
        <v>11</v>
      </c>
      <c r="ZD34" s="20">
        <v>2</v>
      </c>
      <c r="ZE34" s="20" t="s">
        <v>138</v>
      </c>
      <c r="ZF34" s="20" t="s">
        <v>156</v>
      </c>
      <c r="ZG34" s="20">
        <v>24</v>
      </c>
      <c r="ZH34" s="20">
        <v>15</v>
      </c>
      <c r="ZI34" s="20">
        <v>5</v>
      </c>
      <c r="ZJ34" s="20">
        <v>10</v>
      </c>
      <c r="ZK34" s="20" t="s">
        <v>527</v>
      </c>
      <c r="ZM34" s="32">
        <v>1</v>
      </c>
      <c r="ZN34" s="32">
        <v>1</v>
      </c>
      <c r="ZO34" s="32">
        <v>1</v>
      </c>
      <c r="ZP34" s="32">
        <v>0</v>
      </c>
      <c r="ZQ34" s="32">
        <v>1</v>
      </c>
      <c r="ZR34" s="32">
        <v>1</v>
      </c>
      <c r="ZS34" s="32">
        <v>1</v>
      </c>
      <c r="ZT34" s="32">
        <v>1</v>
      </c>
      <c r="ZX34" s="32">
        <v>9.09</v>
      </c>
      <c r="ZY34" s="32">
        <v>8</v>
      </c>
      <c r="AAB34" s="20">
        <v>30</v>
      </c>
      <c r="AAC34" s="20" t="s">
        <v>22</v>
      </c>
      <c r="AAD34" s="20" t="s">
        <v>19</v>
      </c>
      <c r="AAE34" s="32">
        <v>1</v>
      </c>
      <c r="AAF34" s="20">
        <v>8</v>
      </c>
      <c r="AAG34" s="20">
        <v>4</v>
      </c>
      <c r="AAH34" s="20" t="s">
        <v>125</v>
      </c>
      <c r="AAI34" s="20" t="s">
        <v>193</v>
      </c>
      <c r="AAJ34" s="20">
        <v>26</v>
      </c>
      <c r="AAK34" s="20">
        <v>14</v>
      </c>
      <c r="AAL34" s="20">
        <v>13</v>
      </c>
      <c r="AAM34" s="20">
        <v>11</v>
      </c>
      <c r="AAN34" s="20" t="s">
        <v>394</v>
      </c>
      <c r="AAO34" s="32">
        <v>1</v>
      </c>
      <c r="AAP34" s="20">
        <v>20</v>
      </c>
      <c r="AAQ34" s="20">
        <v>6</v>
      </c>
      <c r="AAR34" s="20" t="s">
        <v>237</v>
      </c>
      <c r="AAS34" s="20" t="s">
        <v>142</v>
      </c>
      <c r="AAT34" s="20">
        <v>17</v>
      </c>
      <c r="AAU34" s="20">
        <v>20</v>
      </c>
      <c r="AAV34" s="20">
        <v>17</v>
      </c>
      <c r="AAW34" s="20">
        <v>13</v>
      </c>
      <c r="AAX34" s="20" t="s">
        <v>393</v>
      </c>
      <c r="AAZ34" s="32">
        <v>1</v>
      </c>
      <c r="ABA34" s="32">
        <v>0</v>
      </c>
      <c r="ABB34" s="32">
        <v>1</v>
      </c>
      <c r="ABC34" s="32">
        <v>0</v>
      </c>
      <c r="ABD34" s="32">
        <v>1</v>
      </c>
      <c r="ABE34" s="32">
        <v>1</v>
      </c>
      <c r="ABF34" s="32">
        <v>0</v>
      </c>
      <c r="ABG34" s="32">
        <v>1</v>
      </c>
      <c r="ABK34" s="32">
        <v>20</v>
      </c>
      <c r="ABL34" s="32">
        <v>9</v>
      </c>
      <c r="ABO34" s="20">
        <v>30</v>
      </c>
      <c r="ABP34" s="20" t="s">
        <v>16</v>
      </c>
      <c r="ABQ34" s="20" t="s">
        <v>23</v>
      </c>
      <c r="ABR34" s="34">
        <v>1</v>
      </c>
      <c r="ABS34" s="20">
        <v>7</v>
      </c>
      <c r="ABT34" s="20">
        <v>1</v>
      </c>
      <c r="ABU34" s="20" t="s">
        <v>164</v>
      </c>
      <c r="ABV34" s="20" t="s">
        <v>203</v>
      </c>
      <c r="ABW34" s="20">
        <v>12</v>
      </c>
      <c r="ABX34" s="20">
        <v>17</v>
      </c>
      <c r="ABY34" s="20">
        <v>5</v>
      </c>
      <c r="ABZ34" s="20">
        <v>5</v>
      </c>
      <c r="ACA34" s="20" t="s">
        <v>323</v>
      </c>
      <c r="ACB34" s="33">
        <v>2</v>
      </c>
      <c r="ACC34" s="20">
        <v>15</v>
      </c>
      <c r="ACD34" s="20">
        <v>6</v>
      </c>
      <c r="ACE34" s="20" t="s">
        <v>133</v>
      </c>
      <c r="ACF34" s="20" t="s">
        <v>161</v>
      </c>
      <c r="ACG34" s="20">
        <v>5</v>
      </c>
      <c r="ACH34" s="20">
        <v>9</v>
      </c>
      <c r="ACI34" s="20">
        <v>10</v>
      </c>
      <c r="ACJ34" s="20">
        <v>10</v>
      </c>
      <c r="ACK34" s="20" t="s">
        <v>324</v>
      </c>
      <c r="ACM34" s="20">
        <v>1</v>
      </c>
      <c r="ACN34" s="20">
        <v>1</v>
      </c>
      <c r="ACO34" s="20">
        <v>1</v>
      </c>
      <c r="ACP34" s="20">
        <v>0</v>
      </c>
      <c r="ACQ34" s="20">
        <v>0</v>
      </c>
      <c r="ACR34" s="20">
        <v>1</v>
      </c>
      <c r="ACS34" s="20">
        <v>0</v>
      </c>
      <c r="ACT34" s="20">
        <v>1</v>
      </c>
      <c r="ACX34" s="20">
        <v>25.71</v>
      </c>
      <c r="ACY34" s="20">
        <v>7</v>
      </c>
    </row>
    <row r="35" spans="1:781" x14ac:dyDescent="0.3">
      <c r="A35" s="27"/>
      <c r="B35" s="20">
        <v>31</v>
      </c>
      <c r="C35" s="20" t="s">
        <v>5</v>
      </c>
      <c r="D35" s="20" t="s">
        <v>6</v>
      </c>
      <c r="E35" s="34">
        <v>1</v>
      </c>
      <c r="F35" s="20">
        <v>14</v>
      </c>
      <c r="G35" s="30">
        <v>3</v>
      </c>
      <c r="H35" s="27">
        <v>0.21429999999999999</v>
      </c>
      <c r="I35" s="28">
        <v>0.9</v>
      </c>
      <c r="J35" s="20">
        <v>15</v>
      </c>
      <c r="K35" s="20">
        <v>6</v>
      </c>
      <c r="L35" s="20">
        <v>9</v>
      </c>
      <c r="M35" s="30">
        <v>11</v>
      </c>
      <c r="N35" s="28">
        <v>0.68</v>
      </c>
      <c r="O35" s="33">
        <v>2</v>
      </c>
      <c r="P35" s="20">
        <v>15</v>
      </c>
      <c r="Q35" s="30">
        <v>6</v>
      </c>
      <c r="R35" s="27">
        <v>0.4</v>
      </c>
      <c r="S35" s="28">
        <v>0.8</v>
      </c>
      <c r="T35" s="20">
        <v>21</v>
      </c>
      <c r="U35" s="20">
        <v>7</v>
      </c>
      <c r="V35" s="20">
        <v>9</v>
      </c>
      <c r="W35" s="30">
        <v>10</v>
      </c>
      <c r="X35" s="28">
        <v>0.32</v>
      </c>
      <c r="Z35" s="20">
        <v>1</v>
      </c>
      <c r="AA35" s="20">
        <v>1</v>
      </c>
      <c r="AB35" s="20">
        <v>0</v>
      </c>
      <c r="AC35" s="20">
        <v>1</v>
      </c>
      <c r="AD35" s="20">
        <v>1</v>
      </c>
      <c r="AE35" s="20">
        <v>1</v>
      </c>
      <c r="AF35" s="20">
        <v>1</v>
      </c>
      <c r="AG35" s="20">
        <v>0</v>
      </c>
      <c r="AK35" s="20">
        <v>18.57</v>
      </c>
      <c r="AL35" s="20">
        <v>6</v>
      </c>
      <c r="AM35" s="20"/>
      <c r="AN35" s="20"/>
      <c r="AO35" s="20">
        <v>31</v>
      </c>
      <c r="AP35" s="20" t="s">
        <v>5</v>
      </c>
      <c r="AQ35" s="20" t="s">
        <v>6</v>
      </c>
      <c r="AR35" s="33">
        <v>2</v>
      </c>
      <c r="AS35" s="30">
        <v>15</v>
      </c>
      <c r="AT35" s="30">
        <v>6</v>
      </c>
      <c r="AU35" s="27">
        <v>0.4</v>
      </c>
      <c r="AV35" s="28">
        <v>0.8</v>
      </c>
      <c r="AW35" s="20">
        <v>21</v>
      </c>
      <c r="AX35" s="20">
        <v>7</v>
      </c>
      <c r="AY35" s="30">
        <v>9</v>
      </c>
      <c r="AZ35" s="20">
        <v>10</v>
      </c>
      <c r="BA35" s="28">
        <v>0.32</v>
      </c>
      <c r="BB35" s="34">
        <v>1</v>
      </c>
      <c r="BC35" s="20">
        <v>14</v>
      </c>
      <c r="BD35" s="20">
        <v>3</v>
      </c>
      <c r="BE35" s="20" t="s">
        <v>119</v>
      </c>
      <c r="BF35" s="20" t="s">
        <v>252</v>
      </c>
      <c r="BG35" s="20">
        <v>15</v>
      </c>
      <c r="BH35" s="20">
        <v>6</v>
      </c>
      <c r="BI35" s="20">
        <v>9</v>
      </c>
      <c r="BJ35" s="20">
        <v>11</v>
      </c>
      <c r="BK35" s="20" t="s">
        <v>139</v>
      </c>
      <c r="BM35" s="20">
        <v>1</v>
      </c>
      <c r="BN35" s="20">
        <v>1</v>
      </c>
      <c r="BO35" s="20">
        <v>0</v>
      </c>
      <c r="BP35" s="20">
        <v>1</v>
      </c>
      <c r="BQ35" s="20">
        <v>1</v>
      </c>
      <c r="BR35" s="20">
        <v>1</v>
      </c>
      <c r="BS35" s="20">
        <v>1</v>
      </c>
      <c r="BT35" s="20">
        <v>0</v>
      </c>
      <c r="BX35" s="20">
        <v>18.57</v>
      </c>
      <c r="BY35" s="20">
        <v>6</v>
      </c>
      <c r="BZ35" s="20"/>
      <c r="CA35" s="20"/>
      <c r="CB35" s="20">
        <v>31</v>
      </c>
      <c r="CC35" s="20" t="s">
        <v>7</v>
      </c>
      <c r="CD35" s="20" t="s">
        <v>14</v>
      </c>
      <c r="CE35" s="33">
        <v>5</v>
      </c>
      <c r="CF35" s="20">
        <v>18</v>
      </c>
      <c r="CG35" s="20">
        <v>11</v>
      </c>
      <c r="CH35" s="20" t="s">
        <v>546</v>
      </c>
      <c r="CI35" s="20" t="s">
        <v>161</v>
      </c>
      <c r="CJ35" s="20">
        <v>32</v>
      </c>
      <c r="CK35" s="20">
        <v>18</v>
      </c>
      <c r="CL35" s="20">
        <v>13</v>
      </c>
      <c r="CM35" s="20">
        <v>11</v>
      </c>
      <c r="CN35" s="20" t="s">
        <v>304</v>
      </c>
      <c r="CO35" s="34">
        <v>1</v>
      </c>
      <c r="CP35" s="20">
        <v>8</v>
      </c>
      <c r="CQ35" s="20">
        <v>5</v>
      </c>
      <c r="CR35" s="20" t="s">
        <v>169</v>
      </c>
      <c r="CS35" s="20" t="s">
        <v>171</v>
      </c>
      <c r="CT35" s="20">
        <v>17</v>
      </c>
      <c r="CU35" s="20">
        <v>12</v>
      </c>
      <c r="CV35" s="20">
        <v>7</v>
      </c>
      <c r="CW35" s="20">
        <v>29</v>
      </c>
      <c r="CX35" s="20" t="s">
        <v>305</v>
      </c>
      <c r="CZ35" s="20">
        <v>1</v>
      </c>
      <c r="DA35" s="20">
        <v>0</v>
      </c>
      <c r="DB35" s="20">
        <v>0</v>
      </c>
      <c r="DC35" s="20">
        <v>1</v>
      </c>
      <c r="DD35" s="20">
        <v>1</v>
      </c>
      <c r="DE35" s="20">
        <v>1</v>
      </c>
      <c r="DF35" s="20">
        <v>1</v>
      </c>
      <c r="DG35" s="20">
        <v>0</v>
      </c>
      <c r="DK35" s="20">
        <v>1.39</v>
      </c>
      <c r="DL35" s="20">
        <v>15</v>
      </c>
      <c r="DO35" s="20">
        <v>31</v>
      </c>
      <c r="DP35" s="20" t="s">
        <v>19</v>
      </c>
      <c r="DQ35" s="20" t="s">
        <v>8</v>
      </c>
      <c r="DR35" s="33">
        <v>2</v>
      </c>
      <c r="DS35" s="20">
        <v>8</v>
      </c>
      <c r="DT35" s="20">
        <v>4</v>
      </c>
      <c r="DU35" s="20" t="s">
        <v>125</v>
      </c>
      <c r="DV35" s="20" t="s">
        <v>219</v>
      </c>
      <c r="DW35" s="20">
        <v>26</v>
      </c>
      <c r="DX35" s="20">
        <v>18</v>
      </c>
      <c r="DY35" s="20">
        <v>11</v>
      </c>
      <c r="DZ35" s="20">
        <v>19</v>
      </c>
      <c r="EA35" s="20" t="s">
        <v>442</v>
      </c>
      <c r="EB35" s="34">
        <v>1</v>
      </c>
      <c r="EC35" s="20">
        <v>10</v>
      </c>
      <c r="ED35" s="20">
        <v>3</v>
      </c>
      <c r="EE35" s="20" t="s">
        <v>237</v>
      </c>
      <c r="EF35" s="20" t="s">
        <v>147</v>
      </c>
      <c r="EG35" s="20">
        <v>24</v>
      </c>
      <c r="EH35" s="20">
        <v>14</v>
      </c>
      <c r="EI35" s="20">
        <v>9</v>
      </c>
      <c r="EJ35" s="20">
        <v>14</v>
      </c>
      <c r="EK35" s="20" t="s">
        <v>441</v>
      </c>
      <c r="EM35" s="20">
        <v>1</v>
      </c>
      <c r="EN35" s="20">
        <v>1</v>
      </c>
      <c r="EO35" s="20">
        <v>0</v>
      </c>
      <c r="EP35" s="20">
        <v>1</v>
      </c>
      <c r="EQ35" s="20">
        <v>1</v>
      </c>
      <c r="ER35" s="20">
        <v>1</v>
      </c>
      <c r="ES35" s="20">
        <v>0</v>
      </c>
      <c r="ET35" s="20">
        <v>0</v>
      </c>
      <c r="EX35" s="20">
        <v>20</v>
      </c>
      <c r="EY35" s="20">
        <v>2</v>
      </c>
      <c r="FB35" s="20">
        <v>31</v>
      </c>
      <c r="FC35" s="20" t="s">
        <v>9</v>
      </c>
      <c r="FD35" s="20" t="s">
        <v>20</v>
      </c>
      <c r="FE35" s="32">
        <v>1</v>
      </c>
      <c r="FF35" s="20">
        <v>8</v>
      </c>
      <c r="FG35" s="20">
        <v>1</v>
      </c>
      <c r="FH35" s="20" t="s">
        <v>122</v>
      </c>
      <c r="FI35" s="20" t="s">
        <v>134</v>
      </c>
      <c r="FJ35" s="20">
        <v>14</v>
      </c>
      <c r="FK35" s="20">
        <v>20</v>
      </c>
      <c r="FL35" s="20">
        <v>8</v>
      </c>
      <c r="FM35" s="20">
        <v>11</v>
      </c>
      <c r="FN35" s="20" t="s">
        <v>195</v>
      </c>
      <c r="FO35" s="32">
        <v>1</v>
      </c>
      <c r="FP35" s="20">
        <v>9</v>
      </c>
      <c r="FQ35" s="20">
        <v>2</v>
      </c>
      <c r="FR35" s="20" t="s">
        <v>146</v>
      </c>
      <c r="FS35" s="20" t="s">
        <v>176</v>
      </c>
      <c r="FT35" s="20">
        <v>31</v>
      </c>
      <c r="FU35" s="20">
        <v>12</v>
      </c>
      <c r="FV35" s="20">
        <v>10</v>
      </c>
      <c r="FW35" s="20">
        <v>9</v>
      </c>
      <c r="FX35" s="20" t="s">
        <v>196</v>
      </c>
      <c r="FZ35" s="32">
        <v>1</v>
      </c>
      <c r="GA35" s="32">
        <v>1</v>
      </c>
      <c r="GB35" s="32">
        <v>0</v>
      </c>
      <c r="GC35" s="32">
        <v>1</v>
      </c>
      <c r="GD35" s="32">
        <v>0</v>
      </c>
      <c r="GE35" s="32">
        <v>1</v>
      </c>
      <c r="GF35" s="32">
        <v>1</v>
      </c>
      <c r="GG35" s="32">
        <v>0</v>
      </c>
      <c r="GK35" s="32">
        <v>9.7200000000000006</v>
      </c>
      <c r="GL35" s="32">
        <v>17</v>
      </c>
      <c r="GO35" s="20">
        <v>31</v>
      </c>
      <c r="GP35" s="20" t="s">
        <v>10</v>
      </c>
      <c r="GQ35" s="20" t="s">
        <v>16</v>
      </c>
      <c r="GR35" s="32">
        <v>1</v>
      </c>
      <c r="GS35" s="20">
        <v>9</v>
      </c>
      <c r="GT35" s="20">
        <v>2</v>
      </c>
      <c r="GU35" s="20" t="s">
        <v>146</v>
      </c>
      <c r="GV35" s="20" t="s">
        <v>171</v>
      </c>
      <c r="GW35" s="20">
        <v>19</v>
      </c>
      <c r="GX35" s="20">
        <v>10</v>
      </c>
      <c r="GY35" s="20">
        <v>5</v>
      </c>
      <c r="GZ35" s="20">
        <v>11</v>
      </c>
      <c r="HA35" s="20" t="s">
        <v>132</v>
      </c>
      <c r="HB35" s="32">
        <v>1</v>
      </c>
      <c r="HC35" s="20">
        <v>7</v>
      </c>
      <c r="HD35" s="20">
        <v>3</v>
      </c>
      <c r="HE35" s="20" t="s">
        <v>207</v>
      </c>
      <c r="HF35" s="20" t="s">
        <v>117</v>
      </c>
      <c r="HG35" s="20">
        <v>28</v>
      </c>
      <c r="HH35" s="20">
        <v>16</v>
      </c>
      <c r="HI35" s="20">
        <v>4</v>
      </c>
      <c r="HJ35" s="20">
        <v>9</v>
      </c>
      <c r="HK35" s="20" t="s">
        <v>198</v>
      </c>
      <c r="HM35" s="32">
        <v>0</v>
      </c>
      <c r="HN35" s="32">
        <v>0</v>
      </c>
      <c r="HO35" s="32">
        <v>1</v>
      </c>
      <c r="HP35" s="32">
        <v>0</v>
      </c>
      <c r="HQ35" s="32">
        <v>0</v>
      </c>
      <c r="HR35" s="32">
        <v>1</v>
      </c>
      <c r="HS35" s="32">
        <v>0</v>
      </c>
      <c r="HT35" s="32">
        <v>1</v>
      </c>
      <c r="HX35" s="32">
        <v>20.63</v>
      </c>
      <c r="HY35" s="32">
        <v>9</v>
      </c>
      <c r="IB35" s="20">
        <v>31</v>
      </c>
      <c r="IC35" s="20" t="s">
        <v>11</v>
      </c>
      <c r="ID35" s="20" t="s">
        <v>13</v>
      </c>
      <c r="IE35" s="34">
        <v>1</v>
      </c>
      <c r="IF35" s="20">
        <v>15</v>
      </c>
      <c r="IG35" s="20">
        <v>6</v>
      </c>
      <c r="IH35" s="20" t="s">
        <v>133</v>
      </c>
      <c r="II35" s="20" t="s">
        <v>144</v>
      </c>
      <c r="IJ35" s="20">
        <v>20</v>
      </c>
      <c r="IK35" s="20">
        <v>20</v>
      </c>
      <c r="IL35" s="20">
        <v>7</v>
      </c>
      <c r="IM35" s="20">
        <v>13</v>
      </c>
      <c r="IN35" s="20" t="s">
        <v>427</v>
      </c>
      <c r="IO35" s="33">
        <v>2</v>
      </c>
      <c r="IP35" s="20">
        <v>8</v>
      </c>
      <c r="IQ35" s="20">
        <v>2</v>
      </c>
      <c r="IR35" s="20" t="s">
        <v>131</v>
      </c>
      <c r="IS35" s="20" t="s">
        <v>117</v>
      </c>
      <c r="IT35" s="20">
        <v>19</v>
      </c>
      <c r="IU35" s="20">
        <v>16</v>
      </c>
      <c r="IV35" s="20">
        <v>4</v>
      </c>
      <c r="IW35" s="20">
        <v>15</v>
      </c>
      <c r="IX35" s="20" t="s">
        <v>425</v>
      </c>
      <c r="IZ35" s="20">
        <v>0</v>
      </c>
      <c r="JA35" s="20">
        <v>0</v>
      </c>
      <c r="JB35" s="20">
        <v>0</v>
      </c>
      <c r="JC35" s="20">
        <v>0</v>
      </c>
      <c r="JD35" s="20">
        <v>0</v>
      </c>
      <c r="JE35" s="20">
        <v>0</v>
      </c>
      <c r="JF35" s="20">
        <v>0</v>
      </c>
      <c r="JG35" s="20">
        <v>0</v>
      </c>
      <c r="JK35" s="20">
        <v>15</v>
      </c>
      <c r="JL35" s="20">
        <v>1</v>
      </c>
      <c r="JO35" s="20">
        <v>31</v>
      </c>
      <c r="JP35" s="20" t="s">
        <v>12</v>
      </c>
      <c r="JQ35" s="20" t="s">
        <v>18</v>
      </c>
      <c r="JR35" s="32">
        <v>1</v>
      </c>
      <c r="JS35" s="20">
        <v>11</v>
      </c>
      <c r="JT35" s="20">
        <v>5</v>
      </c>
      <c r="JU35" s="20" t="s">
        <v>358</v>
      </c>
      <c r="JV35" s="20" t="s">
        <v>129</v>
      </c>
      <c r="JW35" s="20">
        <v>12</v>
      </c>
      <c r="JX35" s="20">
        <v>16</v>
      </c>
      <c r="JY35" s="20">
        <v>9</v>
      </c>
      <c r="JZ35" s="20">
        <v>4</v>
      </c>
      <c r="KA35" s="20" t="s">
        <v>364</v>
      </c>
      <c r="KB35" s="32">
        <v>1</v>
      </c>
      <c r="KC35" s="20">
        <v>5</v>
      </c>
      <c r="KD35" s="20">
        <v>1</v>
      </c>
      <c r="KE35" s="20" t="s">
        <v>141</v>
      </c>
      <c r="KF35" s="20" t="s">
        <v>280</v>
      </c>
      <c r="KG35" s="20">
        <v>12</v>
      </c>
      <c r="KH35" s="20">
        <v>20</v>
      </c>
      <c r="KI35" s="20">
        <v>9</v>
      </c>
      <c r="KJ35" s="20">
        <v>8</v>
      </c>
      <c r="KK35" s="20" t="s">
        <v>365</v>
      </c>
      <c r="KM35" s="32">
        <v>1</v>
      </c>
      <c r="KN35" s="32">
        <v>1</v>
      </c>
      <c r="KO35" s="32">
        <v>1</v>
      </c>
      <c r="KP35" s="32">
        <v>0</v>
      </c>
      <c r="KQ35" s="32">
        <v>0</v>
      </c>
      <c r="KR35" s="32">
        <v>0</v>
      </c>
      <c r="KS35" s="32">
        <v>1</v>
      </c>
      <c r="KT35" s="32">
        <v>1</v>
      </c>
      <c r="KX35" s="32">
        <v>25.45</v>
      </c>
      <c r="KY35" s="32">
        <v>0</v>
      </c>
      <c r="LB35" s="20">
        <v>31</v>
      </c>
      <c r="LC35" s="20" t="s">
        <v>11</v>
      </c>
      <c r="LD35" s="20" t="s">
        <v>13</v>
      </c>
      <c r="LE35" s="33">
        <v>2</v>
      </c>
      <c r="LF35" s="20">
        <v>8</v>
      </c>
      <c r="LG35" s="20">
        <v>2</v>
      </c>
      <c r="LH35" s="20" t="s">
        <v>131</v>
      </c>
      <c r="LI35" s="20" t="s">
        <v>117</v>
      </c>
      <c r="LJ35" s="20">
        <v>19</v>
      </c>
      <c r="LK35" s="20">
        <v>16</v>
      </c>
      <c r="LL35" s="20">
        <v>4</v>
      </c>
      <c r="LM35" s="20">
        <v>15</v>
      </c>
      <c r="LN35" s="20" t="s">
        <v>425</v>
      </c>
      <c r="LO35" s="34">
        <v>1</v>
      </c>
      <c r="LP35" s="20">
        <v>15</v>
      </c>
      <c r="LQ35" s="20">
        <v>6</v>
      </c>
      <c r="LR35" s="20" t="s">
        <v>133</v>
      </c>
      <c r="LS35" s="20" t="s">
        <v>144</v>
      </c>
      <c r="LT35" s="20">
        <v>20</v>
      </c>
      <c r="LU35" s="20">
        <v>20</v>
      </c>
      <c r="LV35" s="20">
        <v>7</v>
      </c>
      <c r="LW35" s="20">
        <v>13</v>
      </c>
      <c r="LX35" s="20" t="s">
        <v>427</v>
      </c>
      <c r="LZ35" s="20">
        <v>0</v>
      </c>
      <c r="MA35" s="20">
        <v>0</v>
      </c>
      <c r="MB35" s="20">
        <v>0</v>
      </c>
      <c r="MC35" s="20">
        <v>0</v>
      </c>
      <c r="MD35" s="20">
        <v>0</v>
      </c>
      <c r="ME35" s="20">
        <v>0</v>
      </c>
      <c r="MF35" s="20">
        <v>0</v>
      </c>
      <c r="MG35" s="20">
        <v>0</v>
      </c>
      <c r="MK35" s="20">
        <v>15</v>
      </c>
      <c r="ML35" s="20">
        <v>1</v>
      </c>
      <c r="MO35" s="20">
        <v>31</v>
      </c>
      <c r="MP35" s="20" t="s">
        <v>7</v>
      </c>
      <c r="MQ35" s="20" t="s">
        <v>14</v>
      </c>
      <c r="MR35" s="34">
        <v>1</v>
      </c>
      <c r="MS35" s="20">
        <v>8</v>
      </c>
      <c r="MT35" s="20">
        <v>5</v>
      </c>
      <c r="MU35" s="20" t="s">
        <v>169</v>
      </c>
      <c r="MV35" s="20" t="s">
        <v>171</v>
      </c>
      <c r="MW35" s="20">
        <v>17</v>
      </c>
      <c r="MX35" s="20">
        <v>12</v>
      </c>
      <c r="MY35" s="20">
        <v>7</v>
      </c>
      <c r="MZ35" s="20">
        <v>29</v>
      </c>
      <c r="NA35" s="20" t="s">
        <v>305</v>
      </c>
      <c r="NB35" s="33">
        <v>5</v>
      </c>
      <c r="NC35" s="20">
        <v>18</v>
      </c>
      <c r="ND35" s="20">
        <v>11</v>
      </c>
      <c r="NE35" s="20" t="s">
        <v>546</v>
      </c>
      <c r="NF35" s="20" t="s">
        <v>161</v>
      </c>
      <c r="NG35" s="20">
        <v>32</v>
      </c>
      <c r="NH35" s="20">
        <v>18</v>
      </c>
      <c r="NI35" s="20">
        <v>13</v>
      </c>
      <c r="NJ35" s="20">
        <v>11</v>
      </c>
      <c r="NK35" s="20" t="s">
        <v>304</v>
      </c>
      <c r="NM35" s="20">
        <v>1</v>
      </c>
      <c r="NN35" s="20">
        <v>0</v>
      </c>
      <c r="NO35" s="20">
        <v>0</v>
      </c>
      <c r="NP35" s="20">
        <v>1</v>
      </c>
      <c r="NQ35" s="20">
        <v>1</v>
      </c>
      <c r="NR35" s="20">
        <v>1</v>
      </c>
      <c r="NS35" s="20">
        <v>1</v>
      </c>
      <c r="NT35" s="20">
        <v>0</v>
      </c>
      <c r="NX35" s="20">
        <v>1.39</v>
      </c>
      <c r="NY35" s="20">
        <v>15</v>
      </c>
      <c r="OB35" s="20">
        <v>31</v>
      </c>
      <c r="OC35" s="20" t="s">
        <v>15</v>
      </c>
      <c r="OD35" s="20" t="s">
        <v>17</v>
      </c>
      <c r="OE35" s="33">
        <v>2</v>
      </c>
      <c r="OF35" s="20">
        <v>13</v>
      </c>
      <c r="OG35" s="20">
        <v>6</v>
      </c>
      <c r="OH35" s="20" t="s">
        <v>350</v>
      </c>
      <c r="OI35" s="20" t="s">
        <v>230</v>
      </c>
      <c r="OJ35" s="20">
        <v>21</v>
      </c>
      <c r="OK35" s="20">
        <v>10</v>
      </c>
      <c r="OL35" s="20">
        <v>13</v>
      </c>
      <c r="OM35" s="20">
        <v>20</v>
      </c>
      <c r="ON35" s="20" t="s">
        <v>169</v>
      </c>
      <c r="OO35" s="34">
        <v>1</v>
      </c>
      <c r="OP35" s="20">
        <v>7</v>
      </c>
      <c r="OQ35" s="20">
        <v>4</v>
      </c>
      <c r="OR35" s="20" t="s">
        <v>226</v>
      </c>
      <c r="OS35" s="20" t="s">
        <v>203</v>
      </c>
      <c r="OT35" s="20">
        <v>32</v>
      </c>
      <c r="OU35" s="20">
        <v>14</v>
      </c>
      <c r="OV35" s="20">
        <v>4</v>
      </c>
      <c r="OW35" s="20">
        <v>14</v>
      </c>
      <c r="OX35" s="20" t="s">
        <v>153</v>
      </c>
      <c r="OZ35" s="20">
        <v>1</v>
      </c>
      <c r="PA35" s="20">
        <v>0</v>
      </c>
      <c r="PB35" s="20">
        <v>1</v>
      </c>
      <c r="PC35" s="20">
        <v>0</v>
      </c>
      <c r="PD35" s="20">
        <v>0</v>
      </c>
      <c r="PE35" s="20">
        <v>1</v>
      </c>
      <c r="PF35" s="20">
        <v>0</v>
      </c>
      <c r="PG35" s="20">
        <v>1</v>
      </c>
      <c r="PK35" s="20">
        <v>10.99</v>
      </c>
      <c r="PL35" s="20">
        <v>11</v>
      </c>
      <c r="PO35" s="20">
        <v>31</v>
      </c>
      <c r="PP35" s="20" t="s">
        <v>15</v>
      </c>
      <c r="PQ35" s="20" t="s">
        <v>17</v>
      </c>
      <c r="PR35" s="34">
        <v>1</v>
      </c>
      <c r="PS35" s="20">
        <v>7</v>
      </c>
      <c r="PT35" s="20">
        <v>4</v>
      </c>
      <c r="PU35" s="20" t="s">
        <v>226</v>
      </c>
      <c r="PV35" s="20" t="s">
        <v>203</v>
      </c>
      <c r="PW35" s="20">
        <v>32</v>
      </c>
      <c r="PX35" s="20">
        <v>14</v>
      </c>
      <c r="PY35" s="20">
        <v>4</v>
      </c>
      <c r="PZ35" s="20">
        <v>14</v>
      </c>
      <c r="QA35" s="20" t="s">
        <v>153</v>
      </c>
      <c r="QB35" s="33">
        <v>2</v>
      </c>
      <c r="QC35" s="20">
        <v>13</v>
      </c>
      <c r="QD35" s="20">
        <v>6</v>
      </c>
      <c r="QE35" s="20" t="s">
        <v>350</v>
      </c>
      <c r="QF35" s="20" t="s">
        <v>230</v>
      </c>
      <c r="QG35" s="20">
        <v>21</v>
      </c>
      <c r="QH35" s="20">
        <v>10</v>
      </c>
      <c r="QI35" s="20">
        <v>13</v>
      </c>
      <c r="QJ35" s="20">
        <v>20</v>
      </c>
      <c r="QK35" s="20" t="s">
        <v>169</v>
      </c>
      <c r="QM35" s="20">
        <v>1</v>
      </c>
      <c r="QN35" s="20">
        <v>0</v>
      </c>
      <c r="QO35" s="20">
        <v>1</v>
      </c>
      <c r="QP35" s="20">
        <v>0</v>
      </c>
      <c r="QQ35" s="20">
        <v>0</v>
      </c>
      <c r="QR35" s="20">
        <v>1</v>
      </c>
      <c r="QS35" s="20">
        <v>0</v>
      </c>
      <c r="QT35" s="20">
        <v>1</v>
      </c>
      <c r="QX35" s="20">
        <v>10.99</v>
      </c>
      <c r="QY35" s="20">
        <v>11</v>
      </c>
      <c r="RB35" s="20">
        <v>31</v>
      </c>
      <c r="RC35" s="20" t="s">
        <v>12</v>
      </c>
      <c r="RD35" s="20" t="s">
        <v>18</v>
      </c>
      <c r="RE35" s="32">
        <v>1</v>
      </c>
      <c r="RF35" s="20">
        <v>5</v>
      </c>
      <c r="RG35" s="20">
        <v>1</v>
      </c>
      <c r="RH35" s="20" t="s">
        <v>141</v>
      </c>
      <c r="RI35" s="20" t="s">
        <v>280</v>
      </c>
      <c r="RJ35" s="20">
        <v>12</v>
      </c>
      <c r="RK35" s="20">
        <v>20</v>
      </c>
      <c r="RL35" s="20">
        <v>9</v>
      </c>
      <c r="RM35" s="20">
        <v>8</v>
      </c>
      <c r="RN35" s="20" t="s">
        <v>365</v>
      </c>
      <c r="RO35" s="32">
        <v>1</v>
      </c>
      <c r="RP35" s="20">
        <v>11</v>
      </c>
      <c r="RQ35" s="20">
        <v>5</v>
      </c>
      <c r="RR35" s="20" t="s">
        <v>358</v>
      </c>
      <c r="RS35" s="20" t="s">
        <v>129</v>
      </c>
      <c r="RT35" s="20">
        <v>12</v>
      </c>
      <c r="RU35" s="20">
        <v>16</v>
      </c>
      <c r="RV35" s="20">
        <v>9</v>
      </c>
      <c r="RW35" s="20">
        <v>4</v>
      </c>
      <c r="RX35" s="20" t="s">
        <v>364</v>
      </c>
      <c r="RZ35" s="32">
        <v>1</v>
      </c>
      <c r="SA35" s="32">
        <v>1</v>
      </c>
      <c r="SB35" s="32">
        <v>1</v>
      </c>
      <c r="SC35" s="32">
        <v>0</v>
      </c>
      <c r="SD35" s="32">
        <v>0</v>
      </c>
      <c r="SE35" s="32">
        <v>0</v>
      </c>
      <c r="SF35" s="32">
        <v>1</v>
      </c>
      <c r="SG35" s="32">
        <v>1</v>
      </c>
      <c r="SK35" s="32">
        <v>25.45</v>
      </c>
      <c r="SL35" s="32">
        <v>0</v>
      </c>
      <c r="SO35" s="20">
        <v>31</v>
      </c>
      <c r="SP35" s="20" t="s">
        <v>19</v>
      </c>
      <c r="SQ35" s="20" t="s">
        <v>8</v>
      </c>
      <c r="SR35" s="34">
        <v>1</v>
      </c>
      <c r="SS35" s="20">
        <v>10</v>
      </c>
      <c r="ST35" s="20">
        <v>3</v>
      </c>
      <c r="SU35" s="20" t="s">
        <v>237</v>
      </c>
      <c r="SV35" s="20" t="s">
        <v>147</v>
      </c>
      <c r="SW35" s="20">
        <v>24</v>
      </c>
      <c r="SX35" s="20">
        <v>14</v>
      </c>
      <c r="SY35" s="20">
        <v>9</v>
      </c>
      <c r="SZ35" s="20">
        <v>14</v>
      </c>
      <c r="TA35" s="20" t="s">
        <v>441</v>
      </c>
      <c r="TB35" s="33">
        <v>2</v>
      </c>
      <c r="TC35" s="20">
        <v>8</v>
      </c>
      <c r="TD35" s="20">
        <v>4</v>
      </c>
      <c r="TE35" s="20" t="s">
        <v>125</v>
      </c>
      <c r="TF35" s="20" t="s">
        <v>219</v>
      </c>
      <c r="TG35" s="20">
        <v>26</v>
      </c>
      <c r="TH35" s="20">
        <v>18</v>
      </c>
      <c r="TI35" s="20">
        <v>11</v>
      </c>
      <c r="TJ35" s="20">
        <v>19</v>
      </c>
      <c r="TK35" s="20" t="s">
        <v>442</v>
      </c>
      <c r="TM35" s="20">
        <v>1</v>
      </c>
      <c r="TN35" s="20">
        <v>1</v>
      </c>
      <c r="TO35" s="20">
        <v>0</v>
      </c>
      <c r="TP35" s="20">
        <v>1</v>
      </c>
      <c r="TQ35" s="20">
        <v>1</v>
      </c>
      <c r="TR35" s="20">
        <v>1</v>
      </c>
      <c r="TS35" s="20">
        <v>0</v>
      </c>
      <c r="TT35" s="20">
        <v>0</v>
      </c>
      <c r="TX35" s="20">
        <v>20</v>
      </c>
      <c r="TY35" s="20">
        <v>2</v>
      </c>
      <c r="UB35" s="20">
        <v>31</v>
      </c>
      <c r="UC35" s="20" t="s">
        <v>10</v>
      </c>
      <c r="UD35" s="20" t="s">
        <v>16</v>
      </c>
      <c r="UE35" s="32">
        <v>1</v>
      </c>
      <c r="UF35" s="20">
        <v>7</v>
      </c>
      <c r="UG35" s="20">
        <v>3</v>
      </c>
      <c r="UH35" s="20" t="s">
        <v>207</v>
      </c>
      <c r="UI35" s="20" t="s">
        <v>117</v>
      </c>
      <c r="UJ35" s="20">
        <v>28</v>
      </c>
      <c r="UK35" s="20">
        <v>16</v>
      </c>
      <c r="UL35" s="20">
        <v>4</v>
      </c>
      <c r="UM35" s="20">
        <v>9</v>
      </c>
      <c r="UN35" s="20" t="s">
        <v>198</v>
      </c>
      <c r="UO35" s="32">
        <v>1</v>
      </c>
      <c r="UP35" s="20">
        <v>9</v>
      </c>
      <c r="UQ35" s="20">
        <v>2</v>
      </c>
      <c r="UR35" s="20" t="s">
        <v>146</v>
      </c>
      <c r="US35" s="20" t="s">
        <v>171</v>
      </c>
      <c r="UT35" s="20">
        <v>19</v>
      </c>
      <c r="UU35" s="20">
        <v>10</v>
      </c>
      <c r="UV35" s="20">
        <v>5</v>
      </c>
      <c r="UW35" s="20">
        <v>11</v>
      </c>
      <c r="UX35" s="20" t="s">
        <v>132</v>
      </c>
      <c r="UZ35" s="32">
        <v>0</v>
      </c>
      <c r="VA35" s="32">
        <v>0</v>
      </c>
      <c r="VB35" s="32">
        <v>1</v>
      </c>
      <c r="VC35" s="32">
        <v>0</v>
      </c>
      <c r="VD35" s="32">
        <v>0</v>
      </c>
      <c r="VE35" s="32">
        <v>1</v>
      </c>
      <c r="VF35" s="32">
        <v>0</v>
      </c>
      <c r="VG35" s="32">
        <v>1</v>
      </c>
      <c r="VK35" s="32">
        <v>20.63</v>
      </c>
      <c r="VL35" s="32">
        <v>9</v>
      </c>
      <c r="VO35" s="20">
        <v>31</v>
      </c>
      <c r="VP35" s="20" t="s">
        <v>9</v>
      </c>
      <c r="VQ35" s="20" t="s">
        <v>20</v>
      </c>
      <c r="VR35" s="32">
        <v>1</v>
      </c>
      <c r="VS35" s="20">
        <v>9</v>
      </c>
      <c r="VT35" s="20">
        <v>2</v>
      </c>
      <c r="VU35" s="20" t="s">
        <v>146</v>
      </c>
      <c r="VV35" s="20" t="s">
        <v>176</v>
      </c>
      <c r="VW35" s="20">
        <v>31</v>
      </c>
      <c r="VX35" s="20">
        <v>12</v>
      </c>
      <c r="VY35" s="20">
        <v>10</v>
      </c>
      <c r="VZ35" s="20">
        <v>9</v>
      </c>
      <c r="WA35" s="20" t="s">
        <v>196</v>
      </c>
      <c r="WB35" s="32">
        <v>1</v>
      </c>
      <c r="WC35" s="20">
        <v>8</v>
      </c>
      <c r="WD35" s="20">
        <v>1</v>
      </c>
      <c r="WE35" s="20" t="s">
        <v>122</v>
      </c>
      <c r="WF35" s="20" t="s">
        <v>134</v>
      </c>
      <c r="WG35" s="20">
        <v>14</v>
      </c>
      <c r="WH35" s="20">
        <v>20</v>
      </c>
      <c r="WI35" s="20">
        <v>8</v>
      </c>
      <c r="WJ35" s="20">
        <v>11</v>
      </c>
      <c r="WK35" s="20" t="s">
        <v>195</v>
      </c>
      <c r="WM35" s="32">
        <v>1</v>
      </c>
      <c r="WN35" s="32">
        <v>1</v>
      </c>
      <c r="WO35" s="32">
        <v>0</v>
      </c>
      <c r="WP35" s="32">
        <v>1</v>
      </c>
      <c r="WQ35" s="32">
        <v>0</v>
      </c>
      <c r="WR35" s="32">
        <v>1</v>
      </c>
      <c r="WS35" s="32">
        <v>1</v>
      </c>
      <c r="WT35" s="32">
        <v>0</v>
      </c>
      <c r="WX35" s="32">
        <v>9.7200000000000006</v>
      </c>
      <c r="WY35" s="32">
        <v>17</v>
      </c>
      <c r="XB35" s="20">
        <v>31</v>
      </c>
      <c r="XC35" s="20" t="s">
        <v>23</v>
      </c>
      <c r="XD35" s="20" t="s">
        <v>34</v>
      </c>
      <c r="XE35" s="32">
        <v>0</v>
      </c>
      <c r="XF35" s="20">
        <v>11</v>
      </c>
      <c r="XG35" s="20">
        <v>1</v>
      </c>
      <c r="XH35" s="20" t="s">
        <v>264</v>
      </c>
      <c r="XI35" s="20" t="s">
        <v>156</v>
      </c>
      <c r="XJ35" s="20">
        <v>16</v>
      </c>
      <c r="XK35" s="20">
        <v>24</v>
      </c>
      <c r="XL35" s="20">
        <v>9</v>
      </c>
      <c r="XM35" s="20">
        <v>11</v>
      </c>
      <c r="XN35" s="20" t="s">
        <v>540</v>
      </c>
      <c r="XO35" s="32">
        <v>0</v>
      </c>
      <c r="XP35" s="20">
        <v>16</v>
      </c>
      <c r="XQ35" s="20">
        <v>4</v>
      </c>
      <c r="XR35" s="20" t="s">
        <v>131</v>
      </c>
      <c r="XS35" s="20" t="s">
        <v>147</v>
      </c>
      <c r="XT35" s="20">
        <v>16</v>
      </c>
      <c r="XU35" s="20">
        <v>35</v>
      </c>
      <c r="XV35" s="20">
        <v>9</v>
      </c>
      <c r="XW35" s="20">
        <v>7</v>
      </c>
      <c r="XX35" s="20" t="s">
        <v>539</v>
      </c>
      <c r="XZ35" s="32">
        <v>1</v>
      </c>
      <c r="YA35" s="32">
        <v>1</v>
      </c>
      <c r="YB35" s="32">
        <v>1</v>
      </c>
      <c r="YC35" s="32">
        <v>0</v>
      </c>
      <c r="YD35" s="32">
        <v>1</v>
      </c>
      <c r="YE35" s="32">
        <v>0</v>
      </c>
      <c r="YF35" s="32">
        <v>1</v>
      </c>
      <c r="YG35" s="32">
        <v>1</v>
      </c>
      <c r="YK35" s="32">
        <v>15.91</v>
      </c>
      <c r="YL35" s="32">
        <v>0</v>
      </c>
      <c r="YO35" s="20">
        <v>31</v>
      </c>
      <c r="YP35" s="20" t="s">
        <v>21</v>
      </c>
      <c r="YQ35" s="20" t="s">
        <v>22</v>
      </c>
      <c r="YR35" s="33">
        <v>2</v>
      </c>
      <c r="YS35" s="20">
        <v>16</v>
      </c>
      <c r="YT35" s="20">
        <v>7</v>
      </c>
      <c r="YU35" s="20" t="s">
        <v>303</v>
      </c>
      <c r="YV35" s="20" t="s">
        <v>123</v>
      </c>
      <c r="YW35" s="20">
        <v>26</v>
      </c>
      <c r="YX35" s="20">
        <v>13</v>
      </c>
      <c r="YY35" s="20">
        <v>11</v>
      </c>
      <c r="YZ35" s="20">
        <v>15</v>
      </c>
      <c r="ZA35" s="20" t="s">
        <v>547</v>
      </c>
      <c r="ZB35" s="34">
        <v>0</v>
      </c>
      <c r="ZC35" s="20">
        <v>15</v>
      </c>
      <c r="ZD35" s="20">
        <v>3</v>
      </c>
      <c r="ZE35" s="20" t="s">
        <v>141</v>
      </c>
      <c r="ZF35" s="20" t="s">
        <v>139</v>
      </c>
      <c r="ZG35" s="20">
        <v>21</v>
      </c>
      <c r="ZH35" s="20">
        <v>20</v>
      </c>
      <c r="ZI35" s="20">
        <v>6</v>
      </c>
      <c r="ZJ35" s="20">
        <v>13</v>
      </c>
      <c r="ZK35" s="20" t="s">
        <v>548</v>
      </c>
      <c r="ZM35" s="20">
        <v>1</v>
      </c>
      <c r="ZN35" s="20">
        <v>1</v>
      </c>
      <c r="ZO35" s="20">
        <v>1</v>
      </c>
      <c r="ZP35" s="20">
        <v>1</v>
      </c>
      <c r="ZQ35" s="20">
        <v>0</v>
      </c>
      <c r="ZR35" s="20">
        <v>1</v>
      </c>
      <c r="ZS35" s="20">
        <v>0</v>
      </c>
      <c r="ZT35" s="20">
        <v>1</v>
      </c>
      <c r="ZX35" s="20">
        <v>23.75</v>
      </c>
      <c r="ZY35" s="20">
        <v>5</v>
      </c>
      <c r="AAB35" s="20">
        <v>31</v>
      </c>
      <c r="AAC35" s="20" t="s">
        <v>21</v>
      </c>
      <c r="AAD35" s="20" t="s">
        <v>22</v>
      </c>
      <c r="AAE35" s="34">
        <v>0</v>
      </c>
      <c r="AAF35" s="20">
        <v>15</v>
      </c>
      <c r="AAG35" s="20">
        <v>3</v>
      </c>
      <c r="AAH35" s="20" t="s">
        <v>141</v>
      </c>
      <c r="AAI35" s="20" t="s">
        <v>139</v>
      </c>
      <c r="AAJ35" s="20">
        <v>21</v>
      </c>
      <c r="AAK35" s="20">
        <v>20</v>
      </c>
      <c r="AAL35" s="20">
        <v>6</v>
      </c>
      <c r="AAM35" s="20">
        <v>13</v>
      </c>
      <c r="AAN35" s="20" t="s">
        <v>548</v>
      </c>
      <c r="AAO35" s="33">
        <v>2</v>
      </c>
      <c r="AAP35" s="20">
        <v>16</v>
      </c>
      <c r="AAQ35" s="20">
        <v>7</v>
      </c>
      <c r="AAR35" s="20" t="s">
        <v>303</v>
      </c>
      <c r="AAS35" s="20" t="s">
        <v>123</v>
      </c>
      <c r="AAT35" s="20">
        <v>26</v>
      </c>
      <c r="AAU35" s="20">
        <v>13</v>
      </c>
      <c r="AAV35" s="20">
        <v>11</v>
      </c>
      <c r="AAW35" s="20">
        <v>15</v>
      </c>
      <c r="AAX35" s="20" t="s">
        <v>547</v>
      </c>
      <c r="AAZ35" s="20">
        <v>1</v>
      </c>
      <c r="ABA35" s="20">
        <v>1</v>
      </c>
      <c r="ABB35" s="20">
        <v>1</v>
      </c>
      <c r="ABC35" s="20">
        <v>1</v>
      </c>
      <c r="ABD35" s="20">
        <v>0</v>
      </c>
      <c r="ABE35" s="20">
        <v>1</v>
      </c>
      <c r="ABF35" s="20">
        <v>0</v>
      </c>
      <c r="ABG35" s="20">
        <v>1</v>
      </c>
      <c r="ABK35" s="20">
        <v>23.75</v>
      </c>
      <c r="ABL35" s="20">
        <v>5</v>
      </c>
      <c r="ABO35" s="20">
        <v>31</v>
      </c>
      <c r="ABP35" s="20" t="s">
        <v>23</v>
      </c>
      <c r="ABQ35" s="20" t="s">
        <v>34</v>
      </c>
      <c r="ABR35" s="32">
        <v>0</v>
      </c>
      <c r="ABS35" s="20">
        <v>16</v>
      </c>
      <c r="ABT35" s="20">
        <v>4</v>
      </c>
      <c r="ABU35" s="20" t="s">
        <v>131</v>
      </c>
      <c r="ABV35" s="20" t="s">
        <v>147</v>
      </c>
      <c r="ABW35" s="20">
        <v>16</v>
      </c>
      <c r="ABX35" s="20">
        <v>35</v>
      </c>
      <c r="ABY35" s="20">
        <v>9</v>
      </c>
      <c r="ABZ35" s="20">
        <v>7</v>
      </c>
      <c r="ACA35" s="20" t="s">
        <v>539</v>
      </c>
      <c r="ACB35" s="32">
        <v>0</v>
      </c>
      <c r="ACC35" s="20">
        <v>11</v>
      </c>
      <c r="ACD35" s="20">
        <v>1</v>
      </c>
      <c r="ACE35" s="20" t="s">
        <v>264</v>
      </c>
      <c r="ACF35" s="20" t="s">
        <v>156</v>
      </c>
      <c r="ACG35" s="20">
        <v>16</v>
      </c>
      <c r="ACH35" s="20">
        <v>24</v>
      </c>
      <c r="ACI35" s="20">
        <v>9</v>
      </c>
      <c r="ACJ35" s="20">
        <v>11</v>
      </c>
      <c r="ACK35" s="20" t="s">
        <v>540</v>
      </c>
      <c r="ACM35" s="32">
        <v>1</v>
      </c>
      <c r="ACN35" s="32">
        <v>1</v>
      </c>
      <c r="ACO35" s="32">
        <v>1</v>
      </c>
      <c r="ACP35" s="32">
        <v>0</v>
      </c>
      <c r="ACQ35" s="32">
        <v>1</v>
      </c>
      <c r="ACR35" s="32">
        <v>0</v>
      </c>
      <c r="ACS35" s="32">
        <v>1</v>
      </c>
      <c r="ACT35" s="32">
        <v>1</v>
      </c>
      <c r="ACX35" s="32">
        <v>15.91</v>
      </c>
      <c r="ACY35" s="32">
        <v>0</v>
      </c>
    </row>
    <row r="36" spans="1:781" x14ac:dyDescent="0.3">
      <c r="A36" s="27"/>
      <c r="B36" s="20">
        <v>32</v>
      </c>
      <c r="C36" s="20" t="s">
        <v>13</v>
      </c>
      <c r="D36" s="20" t="s">
        <v>5</v>
      </c>
      <c r="E36" s="34">
        <v>0</v>
      </c>
      <c r="F36" s="20">
        <v>13</v>
      </c>
      <c r="G36" s="30">
        <v>6</v>
      </c>
      <c r="H36" s="27">
        <v>0.46150000000000002</v>
      </c>
      <c r="I36" s="28">
        <v>0.86</v>
      </c>
      <c r="J36" s="20">
        <v>18</v>
      </c>
      <c r="K36" s="20">
        <v>14</v>
      </c>
      <c r="L36" s="20">
        <v>3</v>
      </c>
      <c r="M36" s="30">
        <v>17</v>
      </c>
      <c r="N36" s="27">
        <v>0.73799999999999999</v>
      </c>
      <c r="O36" s="33">
        <v>1</v>
      </c>
      <c r="P36" s="20">
        <v>5</v>
      </c>
      <c r="Q36" s="30">
        <v>1</v>
      </c>
      <c r="R36" s="27">
        <v>0.2</v>
      </c>
      <c r="S36" s="28">
        <v>0.62</v>
      </c>
      <c r="T36" s="20">
        <v>24</v>
      </c>
      <c r="U36" s="20">
        <v>15</v>
      </c>
      <c r="V36" s="20">
        <v>5</v>
      </c>
      <c r="W36" s="30">
        <v>10</v>
      </c>
      <c r="X36" s="27">
        <v>0.26200000000000001</v>
      </c>
      <c r="Z36" s="20">
        <v>0</v>
      </c>
      <c r="AA36" s="20">
        <v>0</v>
      </c>
      <c r="AB36" s="20">
        <v>0</v>
      </c>
      <c r="AC36" s="20">
        <v>1</v>
      </c>
      <c r="AD36" s="20">
        <v>1</v>
      </c>
      <c r="AE36" s="20">
        <v>1</v>
      </c>
      <c r="AF36" s="20">
        <v>1</v>
      </c>
      <c r="AG36" s="20">
        <v>0</v>
      </c>
      <c r="AK36" s="20">
        <v>26.15</v>
      </c>
      <c r="AL36" s="20">
        <v>6</v>
      </c>
      <c r="AM36" s="20"/>
      <c r="AN36" s="20"/>
      <c r="AO36" s="20">
        <v>32</v>
      </c>
      <c r="AP36" s="20" t="s">
        <v>6</v>
      </c>
      <c r="AQ36" s="20" t="s">
        <v>19</v>
      </c>
      <c r="AR36" s="33">
        <v>4</v>
      </c>
      <c r="AS36" s="30">
        <v>13</v>
      </c>
      <c r="AT36" s="30">
        <v>6</v>
      </c>
      <c r="AU36" s="27">
        <v>0.46150000000000002</v>
      </c>
      <c r="AV36" s="28">
        <v>0.85</v>
      </c>
      <c r="AW36" s="20">
        <v>28</v>
      </c>
      <c r="AX36" s="20">
        <v>22</v>
      </c>
      <c r="AY36" s="30">
        <v>4</v>
      </c>
      <c r="AZ36" s="20">
        <v>12</v>
      </c>
      <c r="BA36" s="27">
        <v>0.61099999999999999</v>
      </c>
      <c r="BB36" s="34">
        <v>0</v>
      </c>
      <c r="BC36" s="20">
        <v>9</v>
      </c>
      <c r="BD36" s="20">
        <v>2</v>
      </c>
      <c r="BE36" s="20" t="s">
        <v>146</v>
      </c>
      <c r="BF36" s="20" t="s">
        <v>203</v>
      </c>
      <c r="BG36" s="20">
        <v>16</v>
      </c>
      <c r="BH36" s="20">
        <v>12</v>
      </c>
      <c r="BI36" s="20">
        <v>7</v>
      </c>
      <c r="BJ36" s="20">
        <v>18</v>
      </c>
      <c r="BK36" s="20" t="s">
        <v>444</v>
      </c>
      <c r="BM36" s="20">
        <v>1</v>
      </c>
      <c r="BN36" s="20">
        <v>1</v>
      </c>
      <c r="BO36" s="20">
        <v>1</v>
      </c>
      <c r="BP36" s="20">
        <v>1</v>
      </c>
      <c r="BQ36" s="20">
        <v>1</v>
      </c>
      <c r="BR36" s="20">
        <v>0</v>
      </c>
      <c r="BS36" s="20">
        <v>1</v>
      </c>
      <c r="BT36" s="20">
        <v>1</v>
      </c>
      <c r="BX36" s="20">
        <v>23.93</v>
      </c>
      <c r="BY36" s="20">
        <v>12</v>
      </c>
      <c r="BZ36" s="20"/>
      <c r="CA36" s="20"/>
      <c r="CB36" s="20">
        <v>32</v>
      </c>
      <c r="CC36" s="20" t="s">
        <v>18</v>
      </c>
      <c r="CD36" s="20" t="s">
        <v>7</v>
      </c>
      <c r="CE36" s="33">
        <v>3</v>
      </c>
      <c r="CF36" s="20">
        <v>14</v>
      </c>
      <c r="CG36" s="20">
        <v>5</v>
      </c>
      <c r="CH36" s="20" t="s">
        <v>297</v>
      </c>
      <c r="CI36" s="20" t="s">
        <v>123</v>
      </c>
      <c r="CJ36" s="20">
        <v>14</v>
      </c>
      <c r="CK36" s="20">
        <v>21</v>
      </c>
      <c r="CL36" s="20">
        <v>8</v>
      </c>
      <c r="CM36" s="20">
        <v>17</v>
      </c>
      <c r="CN36" s="20" t="s">
        <v>323</v>
      </c>
      <c r="CO36" s="34">
        <v>1</v>
      </c>
      <c r="CP36" s="20">
        <v>10</v>
      </c>
      <c r="CQ36" s="20">
        <v>4</v>
      </c>
      <c r="CR36" s="20" t="s">
        <v>133</v>
      </c>
      <c r="CS36" s="20" t="s">
        <v>154</v>
      </c>
      <c r="CT36" s="20">
        <v>25</v>
      </c>
      <c r="CU36" s="20">
        <v>22</v>
      </c>
      <c r="CV36" s="20">
        <v>5</v>
      </c>
      <c r="CW36" s="20">
        <v>10</v>
      </c>
      <c r="CX36" s="20" t="s">
        <v>324</v>
      </c>
      <c r="CZ36" s="20">
        <v>1</v>
      </c>
      <c r="DA36" s="20">
        <v>0</v>
      </c>
      <c r="DB36" s="20">
        <v>0</v>
      </c>
      <c r="DC36" s="20">
        <v>0</v>
      </c>
      <c r="DD36" s="20">
        <v>0</v>
      </c>
      <c r="DE36" s="20">
        <v>1</v>
      </c>
      <c r="DF36" s="20">
        <v>0</v>
      </c>
      <c r="DG36" s="20">
        <v>0</v>
      </c>
      <c r="DK36" s="20">
        <v>4.29</v>
      </c>
      <c r="DL36" s="20">
        <v>11</v>
      </c>
      <c r="DO36" s="20">
        <v>32</v>
      </c>
      <c r="DP36" s="20" t="s">
        <v>8</v>
      </c>
      <c r="DQ36" s="20" t="s">
        <v>22</v>
      </c>
      <c r="DR36" s="33">
        <v>2</v>
      </c>
      <c r="DS36" s="20">
        <v>13</v>
      </c>
      <c r="DT36" s="20">
        <v>3</v>
      </c>
      <c r="DU36" s="20" t="s">
        <v>158</v>
      </c>
      <c r="DV36" s="20" t="s">
        <v>176</v>
      </c>
      <c r="DW36" s="20">
        <v>19</v>
      </c>
      <c r="DX36" s="20">
        <v>19</v>
      </c>
      <c r="DY36" s="20">
        <v>7</v>
      </c>
      <c r="DZ36" s="20">
        <v>13</v>
      </c>
      <c r="EA36" s="20" t="s">
        <v>379</v>
      </c>
      <c r="EB36" s="34">
        <v>0</v>
      </c>
      <c r="EC36" s="20">
        <v>17</v>
      </c>
      <c r="ED36" s="20">
        <v>3</v>
      </c>
      <c r="EE36" s="20" t="s">
        <v>221</v>
      </c>
      <c r="EF36" s="20" t="s">
        <v>203</v>
      </c>
      <c r="EG36" s="20">
        <v>21</v>
      </c>
      <c r="EH36" s="20">
        <v>19</v>
      </c>
      <c r="EI36" s="20">
        <v>4</v>
      </c>
      <c r="EJ36" s="20">
        <v>11</v>
      </c>
      <c r="EK36" s="20" t="s">
        <v>549</v>
      </c>
      <c r="EM36" s="20">
        <v>0</v>
      </c>
      <c r="EN36" s="20">
        <v>1</v>
      </c>
      <c r="EO36" s="20">
        <v>1</v>
      </c>
      <c r="EP36" s="20">
        <v>0</v>
      </c>
      <c r="EQ36" s="20">
        <v>0</v>
      </c>
      <c r="ER36" s="20">
        <v>1</v>
      </c>
      <c r="ES36" s="20">
        <v>0</v>
      </c>
      <c r="ET36" s="20">
        <v>1</v>
      </c>
      <c r="EX36" s="20">
        <v>5.43</v>
      </c>
      <c r="EY36" s="20">
        <v>2</v>
      </c>
      <c r="FB36" s="20">
        <v>32</v>
      </c>
      <c r="FC36" s="20" t="s">
        <v>9</v>
      </c>
      <c r="FD36" s="20" t="s">
        <v>21</v>
      </c>
      <c r="FE36" s="33">
        <v>1</v>
      </c>
      <c r="FF36" s="20">
        <v>14</v>
      </c>
      <c r="FG36" s="20">
        <v>7</v>
      </c>
      <c r="FH36" s="20" t="s">
        <v>125</v>
      </c>
      <c r="FI36" s="20" t="s">
        <v>147</v>
      </c>
      <c r="FJ36" s="20">
        <v>26</v>
      </c>
      <c r="FK36" s="20">
        <v>19</v>
      </c>
      <c r="FL36" s="20">
        <v>10</v>
      </c>
      <c r="FM36" s="20">
        <v>4</v>
      </c>
      <c r="FN36" s="20" t="s">
        <v>462</v>
      </c>
      <c r="FO36" s="34">
        <v>0</v>
      </c>
      <c r="FP36" s="20">
        <v>12</v>
      </c>
      <c r="FQ36" s="20">
        <v>4</v>
      </c>
      <c r="FR36" s="20" t="s">
        <v>209</v>
      </c>
      <c r="FS36" s="20" t="s">
        <v>144</v>
      </c>
      <c r="FT36" s="20">
        <v>16</v>
      </c>
      <c r="FU36" s="20">
        <v>10</v>
      </c>
      <c r="FV36" s="20">
        <v>4</v>
      </c>
      <c r="FW36" s="20">
        <v>12</v>
      </c>
      <c r="FX36" s="20" t="s">
        <v>373</v>
      </c>
      <c r="FZ36" s="20">
        <v>1</v>
      </c>
      <c r="GA36" s="20">
        <v>1</v>
      </c>
      <c r="GB36" s="20">
        <v>0</v>
      </c>
      <c r="GC36" s="20">
        <v>1</v>
      </c>
      <c r="GD36" s="20">
        <v>1</v>
      </c>
      <c r="GE36" s="20">
        <v>1</v>
      </c>
      <c r="GF36" s="20">
        <v>1</v>
      </c>
      <c r="GG36" s="20">
        <v>0</v>
      </c>
      <c r="GK36" s="20">
        <v>16.670000000000002</v>
      </c>
      <c r="GL36" s="20">
        <v>10</v>
      </c>
      <c r="GO36" s="20">
        <v>32</v>
      </c>
      <c r="GP36" s="20" t="s">
        <v>34</v>
      </c>
      <c r="GQ36" s="20" t="s">
        <v>10</v>
      </c>
      <c r="GR36" s="33">
        <v>1</v>
      </c>
      <c r="GS36" s="20">
        <v>17</v>
      </c>
      <c r="GT36" s="20">
        <v>5</v>
      </c>
      <c r="GU36" s="20" t="s">
        <v>269</v>
      </c>
      <c r="GV36" s="20" t="s">
        <v>129</v>
      </c>
      <c r="GW36" s="20">
        <v>14</v>
      </c>
      <c r="GX36" s="20">
        <v>17</v>
      </c>
      <c r="GY36" s="20">
        <v>17</v>
      </c>
      <c r="GZ36" s="20">
        <v>14</v>
      </c>
      <c r="HA36" s="20" t="s">
        <v>550</v>
      </c>
      <c r="HB36" s="34">
        <v>0</v>
      </c>
      <c r="HC36" s="20">
        <v>10</v>
      </c>
      <c r="HD36" s="20">
        <v>2</v>
      </c>
      <c r="HE36" s="20" t="s">
        <v>141</v>
      </c>
      <c r="HF36" s="20" t="s">
        <v>139</v>
      </c>
      <c r="HG36" s="20">
        <v>26</v>
      </c>
      <c r="HH36" s="20">
        <v>13</v>
      </c>
      <c r="HI36" s="20">
        <v>4</v>
      </c>
      <c r="HJ36" s="20">
        <v>9</v>
      </c>
      <c r="HK36" s="20" t="s">
        <v>551</v>
      </c>
      <c r="HM36" s="20">
        <v>1</v>
      </c>
      <c r="HN36" s="20">
        <v>1</v>
      </c>
      <c r="HO36" s="20">
        <v>1</v>
      </c>
      <c r="HP36" s="20">
        <v>0</v>
      </c>
      <c r="HQ36" s="20">
        <v>1</v>
      </c>
      <c r="HR36" s="20">
        <v>1</v>
      </c>
      <c r="HS36" s="20">
        <v>0</v>
      </c>
      <c r="HT36" s="20">
        <v>1</v>
      </c>
      <c r="HX36" s="20">
        <v>9.41</v>
      </c>
      <c r="HY36" s="20">
        <v>12</v>
      </c>
      <c r="IB36" s="20">
        <v>32</v>
      </c>
      <c r="IC36" s="20" t="s">
        <v>17</v>
      </c>
      <c r="ID36" s="20" t="s">
        <v>11</v>
      </c>
      <c r="IE36" s="34">
        <v>1</v>
      </c>
      <c r="IF36" s="20">
        <v>7</v>
      </c>
      <c r="IG36" s="20">
        <v>4</v>
      </c>
      <c r="IH36" s="20" t="s">
        <v>226</v>
      </c>
      <c r="II36" s="20" t="s">
        <v>154</v>
      </c>
      <c r="IJ36" s="20">
        <v>19</v>
      </c>
      <c r="IK36" s="20">
        <v>17</v>
      </c>
      <c r="IL36" s="20">
        <v>7</v>
      </c>
      <c r="IM36" s="20">
        <v>7</v>
      </c>
      <c r="IN36" s="20" t="s">
        <v>449</v>
      </c>
      <c r="IO36" s="33">
        <v>2</v>
      </c>
      <c r="IP36" s="20">
        <v>23</v>
      </c>
      <c r="IQ36" s="20">
        <v>8</v>
      </c>
      <c r="IR36" s="20" t="s">
        <v>552</v>
      </c>
      <c r="IS36" s="20" t="s">
        <v>134</v>
      </c>
      <c r="IT36" s="20">
        <v>9</v>
      </c>
      <c r="IU36" s="20">
        <v>15</v>
      </c>
      <c r="IV36" s="20">
        <v>7</v>
      </c>
      <c r="IW36" s="20">
        <v>10</v>
      </c>
      <c r="IX36" s="20" t="s">
        <v>449</v>
      </c>
      <c r="IZ36" s="20">
        <v>1</v>
      </c>
      <c r="JA36" s="20">
        <v>0</v>
      </c>
      <c r="JB36" s="20">
        <v>1</v>
      </c>
      <c r="JC36" s="20">
        <v>0</v>
      </c>
      <c r="JD36" s="20">
        <v>0</v>
      </c>
      <c r="JE36" s="20">
        <v>0</v>
      </c>
      <c r="JF36" s="20">
        <v>0</v>
      </c>
      <c r="JG36" s="20">
        <v>0</v>
      </c>
      <c r="JK36" s="20">
        <v>22.36</v>
      </c>
      <c r="JL36" s="20">
        <v>10</v>
      </c>
      <c r="JO36" s="20">
        <v>32</v>
      </c>
      <c r="JP36" s="20" t="s">
        <v>20</v>
      </c>
      <c r="JQ36" s="20" t="s">
        <v>12</v>
      </c>
      <c r="JR36" s="32">
        <v>0</v>
      </c>
      <c r="JS36" s="20">
        <v>9</v>
      </c>
      <c r="JT36" s="20">
        <v>2</v>
      </c>
      <c r="JU36" s="20" t="s">
        <v>146</v>
      </c>
      <c r="JV36" s="20" t="s">
        <v>154</v>
      </c>
      <c r="JW36" s="20">
        <v>25</v>
      </c>
      <c r="JX36" s="20">
        <v>18</v>
      </c>
      <c r="JY36" s="20">
        <v>6</v>
      </c>
      <c r="JZ36" s="20">
        <v>7</v>
      </c>
      <c r="KA36" s="20" t="s">
        <v>334</v>
      </c>
      <c r="KB36" s="32">
        <v>0</v>
      </c>
      <c r="KC36" s="20">
        <v>8</v>
      </c>
      <c r="KD36" s="20">
        <v>1</v>
      </c>
      <c r="KE36" s="20" t="s">
        <v>122</v>
      </c>
      <c r="KF36" s="20" t="s">
        <v>154</v>
      </c>
      <c r="KG36" s="20">
        <v>20</v>
      </c>
      <c r="KH36" s="20">
        <v>13</v>
      </c>
      <c r="KI36" s="20">
        <v>7</v>
      </c>
      <c r="KJ36" s="20">
        <v>16</v>
      </c>
      <c r="KK36" s="20" t="s">
        <v>335</v>
      </c>
      <c r="KM36" s="32">
        <v>1</v>
      </c>
      <c r="KN36" s="32">
        <v>1</v>
      </c>
      <c r="KO36" s="32">
        <v>1</v>
      </c>
      <c r="KP36" s="32">
        <v>1</v>
      </c>
      <c r="KQ36" s="32">
        <v>1</v>
      </c>
      <c r="KR36" s="32">
        <v>0</v>
      </c>
      <c r="KS36" s="32">
        <v>1</v>
      </c>
      <c r="KT36" s="32">
        <v>1</v>
      </c>
      <c r="KX36" s="32">
        <v>9.7200000000000006</v>
      </c>
      <c r="KY36" s="32">
        <v>5</v>
      </c>
      <c r="LB36" s="20">
        <v>32</v>
      </c>
      <c r="LC36" s="20" t="s">
        <v>13</v>
      </c>
      <c r="LD36" s="20" t="s">
        <v>5</v>
      </c>
      <c r="LE36" s="33">
        <v>1</v>
      </c>
      <c r="LF36" s="20">
        <v>5</v>
      </c>
      <c r="LG36" s="20">
        <v>1</v>
      </c>
      <c r="LH36" s="20" t="s">
        <v>141</v>
      </c>
      <c r="LI36" s="20" t="s">
        <v>126</v>
      </c>
      <c r="LJ36" s="20">
        <v>24</v>
      </c>
      <c r="LK36" s="20">
        <v>15</v>
      </c>
      <c r="LL36" s="20">
        <v>5</v>
      </c>
      <c r="LM36" s="20">
        <v>10</v>
      </c>
      <c r="LN36" s="20" t="s">
        <v>553</v>
      </c>
      <c r="LO36" s="34">
        <v>0</v>
      </c>
      <c r="LP36" s="20">
        <v>13</v>
      </c>
      <c r="LQ36" s="20">
        <v>6</v>
      </c>
      <c r="LR36" s="20" t="s">
        <v>350</v>
      </c>
      <c r="LS36" s="20" t="s">
        <v>179</v>
      </c>
      <c r="LT36" s="20">
        <v>18</v>
      </c>
      <c r="LU36" s="20">
        <v>14</v>
      </c>
      <c r="LV36" s="20">
        <v>3</v>
      </c>
      <c r="LW36" s="20">
        <v>17</v>
      </c>
      <c r="LX36" s="20" t="s">
        <v>554</v>
      </c>
      <c r="LZ36" s="20">
        <v>0</v>
      </c>
      <c r="MA36" s="20">
        <v>0</v>
      </c>
      <c r="MB36" s="20">
        <v>0</v>
      </c>
      <c r="MC36" s="20">
        <v>1</v>
      </c>
      <c r="MD36" s="20">
        <v>1</v>
      </c>
      <c r="ME36" s="20">
        <v>1</v>
      </c>
      <c r="MF36" s="20">
        <v>1</v>
      </c>
      <c r="MG36" s="20">
        <v>0</v>
      </c>
      <c r="MK36" s="20">
        <v>26.15</v>
      </c>
      <c r="ML36" s="20">
        <v>6</v>
      </c>
      <c r="MO36" s="20">
        <v>32</v>
      </c>
      <c r="MP36" s="20" t="s">
        <v>14</v>
      </c>
      <c r="MQ36" s="20" t="s">
        <v>23</v>
      </c>
      <c r="MR36" s="33">
        <v>1</v>
      </c>
      <c r="MS36" s="20">
        <v>7</v>
      </c>
      <c r="MT36" s="20">
        <v>2</v>
      </c>
      <c r="MU36" s="20" t="s">
        <v>170</v>
      </c>
      <c r="MV36" s="20" t="s">
        <v>129</v>
      </c>
      <c r="MW36" s="20">
        <v>33</v>
      </c>
      <c r="MX36" s="20">
        <v>20</v>
      </c>
      <c r="MY36" s="20">
        <v>8</v>
      </c>
      <c r="MZ36" s="20">
        <v>10</v>
      </c>
      <c r="NA36" s="20" t="s">
        <v>286</v>
      </c>
      <c r="NB36" s="34">
        <v>0</v>
      </c>
      <c r="NC36" s="20">
        <v>12</v>
      </c>
      <c r="ND36" s="20">
        <v>3</v>
      </c>
      <c r="NE36" s="20" t="s">
        <v>131</v>
      </c>
      <c r="NF36" s="20" t="s">
        <v>154</v>
      </c>
      <c r="NG36" s="20">
        <v>13</v>
      </c>
      <c r="NH36" s="20">
        <v>28</v>
      </c>
      <c r="NI36" s="20">
        <v>5</v>
      </c>
      <c r="NJ36" s="20">
        <v>20</v>
      </c>
      <c r="NK36" s="20" t="s">
        <v>285</v>
      </c>
      <c r="NM36" s="20">
        <v>0</v>
      </c>
      <c r="NN36" s="20">
        <v>1</v>
      </c>
      <c r="NO36" s="20">
        <v>1</v>
      </c>
      <c r="NP36" s="20">
        <v>1</v>
      </c>
      <c r="NQ36" s="20">
        <v>0</v>
      </c>
      <c r="NR36" s="20">
        <v>1</v>
      </c>
      <c r="NS36" s="20">
        <v>1</v>
      </c>
      <c r="NT36" s="20">
        <v>1</v>
      </c>
      <c r="NX36" s="20">
        <v>3.57</v>
      </c>
      <c r="NY36" s="20">
        <v>20</v>
      </c>
      <c r="OB36" s="20">
        <v>32</v>
      </c>
      <c r="OC36" s="20" t="s">
        <v>16</v>
      </c>
      <c r="OD36" s="20" t="s">
        <v>15</v>
      </c>
      <c r="OE36" s="33">
        <v>3</v>
      </c>
      <c r="OF36" s="20">
        <v>13</v>
      </c>
      <c r="OG36" s="20">
        <v>6</v>
      </c>
      <c r="OH36" s="20" t="s">
        <v>350</v>
      </c>
      <c r="OI36" s="20" t="s">
        <v>258</v>
      </c>
      <c r="OJ36" s="20">
        <v>14</v>
      </c>
      <c r="OK36" s="20">
        <v>15</v>
      </c>
      <c r="OL36" s="20">
        <v>7</v>
      </c>
      <c r="OM36" s="20">
        <v>20</v>
      </c>
      <c r="ON36" s="20" t="s">
        <v>235</v>
      </c>
      <c r="OO36" s="34">
        <v>1</v>
      </c>
      <c r="OP36" s="20">
        <v>19</v>
      </c>
      <c r="OQ36" s="20">
        <v>5</v>
      </c>
      <c r="OR36" s="20" t="s">
        <v>555</v>
      </c>
      <c r="OS36" s="20" t="s">
        <v>161</v>
      </c>
      <c r="OT36" s="20">
        <v>26</v>
      </c>
      <c r="OU36" s="20">
        <v>21</v>
      </c>
      <c r="OV36" s="20">
        <v>5</v>
      </c>
      <c r="OW36" s="20">
        <v>7</v>
      </c>
      <c r="OX36" s="20" t="s">
        <v>236</v>
      </c>
      <c r="OZ36" s="20">
        <v>1</v>
      </c>
      <c r="PA36" s="20">
        <v>1</v>
      </c>
      <c r="PB36" s="20">
        <v>1</v>
      </c>
      <c r="PC36" s="20">
        <v>0</v>
      </c>
      <c r="PD36" s="20">
        <v>0</v>
      </c>
      <c r="PE36" s="20">
        <v>1</v>
      </c>
      <c r="PF36" s="20">
        <v>0</v>
      </c>
      <c r="PG36" s="20">
        <v>1</v>
      </c>
      <c r="PK36" s="20">
        <v>19.84</v>
      </c>
      <c r="PL36" s="20">
        <v>12</v>
      </c>
      <c r="PO36" s="20">
        <v>32</v>
      </c>
      <c r="PP36" s="20" t="s">
        <v>17</v>
      </c>
      <c r="PQ36" s="20" t="s">
        <v>11</v>
      </c>
      <c r="PR36" s="33">
        <v>2</v>
      </c>
      <c r="PS36" s="20">
        <v>23</v>
      </c>
      <c r="PT36" s="20">
        <v>8</v>
      </c>
      <c r="PU36" s="20" t="s">
        <v>552</v>
      </c>
      <c r="PV36" s="20" t="s">
        <v>134</v>
      </c>
      <c r="PW36" s="20">
        <v>9</v>
      </c>
      <c r="PX36" s="20">
        <v>15</v>
      </c>
      <c r="PY36" s="20">
        <v>7</v>
      </c>
      <c r="PZ36" s="20">
        <v>10</v>
      </c>
      <c r="QA36" s="20" t="s">
        <v>449</v>
      </c>
      <c r="QB36" s="34">
        <v>1</v>
      </c>
      <c r="QC36" s="20">
        <v>7</v>
      </c>
      <c r="QD36" s="20">
        <v>4</v>
      </c>
      <c r="QE36" s="20" t="s">
        <v>226</v>
      </c>
      <c r="QF36" s="20" t="s">
        <v>154</v>
      </c>
      <c r="QG36" s="20">
        <v>19</v>
      </c>
      <c r="QH36" s="20">
        <v>17</v>
      </c>
      <c r="QI36" s="20">
        <v>7</v>
      </c>
      <c r="QJ36" s="20">
        <v>7</v>
      </c>
      <c r="QK36" s="20" t="s">
        <v>449</v>
      </c>
      <c r="QM36" s="20">
        <v>1</v>
      </c>
      <c r="QN36" s="20">
        <v>0</v>
      </c>
      <c r="QO36" s="20">
        <v>1</v>
      </c>
      <c r="QP36" s="20">
        <v>0</v>
      </c>
      <c r="QQ36" s="20">
        <v>0</v>
      </c>
      <c r="QR36" s="20">
        <v>0</v>
      </c>
      <c r="QS36" s="20">
        <v>0</v>
      </c>
      <c r="QT36" s="20">
        <v>0</v>
      </c>
      <c r="QX36" s="20">
        <v>22.36</v>
      </c>
      <c r="QY36" s="20">
        <v>10</v>
      </c>
      <c r="RB36" s="20">
        <v>32</v>
      </c>
      <c r="RC36" s="20" t="s">
        <v>18</v>
      </c>
      <c r="RD36" s="20" t="s">
        <v>7</v>
      </c>
      <c r="RE36" s="34">
        <v>1</v>
      </c>
      <c r="RF36" s="20">
        <v>10</v>
      </c>
      <c r="RG36" s="20">
        <v>4</v>
      </c>
      <c r="RH36" s="20" t="s">
        <v>133</v>
      </c>
      <c r="RI36" s="20" t="s">
        <v>154</v>
      </c>
      <c r="RJ36" s="20">
        <v>25</v>
      </c>
      <c r="RK36" s="20">
        <v>22</v>
      </c>
      <c r="RL36" s="20">
        <v>5</v>
      </c>
      <c r="RM36" s="20">
        <v>10</v>
      </c>
      <c r="RN36" s="20" t="s">
        <v>324</v>
      </c>
      <c r="RO36" s="33">
        <v>3</v>
      </c>
      <c r="RP36" s="20">
        <v>14</v>
      </c>
      <c r="RQ36" s="20">
        <v>5</v>
      </c>
      <c r="RR36" s="20" t="s">
        <v>297</v>
      </c>
      <c r="RS36" s="20" t="s">
        <v>123</v>
      </c>
      <c r="RT36" s="20">
        <v>14</v>
      </c>
      <c r="RU36" s="20">
        <v>21</v>
      </c>
      <c r="RV36" s="20">
        <v>8</v>
      </c>
      <c r="RW36" s="20">
        <v>17</v>
      </c>
      <c r="RX36" s="20" t="s">
        <v>323</v>
      </c>
      <c r="RZ36" s="20">
        <v>1</v>
      </c>
      <c r="SA36" s="20">
        <v>0</v>
      </c>
      <c r="SB36" s="20">
        <v>0</v>
      </c>
      <c r="SC36" s="20">
        <v>0</v>
      </c>
      <c r="SD36" s="20">
        <v>0</v>
      </c>
      <c r="SE36" s="20">
        <v>1</v>
      </c>
      <c r="SF36" s="20">
        <v>0</v>
      </c>
      <c r="SG36" s="20">
        <v>0</v>
      </c>
      <c r="SK36" s="20">
        <v>4.29</v>
      </c>
      <c r="SL36" s="20">
        <v>11</v>
      </c>
      <c r="SO36" s="20">
        <v>32</v>
      </c>
      <c r="SP36" s="20" t="s">
        <v>6</v>
      </c>
      <c r="SQ36" s="20" t="s">
        <v>19</v>
      </c>
      <c r="SR36" s="34">
        <v>0</v>
      </c>
      <c r="SS36" s="20">
        <v>9</v>
      </c>
      <c r="ST36" s="20">
        <v>2</v>
      </c>
      <c r="SU36" s="20" t="s">
        <v>146</v>
      </c>
      <c r="SV36" s="20" t="s">
        <v>203</v>
      </c>
      <c r="SW36" s="20">
        <v>16</v>
      </c>
      <c r="SX36" s="20">
        <v>12</v>
      </c>
      <c r="SY36" s="20">
        <v>7</v>
      </c>
      <c r="SZ36" s="20">
        <v>18</v>
      </c>
      <c r="TA36" s="20" t="s">
        <v>444</v>
      </c>
      <c r="TB36" s="33">
        <v>4</v>
      </c>
      <c r="TC36" s="20">
        <v>13</v>
      </c>
      <c r="TD36" s="20">
        <v>6</v>
      </c>
      <c r="TE36" s="20" t="s">
        <v>350</v>
      </c>
      <c r="TF36" s="20" t="s">
        <v>258</v>
      </c>
      <c r="TG36" s="20">
        <v>28</v>
      </c>
      <c r="TH36" s="20">
        <v>22</v>
      </c>
      <c r="TI36" s="20">
        <v>4</v>
      </c>
      <c r="TJ36" s="20">
        <v>12</v>
      </c>
      <c r="TK36" s="20" t="s">
        <v>443</v>
      </c>
      <c r="TM36" s="20">
        <v>1</v>
      </c>
      <c r="TN36" s="20">
        <v>1</v>
      </c>
      <c r="TO36" s="20">
        <v>1</v>
      </c>
      <c r="TP36" s="20">
        <v>1</v>
      </c>
      <c r="TQ36" s="20">
        <v>1</v>
      </c>
      <c r="TR36" s="20">
        <v>0</v>
      </c>
      <c r="TS36" s="20">
        <v>1</v>
      </c>
      <c r="TT36" s="20">
        <v>1</v>
      </c>
      <c r="TX36" s="20">
        <v>23.93</v>
      </c>
      <c r="TY36" s="20">
        <v>12</v>
      </c>
      <c r="UB36" s="20">
        <v>32</v>
      </c>
      <c r="UC36" s="20" t="s">
        <v>16</v>
      </c>
      <c r="UD36" s="20" t="s">
        <v>15</v>
      </c>
      <c r="UE36" s="34">
        <v>1</v>
      </c>
      <c r="UF36" s="20">
        <v>19</v>
      </c>
      <c r="UG36" s="20">
        <v>5</v>
      </c>
      <c r="UH36" s="20" t="s">
        <v>555</v>
      </c>
      <c r="UI36" s="20" t="s">
        <v>161</v>
      </c>
      <c r="UJ36" s="20">
        <v>26</v>
      </c>
      <c r="UK36" s="20">
        <v>21</v>
      </c>
      <c r="UL36" s="20">
        <v>5</v>
      </c>
      <c r="UM36" s="20">
        <v>7</v>
      </c>
      <c r="UN36" s="20" t="s">
        <v>236</v>
      </c>
      <c r="UO36" s="33">
        <v>3</v>
      </c>
      <c r="UP36" s="20">
        <v>13</v>
      </c>
      <c r="UQ36" s="20">
        <v>6</v>
      </c>
      <c r="UR36" s="20" t="s">
        <v>350</v>
      </c>
      <c r="US36" s="20" t="s">
        <v>258</v>
      </c>
      <c r="UT36" s="20">
        <v>14</v>
      </c>
      <c r="UU36" s="20">
        <v>15</v>
      </c>
      <c r="UV36" s="20">
        <v>7</v>
      </c>
      <c r="UW36" s="20">
        <v>20</v>
      </c>
      <c r="UX36" s="20" t="s">
        <v>235</v>
      </c>
      <c r="UZ36" s="20">
        <v>1</v>
      </c>
      <c r="VA36" s="20">
        <v>1</v>
      </c>
      <c r="VB36" s="20">
        <v>1</v>
      </c>
      <c r="VC36" s="20">
        <v>0</v>
      </c>
      <c r="VD36" s="20">
        <v>0</v>
      </c>
      <c r="VE36" s="20">
        <v>1</v>
      </c>
      <c r="VF36" s="20">
        <v>0</v>
      </c>
      <c r="VG36" s="20">
        <v>1</v>
      </c>
      <c r="VK36" s="20">
        <v>19.84</v>
      </c>
      <c r="VL36" s="20">
        <v>12</v>
      </c>
      <c r="VO36" s="20">
        <v>32</v>
      </c>
      <c r="VP36" s="20" t="s">
        <v>20</v>
      </c>
      <c r="VQ36" s="20" t="s">
        <v>12</v>
      </c>
      <c r="VR36" s="32">
        <v>0</v>
      </c>
      <c r="VS36" s="20">
        <v>8</v>
      </c>
      <c r="VT36" s="20">
        <v>1</v>
      </c>
      <c r="VU36" s="20" t="s">
        <v>122</v>
      </c>
      <c r="VV36" s="20" t="s">
        <v>154</v>
      </c>
      <c r="VW36" s="20">
        <v>20</v>
      </c>
      <c r="VX36" s="20">
        <v>13</v>
      </c>
      <c r="VY36" s="20">
        <v>7</v>
      </c>
      <c r="VZ36" s="20">
        <v>16</v>
      </c>
      <c r="WA36" s="20" t="s">
        <v>335</v>
      </c>
      <c r="WB36" s="32">
        <v>0</v>
      </c>
      <c r="WC36" s="20">
        <v>9</v>
      </c>
      <c r="WD36" s="20">
        <v>2</v>
      </c>
      <c r="WE36" s="20" t="s">
        <v>146</v>
      </c>
      <c r="WF36" s="20" t="s">
        <v>154</v>
      </c>
      <c r="WG36" s="20">
        <v>25</v>
      </c>
      <c r="WH36" s="20">
        <v>18</v>
      </c>
      <c r="WI36" s="20">
        <v>6</v>
      </c>
      <c r="WJ36" s="20">
        <v>7</v>
      </c>
      <c r="WK36" s="20" t="s">
        <v>334</v>
      </c>
      <c r="WM36" s="32">
        <v>1</v>
      </c>
      <c r="WN36" s="32">
        <v>1</v>
      </c>
      <c r="WO36" s="32">
        <v>1</v>
      </c>
      <c r="WP36" s="32">
        <v>1</v>
      </c>
      <c r="WQ36" s="32">
        <v>1</v>
      </c>
      <c r="WR36" s="32">
        <v>0</v>
      </c>
      <c r="WS36" s="32">
        <v>1</v>
      </c>
      <c r="WT36" s="32">
        <v>1</v>
      </c>
      <c r="WX36" s="32">
        <v>9.7200000000000006</v>
      </c>
      <c r="WY36" s="32">
        <v>5</v>
      </c>
      <c r="XB36" s="20">
        <v>32</v>
      </c>
      <c r="XC36" s="20" t="s">
        <v>34</v>
      </c>
      <c r="XD36" s="20" t="s">
        <v>10</v>
      </c>
      <c r="XE36" s="34">
        <v>0</v>
      </c>
      <c r="XF36" s="20">
        <v>10</v>
      </c>
      <c r="XG36" s="20">
        <v>2</v>
      </c>
      <c r="XH36" s="20" t="s">
        <v>141</v>
      </c>
      <c r="XI36" s="20" t="s">
        <v>139</v>
      </c>
      <c r="XJ36" s="20">
        <v>26</v>
      </c>
      <c r="XK36" s="20">
        <v>13</v>
      </c>
      <c r="XL36" s="20">
        <v>4</v>
      </c>
      <c r="XM36" s="20">
        <v>9</v>
      </c>
      <c r="XN36" s="20" t="s">
        <v>551</v>
      </c>
      <c r="XO36" s="33">
        <v>1</v>
      </c>
      <c r="XP36" s="20">
        <v>17</v>
      </c>
      <c r="XQ36" s="20">
        <v>5</v>
      </c>
      <c r="XR36" s="20" t="s">
        <v>269</v>
      </c>
      <c r="XS36" s="20" t="s">
        <v>129</v>
      </c>
      <c r="XT36" s="20">
        <v>14</v>
      </c>
      <c r="XU36" s="20">
        <v>17</v>
      </c>
      <c r="XV36" s="20">
        <v>17</v>
      </c>
      <c r="XW36" s="20">
        <v>14</v>
      </c>
      <c r="XX36" s="20" t="s">
        <v>550</v>
      </c>
      <c r="XZ36" s="20">
        <v>1</v>
      </c>
      <c r="YA36" s="20">
        <v>1</v>
      </c>
      <c r="YB36" s="20">
        <v>1</v>
      </c>
      <c r="YC36" s="20">
        <v>0</v>
      </c>
      <c r="YD36" s="20">
        <v>1</v>
      </c>
      <c r="YE36" s="20">
        <v>1</v>
      </c>
      <c r="YF36" s="20">
        <v>0</v>
      </c>
      <c r="YG36" s="20">
        <v>1</v>
      </c>
      <c r="YK36" s="20">
        <v>9.41</v>
      </c>
      <c r="YL36" s="20">
        <v>12</v>
      </c>
      <c r="YO36" s="20">
        <v>32</v>
      </c>
      <c r="YP36" s="20" t="s">
        <v>9</v>
      </c>
      <c r="YQ36" s="20" t="s">
        <v>21</v>
      </c>
      <c r="YR36" s="34">
        <v>0</v>
      </c>
      <c r="YS36" s="20">
        <v>12</v>
      </c>
      <c r="YT36" s="20">
        <v>4</v>
      </c>
      <c r="YU36" s="20" t="s">
        <v>209</v>
      </c>
      <c r="YV36" s="20" t="s">
        <v>144</v>
      </c>
      <c r="YW36" s="20">
        <v>16</v>
      </c>
      <c r="YX36" s="20">
        <v>10</v>
      </c>
      <c r="YY36" s="20">
        <v>4</v>
      </c>
      <c r="YZ36" s="20">
        <v>12</v>
      </c>
      <c r="ZA36" s="20" t="s">
        <v>373</v>
      </c>
      <c r="ZB36" s="33">
        <v>1</v>
      </c>
      <c r="ZC36" s="20">
        <v>14</v>
      </c>
      <c r="ZD36" s="20">
        <v>7</v>
      </c>
      <c r="ZE36" s="20" t="s">
        <v>125</v>
      </c>
      <c r="ZF36" s="20" t="s">
        <v>147</v>
      </c>
      <c r="ZG36" s="20">
        <v>26</v>
      </c>
      <c r="ZH36" s="20">
        <v>19</v>
      </c>
      <c r="ZI36" s="20">
        <v>10</v>
      </c>
      <c r="ZJ36" s="20">
        <v>4</v>
      </c>
      <c r="ZK36" s="20" t="s">
        <v>462</v>
      </c>
      <c r="ZM36" s="20">
        <v>1</v>
      </c>
      <c r="ZN36" s="20">
        <v>1</v>
      </c>
      <c r="ZO36" s="20">
        <v>0</v>
      </c>
      <c r="ZP36" s="20">
        <v>1</v>
      </c>
      <c r="ZQ36" s="20">
        <v>1</v>
      </c>
      <c r="ZR36" s="20">
        <v>1</v>
      </c>
      <c r="ZS36" s="20">
        <v>1</v>
      </c>
      <c r="ZT36" s="20">
        <v>0</v>
      </c>
      <c r="ZX36" s="20">
        <v>16.670000000000002</v>
      </c>
      <c r="ZY36" s="20">
        <v>10</v>
      </c>
      <c r="AAB36" s="20">
        <v>32</v>
      </c>
      <c r="AAC36" s="20" t="s">
        <v>8</v>
      </c>
      <c r="AAD36" s="20" t="s">
        <v>22</v>
      </c>
      <c r="AAE36" s="34">
        <v>0</v>
      </c>
      <c r="AAF36" s="20">
        <v>17</v>
      </c>
      <c r="AAG36" s="20">
        <v>3</v>
      </c>
      <c r="AAH36" s="20" t="s">
        <v>221</v>
      </c>
      <c r="AAI36" s="20" t="s">
        <v>203</v>
      </c>
      <c r="AAJ36" s="20">
        <v>21</v>
      </c>
      <c r="AAK36" s="20">
        <v>19</v>
      </c>
      <c r="AAL36" s="20">
        <v>4</v>
      </c>
      <c r="AAM36" s="20">
        <v>11</v>
      </c>
      <c r="AAN36" s="20" t="s">
        <v>549</v>
      </c>
      <c r="AAO36" s="33">
        <v>2</v>
      </c>
      <c r="AAP36" s="20">
        <v>13</v>
      </c>
      <c r="AAQ36" s="20">
        <v>3</v>
      </c>
      <c r="AAR36" s="20" t="s">
        <v>158</v>
      </c>
      <c r="AAS36" s="20" t="s">
        <v>176</v>
      </c>
      <c r="AAT36" s="20">
        <v>19</v>
      </c>
      <c r="AAU36" s="20">
        <v>19</v>
      </c>
      <c r="AAV36" s="20">
        <v>7</v>
      </c>
      <c r="AAW36" s="20">
        <v>13</v>
      </c>
      <c r="AAX36" s="20" t="s">
        <v>379</v>
      </c>
      <c r="AAZ36" s="20">
        <v>0</v>
      </c>
      <c r="ABA36" s="20">
        <v>1</v>
      </c>
      <c r="ABB36" s="20">
        <v>1</v>
      </c>
      <c r="ABC36" s="20">
        <v>0</v>
      </c>
      <c r="ABD36" s="20">
        <v>0</v>
      </c>
      <c r="ABE36" s="20">
        <v>1</v>
      </c>
      <c r="ABF36" s="20">
        <v>0</v>
      </c>
      <c r="ABG36" s="20">
        <v>1</v>
      </c>
      <c r="ABK36" s="20">
        <v>5.43</v>
      </c>
      <c r="ABL36" s="20">
        <v>2</v>
      </c>
      <c r="ABO36" s="20">
        <v>32</v>
      </c>
      <c r="ABP36" s="20" t="s">
        <v>14</v>
      </c>
      <c r="ABQ36" s="20" t="s">
        <v>23</v>
      </c>
      <c r="ABR36" s="34">
        <v>0</v>
      </c>
      <c r="ABS36" s="20">
        <v>12</v>
      </c>
      <c r="ABT36" s="20">
        <v>3</v>
      </c>
      <c r="ABU36" s="20" t="s">
        <v>131</v>
      </c>
      <c r="ABV36" s="20" t="s">
        <v>154</v>
      </c>
      <c r="ABW36" s="20">
        <v>13</v>
      </c>
      <c r="ABX36" s="20">
        <v>28</v>
      </c>
      <c r="ABY36" s="20">
        <v>5</v>
      </c>
      <c r="ABZ36" s="20">
        <v>20</v>
      </c>
      <c r="ACA36" s="20" t="s">
        <v>285</v>
      </c>
      <c r="ACB36" s="33">
        <v>1</v>
      </c>
      <c r="ACC36" s="20">
        <v>7</v>
      </c>
      <c r="ACD36" s="20">
        <v>2</v>
      </c>
      <c r="ACE36" s="20" t="s">
        <v>170</v>
      </c>
      <c r="ACF36" s="20" t="s">
        <v>129</v>
      </c>
      <c r="ACG36" s="20">
        <v>33</v>
      </c>
      <c r="ACH36" s="20">
        <v>20</v>
      </c>
      <c r="ACI36" s="20">
        <v>8</v>
      </c>
      <c r="ACJ36" s="20">
        <v>10</v>
      </c>
      <c r="ACK36" s="20" t="s">
        <v>286</v>
      </c>
      <c r="ACM36" s="20">
        <v>0</v>
      </c>
      <c r="ACN36" s="20">
        <v>1</v>
      </c>
      <c r="ACO36" s="20">
        <v>1</v>
      </c>
      <c r="ACP36" s="20">
        <v>1</v>
      </c>
      <c r="ACQ36" s="20">
        <v>0</v>
      </c>
      <c r="ACR36" s="20">
        <v>1</v>
      </c>
      <c r="ACS36" s="20">
        <v>1</v>
      </c>
      <c r="ACT36" s="20">
        <v>1</v>
      </c>
      <c r="ACX36" s="20">
        <v>3.57</v>
      </c>
      <c r="ACY36" s="20">
        <v>20</v>
      </c>
    </row>
    <row r="37" spans="1:781" x14ac:dyDescent="0.3">
      <c r="A37" s="27"/>
      <c r="B37" s="20">
        <v>33</v>
      </c>
      <c r="C37" s="20" t="s">
        <v>5</v>
      </c>
      <c r="D37" s="20" t="s">
        <v>17</v>
      </c>
      <c r="E37" s="34">
        <v>1</v>
      </c>
      <c r="F37" s="20">
        <v>22</v>
      </c>
      <c r="G37" s="30">
        <v>7</v>
      </c>
      <c r="H37" s="27">
        <v>0.31819999999999998</v>
      </c>
      <c r="I37" s="28">
        <v>0.85</v>
      </c>
      <c r="J37" s="20">
        <v>21</v>
      </c>
      <c r="K37" s="20">
        <v>12</v>
      </c>
      <c r="L37" s="20">
        <v>16</v>
      </c>
      <c r="M37" s="30">
        <v>6</v>
      </c>
      <c r="N37" s="27">
        <v>0.69099999999999995</v>
      </c>
      <c r="O37" s="33">
        <v>2</v>
      </c>
      <c r="P37" s="20">
        <v>7</v>
      </c>
      <c r="Q37" s="30">
        <v>2</v>
      </c>
      <c r="R37" s="27">
        <v>0.28570000000000001</v>
      </c>
      <c r="S37" s="28">
        <v>0.7</v>
      </c>
      <c r="T37" s="20">
        <v>18</v>
      </c>
      <c r="U37" s="20">
        <v>7</v>
      </c>
      <c r="V37" s="20">
        <v>6</v>
      </c>
      <c r="W37" s="30">
        <v>8</v>
      </c>
      <c r="X37" s="27">
        <v>0.309</v>
      </c>
      <c r="Z37" s="20">
        <v>0</v>
      </c>
      <c r="AA37" s="20">
        <v>0</v>
      </c>
      <c r="AB37" s="20">
        <v>0</v>
      </c>
      <c r="AC37" s="20">
        <v>0</v>
      </c>
      <c r="AD37" s="20">
        <v>0</v>
      </c>
      <c r="AE37" s="20">
        <v>0</v>
      </c>
      <c r="AF37" s="20">
        <v>0</v>
      </c>
      <c r="AG37" s="20">
        <v>0</v>
      </c>
      <c r="AK37" s="20">
        <v>3.25</v>
      </c>
      <c r="AL37" s="20">
        <v>3</v>
      </c>
      <c r="AM37" s="20"/>
      <c r="AN37" s="20"/>
      <c r="AO37" s="20">
        <v>33</v>
      </c>
      <c r="AP37" s="20" t="s">
        <v>22</v>
      </c>
      <c r="AQ37" s="20" t="s">
        <v>6</v>
      </c>
      <c r="AR37" s="33">
        <v>5</v>
      </c>
      <c r="AS37" s="30">
        <v>21</v>
      </c>
      <c r="AT37" s="30">
        <v>11</v>
      </c>
      <c r="AU37" s="27">
        <v>0.52380000000000004</v>
      </c>
      <c r="AV37" s="28">
        <v>0.89</v>
      </c>
      <c r="AW37" s="20">
        <v>13</v>
      </c>
      <c r="AX37" s="20">
        <v>6</v>
      </c>
      <c r="AY37" s="30">
        <v>17</v>
      </c>
      <c r="AZ37" s="20">
        <v>7</v>
      </c>
      <c r="BA37" s="28">
        <v>0.63</v>
      </c>
      <c r="BB37" s="34">
        <v>1</v>
      </c>
      <c r="BC37" s="20">
        <v>12</v>
      </c>
      <c r="BD37" s="20">
        <v>5</v>
      </c>
      <c r="BE37" s="20" t="s">
        <v>254</v>
      </c>
      <c r="BF37" s="20" t="s">
        <v>134</v>
      </c>
      <c r="BG37" s="20">
        <v>15</v>
      </c>
      <c r="BH37" s="20">
        <v>3</v>
      </c>
      <c r="BI37" s="20">
        <v>12</v>
      </c>
      <c r="BJ37" s="20">
        <v>7</v>
      </c>
      <c r="BK37" s="20" t="s">
        <v>496</v>
      </c>
      <c r="BM37" s="20">
        <v>1</v>
      </c>
      <c r="BN37" s="20">
        <v>1</v>
      </c>
      <c r="BO37" s="20">
        <v>1</v>
      </c>
      <c r="BP37" s="20">
        <v>0</v>
      </c>
      <c r="BQ37" s="20">
        <v>1</v>
      </c>
      <c r="BR37" s="20">
        <v>1</v>
      </c>
      <c r="BS37" s="20">
        <v>1</v>
      </c>
      <c r="BT37" s="20">
        <v>1</v>
      </c>
      <c r="BX37" s="20">
        <v>10.71</v>
      </c>
      <c r="BY37" s="20">
        <v>2</v>
      </c>
      <c r="BZ37" s="20"/>
      <c r="CA37" s="20"/>
      <c r="CB37" s="20">
        <v>33</v>
      </c>
      <c r="CC37" s="20" t="s">
        <v>7</v>
      </c>
      <c r="CD37" s="20" t="s">
        <v>20</v>
      </c>
      <c r="CE37" s="33">
        <v>3</v>
      </c>
      <c r="CF37" s="20">
        <v>8</v>
      </c>
      <c r="CG37" s="20">
        <v>3</v>
      </c>
      <c r="CH37" s="20" t="s">
        <v>153</v>
      </c>
      <c r="CI37" s="20" t="s">
        <v>171</v>
      </c>
      <c r="CJ37" s="20">
        <v>29</v>
      </c>
      <c r="CK37" s="20">
        <v>20</v>
      </c>
      <c r="CL37" s="20">
        <v>8</v>
      </c>
      <c r="CM37" s="20">
        <v>9</v>
      </c>
      <c r="CN37" s="20" t="s">
        <v>455</v>
      </c>
      <c r="CO37" s="34">
        <v>0</v>
      </c>
      <c r="CP37" s="20">
        <v>11</v>
      </c>
      <c r="CQ37" s="20">
        <v>0</v>
      </c>
      <c r="CR37" s="20" t="s">
        <v>116</v>
      </c>
      <c r="CS37" s="20" t="s">
        <v>154</v>
      </c>
      <c r="CT37" s="20">
        <v>13</v>
      </c>
      <c r="CU37" s="20">
        <v>17</v>
      </c>
      <c r="CV37" s="20">
        <v>15</v>
      </c>
      <c r="CW37" s="20">
        <v>19</v>
      </c>
      <c r="CX37" s="20" t="s">
        <v>456</v>
      </c>
      <c r="CZ37" s="20">
        <v>1</v>
      </c>
      <c r="DA37" s="20">
        <v>1</v>
      </c>
      <c r="DB37" s="20">
        <v>1</v>
      </c>
      <c r="DC37" s="20">
        <v>1</v>
      </c>
      <c r="DD37" s="20">
        <v>1</v>
      </c>
      <c r="DE37" s="20">
        <v>0</v>
      </c>
      <c r="DF37" s="20">
        <v>1</v>
      </c>
      <c r="DG37" s="20">
        <v>1</v>
      </c>
      <c r="DK37" s="20">
        <v>37.5</v>
      </c>
      <c r="DL37" s="20">
        <v>16</v>
      </c>
      <c r="DO37" s="20">
        <v>33</v>
      </c>
      <c r="DP37" s="20" t="s">
        <v>21</v>
      </c>
      <c r="DQ37" s="20" t="s">
        <v>8</v>
      </c>
      <c r="DR37" s="34">
        <v>1</v>
      </c>
      <c r="DS37" s="20">
        <v>6</v>
      </c>
      <c r="DT37" s="20">
        <v>2</v>
      </c>
      <c r="DU37" s="20" t="s">
        <v>209</v>
      </c>
      <c r="DV37" s="20" t="s">
        <v>139</v>
      </c>
      <c r="DW37" s="20">
        <v>20</v>
      </c>
      <c r="DX37" s="20">
        <v>11</v>
      </c>
      <c r="DY37" s="20">
        <v>4</v>
      </c>
      <c r="DZ37" s="20">
        <v>13</v>
      </c>
      <c r="EA37" s="20" t="s">
        <v>486</v>
      </c>
      <c r="EB37" s="33">
        <v>2</v>
      </c>
      <c r="EC37" s="20">
        <v>14</v>
      </c>
      <c r="ED37" s="20">
        <v>6</v>
      </c>
      <c r="EE37" s="20" t="s">
        <v>207</v>
      </c>
      <c r="EF37" s="20" t="s">
        <v>168</v>
      </c>
      <c r="EG37" s="20">
        <v>21</v>
      </c>
      <c r="EH37" s="20">
        <v>13</v>
      </c>
      <c r="EI37" s="20">
        <v>2</v>
      </c>
      <c r="EJ37" s="20">
        <v>9</v>
      </c>
      <c r="EK37" s="20" t="s">
        <v>485</v>
      </c>
      <c r="EM37" s="20">
        <v>1</v>
      </c>
      <c r="EN37" s="20">
        <v>1</v>
      </c>
      <c r="EO37" s="20">
        <v>1</v>
      </c>
      <c r="EP37" s="20">
        <v>1</v>
      </c>
      <c r="EQ37" s="20">
        <v>1</v>
      </c>
      <c r="ER37" s="20">
        <v>0</v>
      </c>
      <c r="ES37" s="20">
        <v>1</v>
      </c>
      <c r="ET37" s="20">
        <v>1</v>
      </c>
      <c r="EX37" s="20">
        <v>9.52</v>
      </c>
      <c r="EY37" s="20">
        <v>1</v>
      </c>
      <c r="FB37" s="20">
        <v>33</v>
      </c>
      <c r="FC37" s="20" t="s">
        <v>12</v>
      </c>
      <c r="FD37" s="20" t="s">
        <v>9</v>
      </c>
      <c r="FE37" s="33">
        <v>1</v>
      </c>
      <c r="FF37" s="20">
        <v>6</v>
      </c>
      <c r="FG37" s="20">
        <v>3</v>
      </c>
      <c r="FH37" s="20" t="s">
        <v>125</v>
      </c>
      <c r="FI37" s="20" t="s">
        <v>147</v>
      </c>
      <c r="FJ37" s="20">
        <v>22</v>
      </c>
      <c r="FK37" s="20">
        <v>28</v>
      </c>
      <c r="FL37" s="20">
        <v>6</v>
      </c>
      <c r="FM37" s="20">
        <v>8</v>
      </c>
      <c r="FN37" s="20" t="s">
        <v>379</v>
      </c>
      <c r="FO37" s="34">
        <v>0</v>
      </c>
      <c r="FP37" s="20">
        <v>17</v>
      </c>
      <c r="FQ37" s="20">
        <v>7</v>
      </c>
      <c r="FR37" s="20" t="s">
        <v>166</v>
      </c>
      <c r="FS37" s="20" t="s">
        <v>156</v>
      </c>
      <c r="FT37" s="20">
        <v>13</v>
      </c>
      <c r="FU37" s="20">
        <v>19</v>
      </c>
      <c r="FV37" s="20">
        <v>5</v>
      </c>
      <c r="FW37" s="20">
        <v>11</v>
      </c>
      <c r="FX37" s="20" t="s">
        <v>549</v>
      </c>
      <c r="FZ37" s="20">
        <v>0</v>
      </c>
      <c r="GA37" s="20">
        <v>1</v>
      </c>
      <c r="GB37" s="20">
        <v>1</v>
      </c>
      <c r="GC37" s="20">
        <v>1</v>
      </c>
      <c r="GD37" s="20">
        <v>1</v>
      </c>
      <c r="GE37" s="20">
        <v>1</v>
      </c>
      <c r="GF37" s="20">
        <v>1</v>
      </c>
      <c r="GG37" s="20">
        <v>1</v>
      </c>
      <c r="GK37" s="20">
        <v>8.82</v>
      </c>
      <c r="GL37" s="20">
        <v>9</v>
      </c>
      <c r="GO37" s="20">
        <v>33</v>
      </c>
      <c r="GP37" s="20" t="s">
        <v>10</v>
      </c>
      <c r="GQ37" s="20" t="s">
        <v>14</v>
      </c>
      <c r="GR37" s="32">
        <v>1</v>
      </c>
      <c r="GS37" s="20">
        <v>18</v>
      </c>
      <c r="GT37" s="20">
        <v>5</v>
      </c>
      <c r="GU37" s="20" t="s">
        <v>259</v>
      </c>
      <c r="GV37" s="20" t="s">
        <v>120</v>
      </c>
      <c r="GW37" s="20">
        <v>23</v>
      </c>
      <c r="GX37" s="20">
        <v>13</v>
      </c>
      <c r="GY37" s="20">
        <v>11</v>
      </c>
      <c r="GZ37" s="20">
        <v>22</v>
      </c>
      <c r="HA37" s="20" t="s">
        <v>156</v>
      </c>
      <c r="HB37" s="32">
        <v>1</v>
      </c>
      <c r="HC37" s="20">
        <v>9</v>
      </c>
      <c r="HD37" s="20">
        <v>4</v>
      </c>
      <c r="HE37" s="20" t="s">
        <v>197</v>
      </c>
      <c r="HF37" s="20" t="s">
        <v>147</v>
      </c>
      <c r="HG37" s="20">
        <v>29</v>
      </c>
      <c r="HH37" s="20">
        <v>16</v>
      </c>
      <c r="HI37" s="20">
        <v>4</v>
      </c>
      <c r="HJ37" s="20">
        <v>13</v>
      </c>
      <c r="HK37" s="20" t="s">
        <v>556</v>
      </c>
      <c r="HM37" s="32">
        <v>1</v>
      </c>
      <c r="HN37" s="32">
        <v>0</v>
      </c>
      <c r="HO37" s="32">
        <v>1</v>
      </c>
      <c r="HP37" s="32">
        <v>0</v>
      </c>
      <c r="HQ37" s="32">
        <v>0</v>
      </c>
      <c r="HR37" s="32">
        <v>1</v>
      </c>
      <c r="HS37" s="32">
        <v>0</v>
      </c>
      <c r="HT37" s="32">
        <v>1</v>
      </c>
      <c r="HX37" s="32">
        <v>16.670000000000002</v>
      </c>
      <c r="HY37" s="32">
        <v>6</v>
      </c>
      <c r="IB37" s="20">
        <v>33</v>
      </c>
      <c r="IC37" s="20" t="s">
        <v>11</v>
      </c>
      <c r="ID37" s="20" t="s">
        <v>16</v>
      </c>
      <c r="IE37" s="32">
        <v>1</v>
      </c>
      <c r="IF37" s="20">
        <v>11</v>
      </c>
      <c r="IG37" s="20">
        <v>3</v>
      </c>
      <c r="IH37" s="20" t="s">
        <v>128</v>
      </c>
      <c r="II37" s="20" t="s">
        <v>120</v>
      </c>
      <c r="IJ37" s="20">
        <v>8</v>
      </c>
      <c r="IK37" s="20">
        <v>15</v>
      </c>
      <c r="IL37" s="20">
        <v>11</v>
      </c>
      <c r="IM37" s="20">
        <v>9</v>
      </c>
      <c r="IN37" s="20" t="s">
        <v>362</v>
      </c>
      <c r="IO37" s="32">
        <v>1</v>
      </c>
      <c r="IP37" s="20">
        <v>5</v>
      </c>
      <c r="IQ37" s="20">
        <v>4</v>
      </c>
      <c r="IR37" s="20" t="s">
        <v>503</v>
      </c>
      <c r="IS37" s="20" t="s">
        <v>161</v>
      </c>
      <c r="IT37" s="20">
        <v>13</v>
      </c>
      <c r="IU37" s="20">
        <v>12</v>
      </c>
      <c r="IV37" s="20">
        <v>4</v>
      </c>
      <c r="IW37" s="20">
        <v>5</v>
      </c>
      <c r="IX37" s="20" t="s">
        <v>363</v>
      </c>
      <c r="IZ37" s="32">
        <v>0</v>
      </c>
      <c r="JA37" s="32">
        <v>0</v>
      </c>
      <c r="JB37" s="32">
        <v>1</v>
      </c>
      <c r="JC37" s="32">
        <v>0</v>
      </c>
      <c r="JD37" s="32">
        <v>1</v>
      </c>
      <c r="JE37" s="32">
        <v>1</v>
      </c>
      <c r="JF37" s="32">
        <v>0</v>
      </c>
      <c r="JG37" s="32">
        <v>1</v>
      </c>
      <c r="JK37" s="32">
        <v>52.73</v>
      </c>
      <c r="JL37" s="32">
        <v>5</v>
      </c>
      <c r="JO37" s="20">
        <v>33</v>
      </c>
      <c r="JP37" s="20" t="s">
        <v>12</v>
      </c>
      <c r="JQ37" s="20" t="s">
        <v>9</v>
      </c>
      <c r="JR37" s="34">
        <v>0</v>
      </c>
      <c r="JS37" s="20">
        <v>17</v>
      </c>
      <c r="JT37" s="20">
        <v>7</v>
      </c>
      <c r="JU37" s="20" t="s">
        <v>166</v>
      </c>
      <c r="JV37" s="20" t="s">
        <v>156</v>
      </c>
      <c r="JW37" s="20">
        <v>13</v>
      </c>
      <c r="JX37" s="20">
        <v>19</v>
      </c>
      <c r="JY37" s="20">
        <v>5</v>
      </c>
      <c r="JZ37" s="20">
        <v>11</v>
      </c>
      <c r="KA37" s="20" t="s">
        <v>549</v>
      </c>
      <c r="KB37" s="33">
        <v>1</v>
      </c>
      <c r="KC37" s="20">
        <v>6</v>
      </c>
      <c r="KD37" s="20">
        <v>3</v>
      </c>
      <c r="KE37" s="20" t="s">
        <v>125</v>
      </c>
      <c r="KF37" s="20" t="s">
        <v>147</v>
      </c>
      <c r="KG37" s="20">
        <v>22</v>
      </c>
      <c r="KH37" s="20">
        <v>28</v>
      </c>
      <c r="KI37" s="20">
        <v>6</v>
      </c>
      <c r="KJ37" s="20">
        <v>8</v>
      </c>
      <c r="KK37" s="20" t="s">
        <v>379</v>
      </c>
      <c r="KM37" s="20">
        <v>0</v>
      </c>
      <c r="KN37" s="20">
        <v>1</v>
      </c>
      <c r="KO37" s="20">
        <v>1</v>
      </c>
      <c r="KP37" s="20">
        <v>1</v>
      </c>
      <c r="KQ37" s="20">
        <v>1</v>
      </c>
      <c r="KR37" s="20">
        <v>1</v>
      </c>
      <c r="KS37" s="20">
        <v>1</v>
      </c>
      <c r="KT37" s="20">
        <v>1</v>
      </c>
      <c r="KX37" s="20">
        <v>8.82</v>
      </c>
      <c r="KY37" s="20">
        <v>9</v>
      </c>
      <c r="LB37" s="20">
        <v>33</v>
      </c>
      <c r="LC37" s="20" t="s">
        <v>19</v>
      </c>
      <c r="LD37" s="20" t="s">
        <v>13</v>
      </c>
      <c r="LE37" s="34">
        <v>1</v>
      </c>
      <c r="LF37" s="20">
        <v>7</v>
      </c>
      <c r="LG37" s="20">
        <v>4</v>
      </c>
      <c r="LH37" s="20" t="s">
        <v>226</v>
      </c>
      <c r="LI37" s="20" t="s">
        <v>129</v>
      </c>
      <c r="LJ37" s="20">
        <v>13</v>
      </c>
      <c r="LK37" s="20">
        <v>16</v>
      </c>
      <c r="LL37" s="20">
        <v>9</v>
      </c>
      <c r="LM37" s="20">
        <v>26</v>
      </c>
      <c r="LN37" s="20" t="s">
        <v>557</v>
      </c>
      <c r="LO37" s="33">
        <v>2</v>
      </c>
      <c r="LP37" s="20">
        <v>9</v>
      </c>
      <c r="LQ37" s="20">
        <v>4</v>
      </c>
      <c r="LR37" s="20" t="s">
        <v>197</v>
      </c>
      <c r="LS37" s="20" t="s">
        <v>126</v>
      </c>
      <c r="LT37" s="20">
        <v>33</v>
      </c>
      <c r="LU37" s="20">
        <v>17</v>
      </c>
      <c r="LV37" s="20">
        <v>6</v>
      </c>
      <c r="LW37" s="20">
        <v>9</v>
      </c>
      <c r="LX37" s="20" t="s">
        <v>558</v>
      </c>
      <c r="LZ37" s="20">
        <v>0</v>
      </c>
      <c r="MA37" s="20">
        <v>0</v>
      </c>
      <c r="MB37" s="20">
        <v>0</v>
      </c>
      <c r="MC37" s="20">
        <v>1</v>
      </c>
      <c r="MD37" s="20">
        <v>1</v>
      </c>
      <c r="ME37" s="20">
        <v>0</v>
      </c>
      <c r="MF37" s="20">
        <v>1</v>
      </c>
      <c r="MG37" s="20">
        <v>0</v>
      </c>
      <c r="MK37" s="20">
        <v>12.7</v>
      </c>
      <c r="ML37" s="20">
        <v>20</v>
      </c>
      <c r="MO37" s="20">
        <v>33</v>
      </c>
      <c r="MP37" s="20" t="s">
        <v>10</v>
      </c>
      <c r="MQ37" s="20" t="s">
        <v>14</v>
      </c>
      <c r="MR37" s="32">
        <v>1</v>
      </c>
      <c r="MS37" s="20">
        <v>9</v>
      </c>
      <c r="MT37" s="20">
        <v>4</v>
      </c>
      <c r="MU37" s="20" t="s">
        <v>197</v>
      </c>
      <c r="MV37" s="20" t="s">
        <v>147</v>
      </c>
      <c r="MW37" s="20">
        <v>29</v>
      </c>
      <c r="MX37" s="20">
        <v>16</v>
      </c>
      <c r="MY37" s="20">
        <v>4</v>
      </c>
      <c r="MZ37" s="20">
        <v>13</v>
      </c>
      <c r="NA37" s="20" t="s">
        <v>556</v>
      </c>
      <c r="NB37" s="32">
        <v>1</v>
      </c>
      <c r="NC37" s="20">
        <v>18</v>
      </c>
      <c r="ND37" s="20">
        <v>5</v>
      </c>
      <c r="NE37" s="20" t="s">
        <v>259</v>
      </c>
      <c r="NF37" s="20" t="s">
        <v>120</v>
      </c>
      <c r="NG37" s="20">
        <v>23</v>
      </c>
      <c r="NH37" s="20">
        <v>13</v>
      </c>
      <c r="NI37" s="20">
        <v>11</v>
      </c>
      <c r="NJ37" s="20">
        <v>22</v>
      </c>
      <c r="NK37" s="20" t="s">
        <v>156</v>
      </c>
      <c r="NM37" s="32">
        <v>1</v>
      </c>
      <c r="NN37" s="32">
        <v>0</v>
      </c>
      <c r="NO37" s="32">
        <v>1</v>
      </c>
      <c r="NP37" s="32">
        <v>0</v>
      </c>
      <c r="NQ37" s="32">
        <v>0</v>
      </c>
      <c r="NR37" s="32">
        <v>1</v>
      </c>
      <c r="NS37" s="32">
        <v>0</v>
      </c>
      <c r="NT37" s="32">
        <v>1</v>
      </c>
      <c r="NX37" s="32">
        <v>16.670000000000002</v>
      </c>
      <c r="NY37" s="32">
        <v>6</v>
      </c>
      <c r="OB37" s="20">
        <v>33</v>
      </c>
      <c r="OC37" s="20" t="s">
        <v>15</v>
      </c>
      <c r="OD37" s="20" t="s">
        <v>34</v>
      </c>
      <c r="OE37" s="32">
        <v>1</v>
      </c>
      <c r="OF37" s="20">
        <v>10</v>
      </c>
      <c r="OG37" s="20">
        <v>4</v>
      </c>
      <c r="OH37" s="20" t="s">
        <v>133</v>
      </c>
      <c r="OI37" s="20" t="s">
        <v>168</v>
      </c>
      <c r="OJ37" s="20">
        <v>23</v>
      </c>
      <c r="OK37" s="20">
        <v>7</v>
      </c>
      <c r="OL37" s="20">
        <v>12</v>
      </c>
      <c r="OM37" s="20">
        <v>12</v>
      </c>
      <c r="ON37" s="20" t="s">
        <v>385</v>
      </c>
      <c r="OO37" s="32">
        <v>1</v>
      </c>
      <c r="OP37" s="20">
        <v>12</v>
      </c>
      <c r="OQ37" s="20">
        <v>2</v>
      </c>
      <c r="OR37" s="20" t="s">
        <v>272</v>
      </c>
      <c r="OS37" s="20" t="s">
        <v>123</v>
      </c>
      <c r="OT37" s="20">
        <v>23</v>
      </c>
      <c r="OU37" s="20">
        <v>18</v>
      </c>
      <c r="OV37" s="20">
        <v>6</v>
      </c>
      <c r="OW37" s="20">
        <v>10</v>
      </c>
      <c r="OX37" s="20" t="s">
        <v>384</v>
      </c>
      <c r="OZ37" s="32">
        <v>0</v>
      </c>
      <c r="PA37" s="32">
        <v>0</v>
      </c>
      <c r="PB37" s="32">
        <v>0</v>
      </c>
      <c r="PC37" s="32">
        <v>1</v>
      </c>
      <c r="PD37" s="32">
        <v>1</v>
      </c>
      <c r="PE37" s="32">
        <v>0</v>
      </c>
      <c r="PF37" s="32">
        <v>1</v>
      </c>
      <c r="PG37" s="32">
        <v>0</v>
      </c>
      <c r="PK37" s="32">
        <v>23.33</v>
      </c>
      <c r="PL37" s="32">
        <v>0</v>
      </c>
      <c r="PO37" s="20">
        <v>33</v>
      </c>
      <c r="PP37" s="20" t="s">
        <v>5</v>
      </c>
      <c r="PQ37" s="20" t="s">
        <v>17</v>
      </c>
      <c r="PR37" s="33">
        <v>2</v>
      </c>
      <c r="PS37" s="20">
        <v>7</v>
      </c>
      <c r="PT37" s="20">
        <v>2</v>
      </c>
      <c r="PU37" s="20" t="s">
        <v>170</v>
      </c>
      <c r="PV37" s="20" t="s">
        <v>219</v>
      </c>
      <c r="PW37" s="20">
        <v>18</v>
      </c>
      <c r="PX37" s="20">
        <v>7</v>
      </c>
      <c r="PY37" s="20">
        <v>6</v>
      </c>
      <c r="PZ37" s="20">
        <v>8</v>
      </c>
      <c r="QA37" s="20" t="s">
        <v>165</v>
      </c>
      <c r="QB37" s="34">
        <v>1</v>
      </c>
      <c r="QC37" s="20">
        <v>22</v>
      </c>
      <c r="QD37" s="20">
        <v>7</v>
      </c>
      <c r="QE37" s="20" t="s">
        <v>559</v>
      </c>
      <c r="QF37" s="20" t="s">
        <v>258</v>
      </c>
      <c r="QG37" s="20">
        <v>21</v>
      </c>
      <c r="QH37" s="20">
        <v>12</v>
      </c>
      <c r="QI37" s="20">
        <v>16</v>
      </c>
      <c r="QJ37" s="20">
        <v>6</v>
      </c>
      <c r="QK37" s="20" t="s">
        <v>190</v>
      </c>
      <c r="QM37" s="20">
        <v>0</v>
      </c>
      <c r="QN37" s="20">
        <v>0</v>
      </c>
      <c r="QO37" s="20">
        <v>0</v>
      </c>
      <c r="QP37" s="20">
        <v>0</v>
      </c>
      <c r="QQ37" s="20">
        <v>0</v>
      </c>
      <c r="QR37" s="20">
        <v>0</v>
      </c>
      <c r="QS37" s="20">
        <v>0</v>
      </c>
      <c r="QT37" s="20">
        <v>0</v>
      </c>
      <c r="QX37" s="20">
        <v>3.25</v>
      </c>
      <c r="QY37" s="20">
        <v>3</v>
      </c>
      <c r="RB37" s="20">
        <v>33</v>
      </c>
      <c r="RC37" s="20" t="s">
        <v>23</v>
      </c>
      <c r="RD37" s="20" t="s">
        <v>18</v>
      </c>
      <c r="RE37" s="34">
        <v>1</v>
      </c>
      <c r="RF37" s="20">
        <v>10</v>
      </c>
      <c r="RG37" s="20">
        <v>2</v>
      </c>
      <c r="RH37" s="20" t="s">
        <v>141</v>
      </c>
      <c r="RI37" s="20" t="s">
        <v>203</v>
      </c>
      <c r="RJ37" s="20">
        <v>30</v>
      </c>
      <c r="RK37" s="20">
        <v>26</v>
      </c>
      <c r="RL37" s="20">
        <v>6</v>
      </c>
      <c r="RM37" s="20">
        <v>12</v>
      </c>
      <c r="RN37" s="20" t="s">
        <v>244</v>
      </c>
      <c r="RO37" s="33">
        <v>2</v>
      </c>
      <c r="RP37" s="20">
        <v>12</v>
      </c>
      <c r="RQ37" s="20">
        <v>4</v>
      </c>
      <c r="RR37" s="20" t="s">
        <v>209</v>
      </c>
      <c r="RS37" s="20" t="s">
        <v>142</v>
      </c>
      <c r="RT37" s="20">
        <v>16</v>
      </c>
      <c r="RU37" s="20">
        <v>20</v>
      </c>
      <c r="RV37" s="20">
        <v>8</v>
      </c>
      <c r="RW37" s="20">
        <v>21</v>
      </c>
      <c r="RX37" s="20" t="s">
        <v>242</v>
      </c>
      <c r="RZ37" s="20">
        <v>1</v>
      </c>
      <c r="SA37" s="20">
        <v>1</v>
      </c>
      <c r="SB37" s="20">
        <v>1</v>
      </c>
      <c r="SC37" s="20">
        <v>0</v>
      </c>
      <c r="SD37" s="20">
        <v>0</v>
      </c>
      <c r="SE37" s="20">
        <v>1</v>
      </c>
      <c r="SF37" s="20">
        <v>0</v>
      </c>
      <c r="SG37" s="20">
        <v>1</v>
      </c>
      <c r="SK37" s="20">
        <v>13.33</v>
      </c>
      <c r="SL37" s="20">
        <v>14</v>
      </c>
      <c r="SO37" s="20">
        <v>33</v>
      </c>
      <c r="SP37" s="20" t="s">
        <v>19</v>
      </c>
      <c r="SQ37" s="20" t="s">
        <v>13</v>
      </c>
      <c r="SR37" s="33">
        <v>2</v>
      </c>
      <c r="SS37" s="20">
        <v>9</v>
      </c>
      <c r="ST37" s="20">
        <v>4</v>
      </c>
      <c r="SU37" s="20" t="s">
        <v>197</v>
      </c>
      <c r="SV37" s="20" t="s">
        <v>126</v>
      </c>
      <c r="SW37" s="20">
        <v>33</v>
      </c>
      <c r="SX37" s="20">
        <v>17</v>
      </c>
      <c r="SY37" s="20">
        <v>6</v>
      </c>
      <c r="SZ37" s="20">
        <v>9</v>
      </c>
      <c r="TA37" s="20" t="s">
        <v>558</v>
      </c>
      <c r="TB37" s="34">
        <v>1</v>
      </c>
      <c r="TC37" s="20">
        <v>7</v>
      </c>
      <c r="TD37" s="20">
        <v>4</v>
      </c>
      <c r="TE37" s="20" t="s">
        <v>226</v>
      </c>
      <c r="TF37" s="20" t="s">
        <v>129</v>
      </c>
      <c r="TG37" s="20">
        <v>13</v>
      </c>
      <c r="TH37" s="20">
        <v>16</v>
      </c>
      <c r="TI37" s="20">
        <v>9</v>
      </c>
      <c r="TJ37" s="20">
        <v>26</v>
      </c>
      <c r="TK37" s="20" t="s">
        <v>557</v>
      </c>
      <c r="TM37" s="20">
        <v>0</v>
      </c>
      <c r="TN37" s="20">
        <v>0</v>
      </c>
      <c r="TO37" s="20">
        <v>0</v>
      </c>
      <c r="TP37" s="20">
        <v>1</v>
      </c>
      <c r="TQ37" s="20">
        <v>1</v>
      </c>
      <c r="TR37" s="20">
        <v>0</v>
      </c>
      <c r="TS37" s="20">
        <v>1</v>
      </c>
      <c r="TT37" s="20">
        <v>0</v>
      </c>
      <c r="TX37" s="20">
        <v>12.7</v>
      </c>
      <c r="TY37" s="20">
        <v>20</v>
      </c>
      <c r="UB37" s="20">
        <v>33</v>
      </c>
      <c r="UC37" s="20" t="s">
        <v>11</v>
      </c>
      <c r="UD37" s="20" t="s">
        <v>16</v>
      </c>
      <c r="UE37" s="32">
        <v>1</v>
      </c>
      <c r="UF37" s="20">
        <v>5</v>
      </c>
      <c r="UG37" s="20">
        <v>4</v>
      </c>
      <c r="UH37" s="20" t="s">
        <v>503</v>
      </c>
      <c r="UI37" s="20" t="s">
        <v>161</v>
      </c>
      <c r="UJ37" s="20">
        <v>13</v>
      </c>
      <c r="UK37" s="20">
        <v>12</v>
      </c>
      <c r="UL37" s="20">
        <v>4</v>
      </c>
      <c r="UM37" s="20">
        <v>5</v>
      </c>
      <c r="UN37" s="20" t="s">
        <v>363</v>
      </c>
      <c r="UO37" s="32">
        <v>1</v>
      </c>
      <c r="UP37" s="20">
        <v>11</v>
      </c>
      <c r="UQ37" s="20">
        <v>3</v>
      </c>
      <c r="UR37" s="20" t="s">
        <v>128</v>
      </c>
      <c r="US37" s="20" t="s">
        <v>120</v>
      </c>
      <c r="UT37" s="20">
        <v>8</v>
      </c>
      <c r="UU37" s="20">
        <v>15</v>
      </c>
      <c r="UV37" s="20">
        <v>11</v>
      </c>
      <c r="UW37" s="20">
        <v>9</v>
      </c>
      <c r="UX37" s="20" t="s">
        <v>362</v>
      </c>
      <c r="UZ37" s="32">
        <v>0</v>
      </c>
      <c r="VA37" s="32">
        <v>0</v>
      </c>
      <c r="VB37" s="32">
        <v>1</v>
      </c>
      <c r="VC37" s="32">
        <v>0</v>
      </c>
      <c r="VD37" s="32">
        <v>1</v>
      </c>
      <c r="VE37" s="32">
        <v>1</v>
      </c>
      <c r="VF37" s="32">
        <v>0</v>
      </c>
      <c r="VG37" s="32">
        <v>1</v>
      </c>
      <c r="VK37" s="32">
        <v>52.73</v>
      </c>
      <c r="VL37" s="32">
        <v>5</v>
      </c>
      <c r="VO37" s="20">
        <v>33</v>
      </c>
      <c r="VP37" s="20" t="s">
        <v>7</v>
      </c>
      <c r="VQ37" s="20" t="s">
        <v>20</v>
      </c>
      <c r="VR37" s="34">
        <v>0</v>
      </c>
      <c r="VS37" s="20">
        <v>11</v>
      </c>
      <c r="VT37" s="20">
        <v>0</v>
      </c>
      <c r="VU37" s="20" t="s">
        <v>116</v>
      </c>
      <c r="VV37" s="20" t="s">
        <v>154</v>
      </c>
      <c r="VW37" s="20">
        <v>13</v>
      </c>
      <c r="VX37" s="20">
        <v>17</v>
      </c>
      <c r="VY37" s="20">
        <v>15</v>
      </c>
      <c r="VZ37" s="20">
        <v>19</v>
      </c>
      <c r="WA37" s="20" t="s">
        <v>456</v>
      </c>
      <c r="WB37" s="33">
        <v>3</v>
      </c>
      <c r="WC37" s="20">
        <v>8</v>
      </c>
      <c r="WD37" s="20">
        <v>3</v>
      </c>
      <c r="WE37" s="20" t="s">
        <v>153</v>
      </c>
      <c r="WF37" s="20" t="s">
        <v>171</v>
      </c>
      <c r="WG37" s="20">
        <v>29</v>
      </c>
      <c r="WH37" s="20">
        <v>20</v>
      </c>
      <c r="WI37" s="20">
        <v>8</v>
      </c>
      <c r="WJ37" s="20">
        <v>9</v>
      </c>
      <c r="WK37" s="20" t="s">
        <v>455</v>
      </c>
      <c r="WM37" s="20">
        <v>1</v>
      </c>
      <c r="WN37" s="20">
        <v>1</v>
      </c>
      <c r="WO37" s="20">
        <v>1</v>
      </c>
      <c r="WP37" s="20">
        <v>1</v>
      </c>
      <c r="WQ37" s="20">
        <v>1</v>
      </c>
      <c r="WR37" s="20">
        <v>0</v>
      </c>
      <c r="WS37" s="20">
        <v>1</v>
      </c>
      <c r="WT37" s="20">
        <v>1</v>
      </c>
      <c r="WX37" s="20">
        <v>37.5</v>
      </c>
      <c r="WY37" s="20">
        <v>16</v>
      </c>
      <c r="XB37" s="20">
        <v>33</v>
      </c>
      <c r="XC37" s="20" t="s">
        <v>15</v>
      </c>
      <c r="XD37" s="20" t="s">
        <v>34</v>
      </c>
      <c r="XE37" s="32">
        <v>1</v>
      </c>
      <c r="XF37" s="20">
        <v>12</v>
      </c>
      <c r="XG37" s="20">
        <v>2</v>
      </c>
      <c r="XH37" s="20" t="s">
        <v>272</v>
      </c>
      <c r="XI37" s="20" t="s">
        <v>123</v>
      </c>
      <c r="XJ37" s="20">
        <v>23</v>
      </c>
      <c r="XK37" s="20">
        <v>18</v>
      </c>
      <c r="XL37" s="20">
        <v>6</v>
      </c>
      <c r="XM37" s="20">
        <v>10</v>
      </c>
      <c r="XN37" s="20" t="s">
        <v>384</v>
      </c>
      <c r="XO37" s="32">
        <v>1</v>
      </c>
      <c r="XP37" s="20">
        <v>10</v>
      </c>
      <c r="XQ37" s="20">
        <v>4</v>
      </c>
      <c r="XR37" s="20" t="s">
        <v>133</v>
      </c>
      <c r="XS37" s="20" t="s">
        <v>168</v>
      </c>
      <c r="XT37" s="20">
        <v>23</v>
      </c>
      <c r="XU37" s="20">
        <v>7</v>
      </c>
      <c r="XV37" s="20">
        <v>12</v>
      </c>
      <c r="XW37" s="20">
        <v>12</v>
      </c>
      <c r="XX37" s="20" t="s">
        <v>385</v>
      </c>
      <c r="XZ37" s="32">
        <v>0</v>
      </c>
      <c r="YA37" s="32">
        <v>0</v>
      </c>
      <c r="YB37" s="32">
        <v>0</v>
      </c>
      <c r="YC37" s="32">
        <v>1</v>
      </c>
      <c r="YD37" s="32">
        <v>1</v>
      </c>
      <c r="YE37" s="32">
        <v>0</v>
      </c>
      <c r="YF37" s="32">
        <v>1</v>
      </c>
      <c r="YG37" s="32">
        <v>0</v>
      </c>
      <c r="YK37" s="32">
        <v>23.33</v>
      </c>
      <c r="YL37" s="32">
        <v>0</v>
      </c>
      <c r="YO37" s="20">
        <v>33</v>
      </c>
      <c r="YP37" s="20" t="s">
        <v>21</v>
      </c>
      <c r="YQ37" s="20" t="s">
        <v>8</v>
      </c>
      <c r="YR37" s="33">
        <v>2</v>
      </c>
      <c r="YS37" s="20">
        <v>14</v>
      </c>
      <c r="YT37" s="20">
        <v>6</v>
      </c>
      <c r="YU37" s="20" t="s">
        <v>207</v>
      </c>
      <c r="YV37" s="20" t="s">
        <v>168</v>
      </c>
      <c r="YW37" s="20">
        <v>21</v>
      </c>
      <c r="YX37" s="20">
        <v>13</v>
      </c>
      <c r="YY37" s="20">
        <v>2</v>
      </c>
      <c r="YZ37" s="20">
        <v>9</v>
      </c>
      <c r="ZA37" s="20" t="s">
        <v>485</v>
      </c>
      <c r="ZB37" s="34">
        <v>1</v>
      </c>
      <c r="ZC37" s="20">
        <v>6</v>
      </c>
      <c r="ZD37" s="20">
        <v>2</v>
      </c>
      <c r="ZE37" s="20" t="s">
        <v>209</v>
      </c>
      <c r="ZF37" s="20" t="s">
        <v>139</v>
      </c>
      <c r="ZG37" s="20">
        <v>20</v>
      </c>
      <c r="ZH37" s="20">
        <v>11</v>
      </c>
      <c r="ZI37" s="20">
        <v>4</v>
      </c>
      <c r="ZJ37" s="20">
        <v>13</v>
      </c>
      <c r="ZK37" s="20" t="s">
        <v>486</v>
      </c>
      <c r="ZM37" s="20">
        <v>1</v>
      </c>
      <c r="ZN37" s="20">
        <v>1</v>
      </c>
      <c r="ZO37" s="20">
        <v>1</v>
      </c>
      <c r="ZP37" s="20">
        <v>1</v>
      </c>
      <c r="ZQ37" s="20">
        <v>1</v>
      </c>
      <c r="ZR37" s="20">
        <v>0</v>
      </c>
      <c r="ZS37" s="20">
        <v>1</v>
      </c>
      <c r="ZT37" s="20">
        <v>1</v>
      </c>
      <c r="ZX37" s="20">
        <v>9.52</v>
      </c>
      <c r="ZY37" s="20">
        <v>1</v>
      </c>
      <c r="AAB37" s="20">
        <v>33</v>
      </c>
      <c r="AAC37" s="20" t="s">
        <v>22</v>
      </c>
      <c r="AAD37" s="20" t="s">
        <v>6</v>
      </c>
      <c r="AAE37" s="34">
        <v>1</v>
      </c>
      <c r="AAF37" s="20">
        <v>12</v>
      </c>
      <c r="AAG37" s="20">
        <v>5</v>
      </c>
      <c r="AAH37" s="20" t="s">
        <v>254</v>
      </c>
      <c r="AAI37" s="20" t="s">
        <v>134</v>
      </c>
      <c r="AAJ37" s="20">
        <v>15</v>
      </c>
      <c r="AAK37" s="20">
        <v>3</v>
      </c>
      <c r="AAL37" s="20">
        <v>12</v>
      </c>
      <c r="AAM37" s="20">
        <v>7</v>
      </c>
      <c r="AAN37" s="20" t="s">
        <v>496</v>
      </c>
      <c r="AAO37" s="33">
        <v>5</v>
      </c>
      <c r="AAP37" s="20">
        <v>21</v>
      </c>
      <c r="AAQ37" s="20">
        <v>11</v>
      </c>
      <c r="AAR37" s="20" t="s">
        <v>188</v>
      </c>
      <c r="AAS37" s="20" t="s">
        <v>343</v>
      </c>
      <c r="AAT37" s="20">
        <v>13</v>
      </c>
      <c r="AAU37" s="20">
        <v>6</v>
      </c>
      <c r="AAV37" s="20">
        <v>17</v>
      </c>
      <c r="AAW37" s="20">
        <v>7</v>
      </c>
      <c r="AAX37" s="20" t="s">
        <v>371</v>
      </c>
      <c r="AAZ37" s="20">
        <v>1</v>
      </c>
      <c r="ABA37" s="20">
        <v>1</v>
      </c>
      <c r="ABB37" s="20">
        <v>1</v>
      </c>
      <c r="ABC37" s="20">
        <v>0</v>
      </c>
      <c r="ABD37" s="20">
        <v>1</v>
      </c>
      <c r="ABE37" s="20">
        <v>1</v>
      </c>
      <c r="ABF37" s="20">
        <v>1</v>
      </c>
      <c r="ABG37" s="20">
        <v>1</v>
      </c>
      <c r="ABK37" s="20">
        <v>10.71</v>
      </c>
      <c r="ABL37" s="20">
        <v>2</v>
      </c>
      <c r="ABO37" s="20">
        <v>33</v>
      </c>
      <c r="ABP37" s="20" t="s">
        <v>23</v>
      </c>
      <c r="ABQ37" s="20" t="s">
        <v>18</v>
      </c>
      <c r="ABR37" s="33">
        <v>2</v>
      </c>
      <c r="ABS37" s="20">
        <v>12</v>
      </c>
      <c r="ABT37" s="20">
        <v>4</v>
      </c>
      <c r="ABU37" s="20" t="s">
        <v>209</v>
      </c>
      <c r="ABV37" s="20" t="s">
        <v>142</v>
      </c>
      <c r="ABW37" s="20">
        <v>16</v>
      </c>
      <c r="ABX37" s="20">
        <v>20</v>
      </c>
      <c r="ABY37" s="20">
        <v>8</v>
      </c>
      <c r="ABZ37" s="20">
        <v>21</v>
      </c>
      <c r="ACA37" s="20" t="s">
        <v>242</v>
      </c>
      <c r="ACB37" s="34">
        <v>1</v>
      </c>
      <c r="ACC37" s="20">
        <v>10</v>
      </c>
      <c r="ACD37" s="20">
        <v>2</v>
      </c>
      <c r="ACE37" s="20" t="s">
        <v>141</v>
      </c>
      <c r="ACF37" s="20" t="s">
        <v>203</v>
      </c>
      <c r="ACG37" s="20">
        <v>30</v>
      </c>
      <c r="ACH37" s="20">
        <v>26</v>
      </c>
      <c r="ACI37" s="20">
        <v>6</v>
      </c>
      <c r="ACJ37" s="20">
        <v>12</v>
      </c>
      <c r="ACK37" s="20" t="s">
        <v>244</v>
      </c>
      <c r="ACM37" s="20">
        <v>1</v>
      </c>
      <c r="ACN37" s="20">
        <v>1</v>
      </c>
      <c r="ACO37" s="20">
        <v>1</v>
      </c>
      <c r="ACP37" s="20">
        <v>0</v>
      </c>
      <c r="ACQ37" s="20">
        <v>0</v>
      </c>
      <c r="ACR37" s="20">
        <v>1</v>
      </c>
      <c r="ACS37" s="20">
        <v>0</v>
      </c>
      <c r="ACT37" s="20">
        <v>1</v>
      </c>
      <c r="ACX37" s="20">
        <v>13.33</v>
      </c>
      <c r="ACY37" s="20">
        <v>14</v>
      </c>
    </row>
    <row r="38" spans="1:781" x14ac:dyDescent="0.3">
      <c r="A38" s="27">
        <f>E38/G38</f>
        <v>0.8</v>
      </c>
      <c r="B38" s="20">
        <v>34</v>
      </c>
      <c r="C38" s="20" t="s">
        <v>16</v>
      </c>
      <c r="D38" s="20" t="s">
        <v>5</v>
      </c>
      <c r="E38" s="33">
        <v>8</v>
      </c>
      <c r="F38" s="20">
        <v>19</v>
      </c>
      <c r="G38" s="30">
        <v>10</v>
      </c>
      <c r="H38" s="27">
        <v>0.52629999999999999</v>
      </c>
      <c r="I38" s="28">
        <v>0.92</v>
      </c>
      <c r="J38" s="20">
        <v>13</v>
      </c>
      <c r="K38" s="20">
        <v>4</v>
      </c>
      <c r="L38" s="20">
        <v>9</v>
      </c>
      <c r="M38" s="30">
        <v>7</v>
      </c>
      <c r="N38" s="27">
        <v>0.65700000000000003</v>
      </c>
      <c r="O38" s="34">
        <v>0</v>
      </c>
      <c r="P38" s="20">
        <v>16</v>
      </c>
      <c r="Q38" s="30">
        <v>6</v>
      </c>
      <c r="R38" s="27">
        <v>0.375</v>
      </c>
      <c r="S38" s="28">
        <v>0.81</v>
      </c>
      <c r="T38" s="20">
        <v>13</v>
      </c>
      <c r="U38" s="20">
        <v>7</v>
      </c>
      <c r="V38" s="20">
        <v>6</v>
      </c>
      <c r="W38" s="30">
        <v>7</v>
      </c>
      <c r="X38" s="27">
        <v>0.34300000000000003</v>
      </c>
      <c r="Z38" s="20">
        <v>1</v>
      </c>
      <c r="AA38" s="20">
        <v>1</v>
      </c>
      <c r="AB38" s="20">
        <v>1</v>
      </c>
      <c r="AC38" s="20">
        <v>1</v>
      </c>
      <c r="AD38" s="20">
        <v>0</v>
      </c>
      <c r="AE38" s="20">
        <v>1</v>
      </c>
      <c r="AF38" s="20">
        <v>1</v>
      </c>
      <c r="AG38" s="20">
        <v>1</v>
      </c>
      <c r="AK38" s="20">
        <v>15.13</v>
      </c>
      <c r="AL38" s="20">
        <v>0</v>
      </c>
      <c r="AM38" s="20"/>
      <c r="AN38" s="20"/>
      <c r="AO38" s="20">
        <v>34</v>
      </c>
      <c r="AP38" s="20" t="s">
        <v>6</v>
      </c>
      <c r="AQ38" s="20" t="s">
        <v>8</v>
      </c>
      <c r="AR38" s="33">
        <v>3</v>
      </c>
      <c r="AS38" s="30">
        <v>20</v>
      </c>
      <c r="AT38" s="30">
        <v>6</v>
      </c>
      <c r="AU38" s="27">
        <v>0.3</v>
      </c>
      <c r="AV38" s="28">
        <v>0.87</v>
      </c>
      <c r="AW38" s="20">
        <v>10</v>
      </c>
      <c r="AX38" s="20">
        <v>7</v>
      </c>
      <c r="AY38" s="30">
        <v>15</v>
      </c>
      <c r="AZ38" s="20">
        <v>11</v>
      </c>
      <c r="BA38" s="27">
        <v>0.60899999999999999</v>
      </c>
      <c r="BB38" s="34">
        <v>0</v>
      </c>
      <c r="BC38" s="20">
        <v>5</v>
      </c>
      <c r="BD38" s="20">
        <v>2</v>
      </c>
      <c r="BE38" s="20" t="s">
        <v>133</v>
      </c>
      <c r="BF38" s="20" t="s">
        <v>171</v>
      </c>
      <c r="BG38" s="20">
        <v>15</v>
      </c>
      <c r="BH38" s="20">
        <v>3</v>
      </c>
      <c r="BI38" s="20">
        <v>7</v>
      </c>
      <c r="BJ38" s="20">
        <v>6</v>
      </c>
      <c r="BK38" s="20" t="s">
        <v>399</v>
      </c>
      <c r="BM38" s="20">
        <v>1</v>
      </c>
      <c r="BN38" s="20">
        <v>0</v>
      </c>
      <c r="BO38" s="20">
        <v>1</v>
      </c>
      <c r="BP38" s="20">
        <v>0</v>
      </c>
      <c r="BQ38" s="20">
        <v>1</v>
      </c>
      <c r="BR38" s="20">
        <v>1</v>
      </c>
      <c r="BS38" s="20">
        <v>0</v>
      </c>
      <c r="BT38" s="20">
        <v>1</v>
      </c>
      <c r="BX38" s="20">
        <v>10</v>
      </c>
      <c r="BY38" s="20">
        <v>5</v>
      </c>
      <c r="BZ38" s="20"/>
      <c r="CA38" s="20"/>
      <c r="CB38" s="20">
        <v>34</v>
      </c>
      <c r="CC38" s="20" t="s">
        <v>9</v>
      </c>
      <c r="CD38" s="20" t="s">
        <v>7</v>
      </c>
      <c r="CE38" s="33">
        <v>1</v>
      </c>
      <c r="CF38" s="20">
        <v>8</v>
      </c>
      <c r="CG38" s="20">
        <v>2</v>
      </c>
      <c r="CH38" s="20" t="s">
        <v>131</v>
      </c>
      <c r="CI38" s="20" t="s">
        <v>219</v>
      </c>
      <c r="CJ38" s="20">
        <v>25</v>
      </c>
      <c r="CK38" s="20">
        <v>13</v>
      </c>
      <c r="CL38" s="20">
        <v>8</v>
      </c>
      <c r="CM38" s="20">
        <v>19</v>
      </c>
      <c r="CN38" s="20" t="s">
        <v>560</v>
      </c>
      <c r="CO38" s="34">
        <v>0</v>
      </c>
      <c r="CP38" s="20">
        <v>12</v>
      </c>
      <c r="CQ38" s="20">
        <v>6</v>
      </c>
      <c r="CR38" s="20" t="s">
        <v>125</v>
      </c>
      <c r="CS38" s="20" t="s">
        <v>120</v>
      </c>
      <c r="CT38" s="20">
        <v>30</v>
      </c>
      <c r="CU38" s="20">
        <v>19</v>
      </c>
      <c r="CV38" s="20">
        <v>6</v>
      </c>
      <c r="CW38" s="20">
        <v>15</v>
      </c>
      <c r="CX38" s="20" t="s">
        <v>561</v>
      </c>
      <c r="CZ38" s="20">
        <v>0</v>
      </c>
      <c r="DA38" s="20">
        <v>0</v>
      </c>
      <c r="DB38" s="20">
        <v>0</v>
      </c>
      <c r="DC38" s="20">
        <v>0</v>
      </c>
      <c r="DD38" s="20">
        <v>0</v>
      </c>
      <c r="DE38" s="20">
        <v>1</v>
      </c>
      <c r="DF38" s="20">
        <v>0</v>
      </c>
      <c r="DG38" s="20">
        <v>0</v>
      </c>
      <c r="DK38" s="20">
        <v>25</v>
      </c>
      <c r="DL38" s="20">
        <v>5</v>
      </c>
      <c r="DO38" s="20">
        <v>34</v>
      </c>
      <c r="DP38" s="20" t="s">
        <v>6</v>
      </c>
      <c r="DQ38" s="20" t="s">
        <v>8</v>
      </c>
      <c r="DR38" s="34">
        <v>0</v>
      </c>
      <c r="DS38" s="20">
        <v>5</v>
      </c>
      <c r="DT38" s="20">
        <v>2</v>
      </c>
      <c r="DU38" s="20" t="s">
        <v>133</v>
      </c>
      <c r="DV38" s="20" t="s">
        <v>171</v>
      </c>
      <c r="DW38" s="20">
        <v>15</v>
      </c>
      <c r="DX38" s="20">
        <v>3</v>
      </c>
      <c r="DY38" s="20">
        <v>7</v>
      </c>
      <c r="DZ38" s="20">
        <v>6</v>
      </c>
      <c r="EA38" s="20" t="s">
        <v>399</v>
      </c>
      <c r="EB38" s="33">
        <v>3</v>
      </c>
      <c r="EC38" s="20">
        <v>20</v>
      </c>
      <c r="ED38" s="20">
        <v>6</v>
      </c>
      <c r="EE38" s="20" t="s">
        <v>237</v>
      </c>
      <c r="EF38" s="20" t="s">
        <v>136</v>
      </c>
      <c r="EG38" s="20">
        <v>10</v>
      </c>
      <c r="EH38" s="20">
        <v>7</v>
      </c>
      <c r="EI38" s="20">
        <v>15</v>
      </c>
      <c r="EJ38" s="20">
        <v>11</v>
      </c>
      <c r="EK38" s="20" t="s">
        <v>411</v>
      </c>
      <c r="EM38" s="20">
        <v>1</v>
      </c>
      <c r="EN38" s="20">
        <v>0</v>
      </c>
      <c r="EO38" s="20">
        <v>1</v>
      </c>
      <c r="EP38" s="20">
        <v>0</v>
      </c>
      <c r="EQ38" s="20">
        <v>1</v>
      </c>
      <c r="ER38" s="20">
        <v>1</v>
      </c>
      <c r="ES38" s="20">
        <v>0</v>
      </c>
      <c r="ET38" s="20">
        <v>1</v>
      </c>
      <c r="EX38" s="20">
        <v>10</v>
      </c>
      <c r="EY38" s="20">
        <v>5</v>
      </c>
      <c r="FB38" s="20">
        <v>34</v>
      </c>
      <c r="FC38" s="20" t="s">
        <v>9</v>
      </c>
      <c r="FD38" s="20" t="s">
        <v>7</v>
      </c>
      <c r="FE38" s="34">
        <v>0</v>
      </c>
      <c r="FF38" s="20">
        <v>12</v>
      </c>
      <c r="FG38" s="20">
        <v>6</v>
      </c>
      <c r="FH38" s="20" t="s">
        <v>125</v>
      </c>
      <c r="FI38" s="20" t="s">
        <v>120</v>
      </c>
      <c r="FJ38" s="20">
        <v>30</v>
      </c>
      <c r="FK38" s="20">
        <v>19</v>
      </c>
      <c r="FL38" s="20">
        <v>6</v>
      </c>
      <c r="FM38" s="20">
        <v>15</v>
      </c>
      <c r="FN38" s="20" t="s">
        <v>561</v>
      </c>
      <c r="FO38" s="33">
        <v>1</v>
      </c>
      <c r="FP38" s="20">
        <v>8</v>
      </c>
      <c r="FQ38" s="20">
        <v>2</v>
      </c>
      <c r="FR38" s="20" t="s">
        <v>131</v>
      </c>
      <c r="FS38" s="20" t="s">
        <v>219</v>
      </c>
      <c r="FT38" s="20">
        <v>25</v>
      </c>
      <c r="FU38" s="20">
        <v>13</v>
      </c>
      <c r="FV38" s="20">
        <v>8</v>
      </c>
      <c r="FW38" s="20">
        <v>19</v>
      </c>
      <c r="FX38" s="20" t="s">
        <v>560</v>
      </c>
      <c r="FZ38" s="20">
        <v>0</v>
      </c>
      <c r="GA38" s="20">
        <v>0</v>
      </c>
      <c r="GB38" s="20">
        <v>0</v>
      </c>
      <c r="GC38" s="20">
        <v>0</v>
      </c>
      <c r="GD38" s="20">
        <v>0</v>
      </c>
      <c r="GE38" s="20">
        <v>1</v>
      </c>
      <c r="GF38" s="20">
        <v>0</v>
      </c>
      <c r="GG38" s="20">
        <v>0</v>
      </c>
      <c r="GK38" s="20">
        <v>25</v>
      </c>
      <c r="GL38" s="20">
        <v>5</v>
      </c>
      <c r="GO38" s="20">
        <v>34</v>
      </c>
      <c r="GP38" s="20" t="s">
        <v>18</v>
      </c>
      <c r="GQ38" s="20" t="s">
        <v>10</v>
      </c>
      <c r="GR38" s="32">
        <v>1</v>
      </c>
      <c r="GS38" s="20">
        <v>3</v>
      </c>
      <c r="GT38" s="20">
        <v>1</v>
      </c>
      <c r="GU38" s="20" t="s">
        <v>209</v>
      </c>
      <c r="GV38" s="20" t="s">
        <v>144</v>
      </c>
      <c r="GW38" s="20">
        <v>30</v>
      </c>
      <c r="GX38" s="20">
        <v>13</v>
      </c>
      <c r="GY38" s="20">
        <v>9</v>
      </c>
      <c r="GZ38" s="20">
        <v>21</v>
      </c>
      <c r="HA38" s="20" t="s">
        <v>562</v>
      </c>
      <c r="HB38" s="32">
        <v>1</v>
      </c>
      <c r="HC38" s="20">
        <v>8</v>
      </c>
      <c r="HD38" s="20">
        <v>3</v>
      </c>
      <c r="HE38" s="20" t="s">
        <v>153</v>
      </c>
      <c r="HF38" s="20" t="s">
        <v>219</v>
      </c>
      <c r="HG38" s="20">
        <v>26</v>
      </c>
      <c r="HH38" s="20">
        <v>19</v>
      </c>
      <c r="HI38" s="20">
        <v>10</v>
      </c>
      <c r="HJ38" s="20">
        <v>11</v>
      </c>
      <c r="HK38" s="20" t="s">
        <v>563</v>
      </c>
      <c r="HM38" s="32">
        <v>1</v>
      </c>
      <c r="HN38" s="32">
        <v>1</v>
      </c>
      <c r="HO38" s="32">
        <v>0</v>
      </c>
      <c r="HP38" s="32">
        <v>0</v>
      </c>
      <c r="HQ38" s="32">
        <v>1</v>
      </c>
      <c r="HR38" s="32">
        <v>1</v>
      </c>
      <c r="HS38" s="32">
        <v>1</v>
      </c>
      <c r="HT38" s="32">
        <v>0</v>
      </c>
      <c r="HX38" s="32">
        <v>4.17</v>
      </c>
      <c r="HY38" s="32">
        <v>4</v>
      </c>
      <c r="IB38" s="20">
        <v>34</v>
      </c>
      <c r="IC38" s="20" t="s">
        <v>34</v>
      </c>
      <c r="ID38" s="20" t="s">
        <v>11</v>
      </c>
      <c r="IE38" s="34">
        <v>1</v>
      </c>
      <c r="IF38" s="20">
        <v>18</v>
      </c>
      <c r="IG38" s="20">
        <v>8</v>
      </c>
      <c r="IH38" s="20" t="s">
        <v>197</v>
      </c>
      <c r="II38" s="20" t="s">
        <v>134</v>
      </c>
      <c r="IJ38" s="20">
        <v>16</v>
      </c>
      <c r="IK38" s="20">
        <v>16</v>
      </c>
      <c r="IL38" s="20">
        <v>8</v>
      </c>
      <c r="IM38" s="20">
        <v>12</v>
      </c>
      <c r="IN38" s="20" t="s">
        <v>279</v>
      </c>
      <c r="IO38" s="33">
        <v>2</v>
      </c>
      <c r="IP38" s="20">
        <v>14</v>
      </c>
      <c r="IQ38" s="20">
        <v>2</v>
      </c>
      <c r="IR38" s="20" t="s">
        <v>164</v>
      </c>
      <c r="IS38" s="20" t="s">
        <v>154</v>
      </c>
      <c r="IT38" s="20">
        <v>18</v>
      </c>
      <c r="IU38" s="20">
        <v>12</v>
      </c>
      <c r="IV38" s="20">
        <v>6</v>
      </c>
      <c r="IW38" s="20">
        <v>7</v>
      </c>
      <c r="IX38" s="20" t="s">
        <v>281</v>
      </c>
      <c r="IZ38" s="20">
        <v>0</v>
      </c>
      <c r="JA38" s="20">
        <v>0</v>
      </c>
      <c r="JB38" s="20">
        <v>0</v>
      </c>
      <c r="JC38" s="20">
        <v>1</v>
      </c>
      <c r="JD38" s="20">
        <v>0</v>
      </c>
      <c r="JE38" s="20">
        <v>0</v>
      </c>
      <c r="JF38" s="20">
        <v>1</v>
      </c>
      <c r="JG38" s="20">
        <v>0</v>
      </c>
      <c r="JK38" s="20">
        <v>30.16</v>
      </c>
      <c r="JL38" s="20">
        <v>2</v>
      </c>
      <c r="JO38" s="20">
        <v>34</v>
      </c>
      <c r="JP38" s="20" t="s">
        <v>12</v>
      </c>
      <c r="JQ38" s="20" t="s">
        <v>21</v>
      </c>
      <c r="JR38" s="32">
        <v>1</v>
      </c>
      <c r="JS38" s="20">
        <v>12</v>
      </c>
      <c r="JT38" s="20">
        <v>4</v>
      </c>
      <c r="JU38" s="20" t="s">
        <v>209</v>
      </c>
      <c r="JV38" s="20" t="s">
        <v>123</v>
      </c>
      <c r="JW38" s="20">
        <v>22</v>
      </c>
      <c r="JX38" s="20">
        <v>34</v>
      </c>
      <c r="JY38" s="20">
        <v>11</v>
      </c>
      <c r="JZ38" s="20">
        <v>10</v>
      </c>
      <c r="KA38" s="20" t="s">
        <v>397</v>
      </c>
      <c r="KB38" s="32">
        <v>1</v>
      </c>
      <c r="KC38" s="20">
        <v>11</v>
      </c>
      <c r="KD38" s="20">
        <v>4</v>
      </c>
      <c r="KE38" s="20" t="s">
        <v>249</v>
      </c>
      <c r="KF38" s="20" t="s">
        <v>154</v>
      </c>
      <c r="KG38" s="20">
        <v>17</v>
      </c>
      <c r="KH38" s="20">
        <v>23</v>
      </c>
      <c r="KI38" s="20">
        <v>7</v>
      </c>
      <c r="KJ38" s="20">
        <v>11</v>
      </c>
      <c r="KK38" s="20" t="s">
        <v>398</v>
      </c>
      <c r="KM38" s="32">
        <v>0</v>
      </c>
      <c r="KN38" s="32">
        <v>0</v>
      </c>
      <c r="KO38" s="32">
        <v>0</v>
      </c>
      <c r="KP38" s="32">
        <v>1</v>
      </c>
      <c r="KQ38" s="32">
        <v>1</v>
      </c>
      <c r="KR38" s="32">
        <v>1</v>
      </c>
      <c r="KS38" s="32">
        <v>1</v>
      </c>
      <c r="KT38" s="32">
        <v>1</v>
      </c>
      <c r="KX38" s="32">
        <v>3.03</v>
      </c>
      <c r="KY38" s="32">
        <v>5</v>
      </c>
      <c r="LB38" s="20">
        <v>34</v>
      </c>
      <c r="LC38" s="20" t="s">
        <v>13</v>
      </c>
      <c r="LD38" s="20" t="s">
        <v>22</v>
      </c>
      <c r="LE38" s="34">
        <v>1</v>
      </c>
      <c r="LF38" s="20">
        <v>14</v>
      </c>
      <c r="LG38" s="20">
        <v>5</v>
      </c>
      <c r="LH38" s="20" t="s">
        <v>297</v>
      </c>
      <c r="LI38" s="20" t="s">
        <v>144</v>
      </c>
      <c r="LJ38" s="20">
        <v>25</v>
      </c>
      <c r="LK38" s="20">
        <v>15</v>
      </c>
      <c r="LL38" s="20">
        <v>11</v>
      </c>
      <c r="LM38" s="20">
        <v>9</v>
      </c>
      <c r="LN38" s="20" t="s">
        <v>564</v>
      </c>
      <c r="LO38" s="33">
        <v>2</v>
      </c>
      <c r="LP38" s="20">
        <v>7</v>
      </c>
      <c r="LQ38" s="20">
        <v>3</v>
      </c>
      <c r="LR38" s="20" t="s">
        <v>207</v>
      </c>
      <c r="LS38" s="20" t="s">
        <v>154</v>
      </c>
      <c r="LT38" s="20">
        <v>24</v>
      </c>
      <c r="LU38" s="20">
        <v>12</v>
      </c>
      <c r="LV38" s="20">
        <v>9</v>
      </c>
      <c r="LW38" s="20">
        <v>17</v>
      </c>
      <c r="LX38" s="20" t="s">
        <v>565</v>
      </c>
      <c r="LZ38" s="20">
        <v>0</v>
      </c>
      <c r="MA38" s="20">
        <v>1</v>
      </c>
      <c r="MB38" s="20">
        <v>0</v>
      </c>
      <c r="MC38" s="20">
        <v>0</v>
      </c>
      <c r="MD38" s="20">
        <v>0</v>
      </c>
      <c r="ME38" s="20">
        <v>0</v>
      </c>
      <c r="MF38" s="20">
        <v>0</v>
      </c>
      <c r="MG38" s="20">
        <v>0</v>
      </c>
      <c r="MK38" s="20">
        <v>7.14</v>
      </c>
      <c r="ML38" s="20">
        <v>1</v>
      </c>
      <c r="MO38" s="20">
        <v>34</v>
      </c>
      <c r="MP38" s="20" t="s">
        <v>14</v>
      </c>
      <c r="MQ38" s="20" t="s">
        <v>15</v>
      </c>
      <c r="MR38" s="33">
        <v>1</v>
      </c>
      <c r="MS38" s="20">
        <v>20</v>
      </c>
      <c r="MT38" s="20">
        <v>6</v>
      </c>
      <c r="MU38" s="20" t="s">
        <v>237</v>
      </c>
      <c r="MV38" s="20" t="s">
        <v>230</v>
      </c>
      <c r="MW38" s="20">
        <v>17</v>
      </c>
      <c r="MX38" s="20">
        <v>17</v>
      </c>
      <c r="MY38" s="20">
        <v>7</v>
      </c>
      <c r="MZ38" s="20">
        <v>3</v>
      </c>
      <c r="NA38" s="20" t="s">
        <v>469</v>
      </c>
      <c r="NB38" s="34">
        <v>0</v>
      </c>
      <c r="NC38" s="20">
        <v>3</v>
      </c>
      <c r="ND38" s="20">
        <v>0</v>
      </c>
      <c r="NE38" s="20" t="s">
        <v>116</v>
      </c>
      <c r="NF38" s="20" t="s">
        <v>230</v>
      </c>
      <c r="NG38" s="20">
        <v>9</v>
      </c>
      <c r="NH38" s="20">
        <v>16</v>
      </c>
      <c r="NI38" s="20">
        <v>6</v>
      </c>
      <c r="NJ38" s="20">
        <v>14</v>
      </c>
      <c r="NK38" s="20" t="s">
        <v>470</v>
      </c>
      <c r="NM38" s="20">
        <v>1</v>
      </c>
      <c r="NN38" s="20">
        <v>1</v>
      </c>
      <c r="NO38" s="20">
        <v>0</v>
      </c>
      <c r="NP38" s="20">
        <v>1</v>
      </c>
      <c r="NQ38" s="20">
        <v>1</v>
      </c>
      <c r="NR38" s="20">
        <v>1</v>
      </c>
      <c r="NS38" s="20">
        <v>1</v>
      </c>
      <c r="NT38" s="20">
        <v>1</v>
      </c>
      <c r="NX38" s="20">
        <v>30</v>
      </c>
      <c r="NY38" s="20">
        <v>8</v>
      </c>
      <c r="OB38" s="20">
        <v>34</v>
      </c>
      <c r="OC38" s="20" t="s">
        <v>14</v>
      </c>
      <c r="OD38" s="20" t="s">
        <v>15</v>
      </c>
      <c r="OE38" s="34">
        <v>0</v>
      </c>
      <c r="OF38" s="20">
        <v>3</v>
      </c>
      <c r="OG38" s="20">
        <v>0</v>
      </c>
      <c r="OH38" s="20" t="s">
        <v>116</v>
      </c>
      <c r="OI38" s="20" t="s">
        <v>230</v>
      </c>
      <c r="OJ38" s="20">
        <v>9</v>
      </c>
      <c r="OK38" s="20">
        <v>16</v>
      </c>
      <c r="OL38" s="20">
        <v>6</v>
      </c>
      <c r="OM38" s="20">
        <v>14</v>
      </c>
      <c r="ON38" s="20" t="s">
        <v>470</v>
      </c>
      <c r="OO38" s="33">
        <v>1</v>
      </c>
      <c r="OP38" s="20">
        <v>20</v>
      </c>
      <c r="OQ38" s="20">
        <v>6</v>
      </c>
      <c r="OR38" s="20" t="s">
        <v>237</v>
      </c>
      <c r="OS38" s="20" t="s">
        <v>230</v>
      </c>
      <c r="OT38" s="20">
        <v>17</v>
      </c>
      <c r="OU38" s="20">
        <v>17</v>
      </c>
      <c r="OV38" s="20">
        <v>7</v>
      </c>
      <c r="OW38" s="20">
        <v>3</v>
      </c>
      <c r="OX38" s="20" t="s">
        <v>469</v>
      </c>
      <c r="OZ38" s="20">
        <v>1</v>
      </c>
      <c r="PA38" s="20">
        <v>1</v>
      </c>
      <c r="PB38" s="20">
        <v>0</v>
      </c>
      <c r="PC38" s="20">
        <v>1</v>
      </c>
      <c r="PD38" s="20">
        <v>1</v>
      </c>
      <c r="PE38" s="20">
        <v>1</v>
      </c>
      <c r="PF38" s="20">
        <v>1</v>
      </c>
      <c r="PG38" s="20">
        <v>1</v>
      </c>
      <c r="PK38" s="20">
        <v>30</v>
      </c>
      <c r="PL38" s="20">
        <v>8</v>
      </c>
      <c r="PO38" s="20">
        <v>34</v>
      </c>
      <c r="PP38" s="20" t="s">
        <v>17</v>
      </c>
      <c r="PQ38" s="20" t="s">
        <v>19</v>
      </c>
      <c r="PR38" s="33">
        <v>4</v>
      </c>
      <c r="PS38" s="20">
        <v>9</v>
      </c>
      <c r="PT38" s="20">
        <v>6</v>
      </c>
      <c r="PU38" s="20" t="s">
        <v>192</v>
      </c>
      <c r="PV38" s="20" t="s">
        <v>230</v>
      </c>
      <c r="PW38" s="20">
        <v>16</v>
      </c>
      <c r="PX38" s="20">
        <v>15</v>
      </c>
      <c r="PY38" s="20">
        <v>11</v>
      </c>
      <c r="PZ38" s="20">
        <v>11</v>
      </c>
      <c r="QA38" s="20" t="s">
        <v>286</v>
      </c>
      <c r="QB38" s="34">
        <v>0</v>
      </c>
      <c r="QC38" s="20">
        <v>9</v>
      </c>
      <c r="QD38" s="20">
        <v>2</v>
      </c>
      <c r="QE38" s="20" t="s">
        <v>146</v>
      </c>
      <c r="QF38" s="20" t="s">
        <v>171</v>
      </c>
      <c r="QG38" s="20">
        <v>17</v>
      </c>
      <c r="QH38" s="20">
        <v>11</v>
      </c>
      <c r="QI38" s="20">
        <v>3</v>
      </c>
      <c r="QJ38" s="20">
        <v>12</v>
      </c>
      <c r="QK38" s="20" t="s">
        <v>285</v>
      </c>
      <c r="QM38" s="20">
        <v>1</v>
      </c>
      <c r="QN38" s="20">
        <v>1</v>
      </c>
      <c r="QO38" s="20">
        <v>1</v>
      </c>
      <c r="QP38" s="20">
        <v>0</v>
      </c>
      <c r="QQ38" s="20">
        <v>1</v>
      </c>
      <c r="QR38" s="20">
        <v>1</v>
      </c>
      <c r="QS38" s="20">
        <v>1</v>
      </c>
      <c r="QT38" s="20">
        <v>1</v>
      </c>
      <c r="QX38" s="20">
        <v>44.44</v>
      </c>
      <c r="QY38" s="20">
        <v>1</v>
      </c>
      <c r="RB38" s="20">
        <v>34</v>
      </c>
      <c r="RC38" s="20" t="s">
        <v>18</v>
      </c>
      <c r="RD38" s="20" t="s">
        <v>10</v>
      </c>
      <c r="RE38" s="32">
        <v>1</v>
      </c>
      <c r="RF38" s="20">
        <v>8</v>
      </c>
      <c r="RG38" s="20">
        <v>3</v>
      </c>
      <c r="RH38" s="20" t="s">
        <v>153</v>
      </c>
      <c r="RI38" s="20" t="s">
        <v>219</v>
      </c>
      <c r="RJ38" s="20">
        <v>26</v>
      </c>
      <c r="RK38" s="20">
        <v>19</v>
      </c>
      <c r="RL38" s="20">
        <v>10</v>
      </c>
      <c r="RM38" s="20">
        <v>11</v>
      </c>
      <c r="RN38" s="20" t="s">
        <v>563</v>
      </c>
      <c r="RO38" s="32">
        <v>1</v>
      </c>
      <c r="RP38" s="20">
        <v>3</v>
      </c>
      <c r="RQ38" s="20">
        <v>1</v>
      </c>
      <c r="RR38" s="20" t="s">
        <v>209</v>
      </c>
      <c r="RS38" s="20" t="s">
        <v>144</v>
      </c>
      <c r="RT38" s="20">
        <v>30</v>
      </c>
      <c r="RU38" s="20">
        <v>13</v>
      </c>
      <c r="RV38" s="20">
        <v>9</v>
      </c>
      <c r="RW38" s="20">
        <v>21</v>
      </c>
      <c r="RX38" s="20" t="s">
        <v>562</v>
      </c>
      <c r="RZ38" s="32">
        <v>1</v>
      </c>
      <c r="SA38" s="32">
        <v>1</v>
      </c>
      <c r="SB38" s="32">
        <v>0</v>
      </c>
      <c r="SC38" s="32">
        <v>0</v>
      </c>
      <c r="SD38" s="32">
        <v>1</v>
      </c>
      <c r="SE38" s="32">
        <v>1</v>
      </c>
      <c r="SF38" s="32">
        <v>1</v>
      </c>
      <c r="SG38" s="32">
        <v>0</v>
      </c>
      <c r="SK38" s="32">
        <v>4.17</v>
      </c>
      <c r="SL38" s="32">
        <v>4</v>
      </c>
      <c r="SO38" s="20">
        <v>34</v>
      </c>
      <c r="SP38" s="20" t="s">
        <v>17</v>
      </c>
      <c r="SQ38" s="20" t="s">
        <v>19</v>
      </c>
      <c r="SR38" s="34">
        <v>0</v>
      </c>
      <c r="SS38" s="20">
        <v>9</v>
      </c>
      <c r="ST38" s="20">
        <v>2</v>
      </c>
      <c r="SU38" s="20" t="s">
        <v>146</v>
      </c>
      <c r="SV38" s="20" t="s">
        <v>171</v>
      </c>
      <c r="SW38" s="20">
        <v>17</v>
      </c>
      <c r="SX38" s="20">
        <v>11</v>
      </c>
      <c r="SY38" s="20">
        <v>3</v>
      </c>
      <c r="SZ38" s="20">
        <v>12</v>
      </c>
      <c r="TA38" s="20" t="s">
        <v>285</v>
      </c>
      <c r="TB38" s="33">
        <v>4</v>
      </c>
      <c r="TC38" s="20">
        <v>9</v>
      </c>
      <c r="TD38" s="20">
        <v>6</v>
      </c>
      <c r="TE38" s="20" t="s">
        <v>192</v>
      </c>
      <c r="TF38" s="20" t="s">
        <v>230</v>
      </c>
      <c r="TG38" s="20">
        <v>16</v>
      </c>
      <c r="TH38" s="20">
        <v>15</v>
      </c>
      <c r="TI38" s="20">
        <v>11</v>
      </c>
      <c r="TJ38" s="20">
        <v>11</v>
      </c>
      <c r="TK38" s="20" t="s">
        <v>286</v>
      </c>
      <c r="TM38" s="20">
        <v>1</v>
      </c>
      <c r="TN38" s="20">
        <v>1</v>
      </c>
      <c r="TO38" s="20">
        <v>1</v>
      </c>
      <c r="TP38" s="20">
        <v>0</v>
      </c>
      <c r="TQ38" s="20">
        <v>1</v>
      </c>
      <c r="TR38" s="20">
        <v>1</v>
      </c>
      <c r="TS38" s="20">
        <v>1</v>
      </c>
      <c r="TT38" s="20">
        <v>1</v>
      </c>
      <c r="TX38" s="20">
        <v>44.44</v>
      </c>
      <c r="TY38" s="20">
        <v>1</v>
      </c>
      <c r="UB38" s="20">
        <v>34</v>
      </c>
      <c r="UC38" s="20" t="s">
        <v>16</v>
      </c>
      <c r="UD38" s="20" t="s">
        <v>5</v>
      </c>
      <c r="UE38" s="34">
        <v>0</v>
      </c>
      <c r="UF38" s="20">
        <v>16</v>
      </c>
      <c r="UG38" s="20">
        <v>6</v>
      </c>
      <c r="UH38" s="20" t="s">
        <v>153</v>
      </c>
      <c r="UI38" s="20" t="s">
        <v>134</v>
      </c>
      <c r="UJ38" s="20">
        <v>13</v>
      </c>
      <c r="UK38" s="20">
        <v>7</v>
      </c>
      <c r="UL38" s="20">
        <v>6</v>
      </c>
      <c r="UM38" s="20">
        <v>7</v>
      </c>
      <c r="UN38" s="20" t="s">
        <v>194</v>
      </c>
      <c r="UO38" s="33">
        <v>8</v>
      </c>
      <c r="UP38" s="20">
        <v>19</v>
      </c>
      <c r="UQ38" s="20">
        <v>10</v>
      </c>
      <c r="UR38" s="20" t="s">
        <v>291</v>
      </c>
      <c r="US38" s="20" t="s">
        <v>288</v>
      </c>
      <c r="UT38" s="20">
        <v>13</v>
      </c>
      <c r="UU38" s="20">
        <v>4</v>
      </c>
      <c r="UV38" s="20">
        <v>9</v>
      </c>
      <c r="UW38" s="20">
        <v>7</v>
      </c>
      <c r="UX38" s="20" t="s">
        <v>191</v>
      </c>
      <c r="UZ38" s="20">
        <v>1</v>
      </c>
      <c r="VA38" s="20">
        <v>1</v>
      </c>
      <c r="VB38" s="20">
        <v>1</v>
      </c>
      <c r="VC38" s="20">
        <v>1</v>
      </c>
      <c r="VD38" s="20">
        <v>0</v>
      </c>
      <c r="VE38" s="20">
        <v>1</v>
      </c>
      <c r="VF38" s="20">
        <v>1</v>
      </c>
      <c r="VG38" s="20">
        <v>1</v>
      </c>
      <c r="VK38" s="20">
        <v>15.13</v>
      </c>
      <c r="VL38" s="20">
        <v>0</v>
      </c>
      <c r="VO38" s="20">
        <v>34</v>
      </c>
      <c r="VP38" s="20" t="s">
        <v>20</v>
      </c>
      <c r="VQ38" s="20" t="s">
        <v>23</v>
      </c>
      <c r="VR38" s="33">
        <v>5</v>
      </c>
      <c r="VS38" s="20">
        <v>13</v>
      </c>
      <c r="VT38" s="20">
        <v>6</v>
      </c>
      <c r="VU38" s="20" t="s">
        <v>350</v>
      </c>
      <c r="VV38" s="20" t="s">
        <v>171</v>
      </c>
      <c r="VW38" s="20">
        <v>17</v>
      </c>
      <c r="VX38" s="20">
        <v>11</v>
      </c>
      <c r="VY38" s="20">
        <v>12</v>
      </c>
      <c r="VZ38" s="20">
        <v>7</v>
      </c>
      <c r="WA38" s="20" t="s">
        <v>285</v>
      </c>
      <c r="WB38" s="34">
        <v>1</v>
      </c>
      <c r="WC38" s="20">
        <v>15</v>
      </c>
      <c r="WD38" s="20">
        <v>5</v>
      </c>
      <c r="WE38" s="20" t="s">
        <v>209</v>
      </c>
      <c r="WF38" s="20" t="s">
        <v>171</v>
      </c>
      <c r="WG38" s="20">
        <v>10</v>
      </c>
      <c r="WH38" s="20">
        <v>13</v>
      </c>
      <c r="WI38" s="20">
        <v>5</v>
      </c>
      <c r="WJ38" s="20">
        <v>13</v>
      </c>
      <c r="WK38" s="20" t="s">
        <v>286</v>
      </c>
      <c r="WM38" s="20">
        <v>1</v>
      </c>
      <c r="WN38" s="20">
        <v>1</v>
      </c>
      <c r="WO38" s="20">
        <v>0</v>
      </c>
      <c r="WP38" s="20">
        <v>1</v>
      </c>
      <c r="WQ38" s="20">
        <v>0</v>
      </c>
      <c r="WR38" s="20">
        <v>1</v>
      </c>
      <c r="WS38" s="20">
        <v>1</v>
      </c>
      <c r="WT38" s="20">
        <v>0</v>
      </c>
      <c r="WX38" s="20">
        <v>12.82</v>
      </c>
      <c r="WY38" s="20">
        <v>7</v>
      </c>
      <c r="XB38" s="20">
        <v>34</v>
      </c>
      <c r="XC38" s="20" t="s">
        <v>34</v>
      </c>
      <c r="XD38" s="20" t="s">
        <v>11</v>
      </c>
      <c r="XE38" s="33">
        <v>2</v>
      </c>
      <c r="XF38" s="20">
        <v>14</v>
      </c>
      <c r="XG38" s="20">
        <v>2</v>
      </c>
      <c r="XH38" s="20" t="s">
        <v>164</v>
      </c>
      <c r="XI38" s="20" t="s">
        <v>154</v>
      </c>
      <c r="XJ38" s="20">
        <v>18</v>
      </c>
      <c r="XK38" s="20">
        <v>12</v>
      </c>
      <c r="XL38" s="20">
        <v>6</v>
      </c>
      <c r="XM38" s="20">
        <v>7</v>
      </c>
      <c r="XN38" s="20" t="s">
        <v>281</v>
      </c>
      <c r="XO38" s="34">
        <v>1</v>
      </c>
      <c r="XP38" s="20">
        <v>18</v>
      </c>
      <c r="XQ38" s="20">
        <v>8</v>
      </c>
      <c r="XR38" s="20" t="s">
        <v>197</v>
      </c>
      <c r="XS38" s="20" t="s">
        <v>134</v>
      </c>
      <c r="XT38" s="20">
        <v>16</v>
      </c>
      <c r="XU38" s="20">
        <v>16</v>
      </c>
      <c r="XV38" s="20">
        <v>8</v>
      </c>
      <c r="XW38" s="20">
        <v>12</v>
      </c>
      <c r="XX38" s="20" t="s">
        <v>279</v>
      </c>
      <c r="XZ38" s="20">
        <v>0</v>
      </c>
      <c r="YA38" s="20">
        <v>0</v>
      </c>
      <c r="YB38" s="20">
        <v>0</v>
      </c>
      <c r="YC38" s="20">
        <v>1</v>
      </c>
      <c r="YD38" s="20">
        <v>0</v>
      </c>
      <c r="YE38" s="20">
        <v>0</v>
      </c>
      <c r="YF38" s="20">
        <v>1</v>
      </c>
      <c r="YG38" s="20">
        <v>0</v>
      </c>
      <c r="YK38" s="20">
        <v>30.16</v>
      </c>
      <c r="YL38" s="20">
        <v>2</v>
      </c>
      <c r="YO38" s="20">
        <v>34</v>
      </c>
      <c r="YP38" s="20" t="s">
        <v>12</v>
      </c>
      <c r="YQ38" s="20" t="s">
        <v>21</v>
      </c>
      <c r="YR38" s="32">
        <v>1</v>
      </c>
      <c r="YS38" s="20">
        <v>11</v>
      </c>
      <c r="YT38" s="20">
        <v>4</v>
      </c>
      <c r="YU38" s="20" t="s">
        <v>249</v>
      </c>
      <c r="YV38" s="20" t="s">
        <v>154</v>
      </c>
      <c r="YW38" s="20">
        <v>17</v>
      </c>
      <c r="YX38" s="20">
        <v>23</v>
      </c>
      <c r="YY38" s="20">
        <v>7</v>
      </c>
      <c r="YZ38" s="20">
        <v>11</v>
      </c>
      <c r="ZA38" s="20" t="s">
        <v>398</v>
      </c>
      <c r="ZB38" s="32">
        <v>1</v>
      </c>
      <c r="ZC38" s="20">
        <v>12</v>
      </c>
      <c r="ZD38" s="20">
        <v>4</v>
      </c>
      <c r="ZE38" s="20" t="s">
        <v>209</v>
      </c>
      <c r="ZF38" s="20" t="s">
        <v>123</v>
      </c>
      <c r="ZG38" s="20">
        <v>22</v>
      </c>
      <c r="ZH38" s="20">
        <v>34</v>
      </c>
      <c r="ZI38" s="20">
        <v>11</v>
      </c>
      <c r="ZJ38" s="20">
        <v>10</v>
      </c>
      <c r="ZK38" s="20" t="s">
        <v>397</v>
      </c>
      <c r="ZM38" s="32">
        <v>0</v>
      </c>
      <c r="ZN38" s="32">
        <v>0</v>
      </c>
      <c r="ZO38" s="32">
        <v>0</v>
      </c>
      <c r="ZP38" s="32">
        <v>1</v>
      </c>
      <c r="ZQ38" s="32">
        <v>1</v>
      </c>
      <c r="ZR38" s="32">
        <v>1</v>
      </c>
      <c r="ZS38" s="32">
        <v>1</v>
      </c>
      <c r="ZT38" s="32">
        <v>1</v>
      </c>
      <c r="ZX38" s="32">
        <v>3.03</v>
      </c>
      <c r="ZY38" s="32">
        <v>5</v>
      </c>
      <c r="AAB38" s="20">
        <v>34</v>
      </c>
      <c r="AAC38" s="20" t="s">
        <v>13</v>
      </c>
      <c r="AAD38" s="20" t="s">
        <v>22</v>
      </c>
      <c r="AAE38" s="33">
        <v>2</v>
      </c>
      <c r="AAF38" s="20">
        <v>7</v>
      </c>
      <c r="AAG38" s="20">
        <v>3</v>
      </c>
      <c r="AAH38" s="20" t="s">
        <v>207</v>
      </c>
      <c r="AAI38" s="20" t="s">
        <v>154</v>
      </c>
      <c r="AAJ38" s="20">
        <v>24</v>
      </c>
      <c r="AAK38" s="20">
        <v>12</v>
      </c>
      <c r="AAL38" s="20">
        <v>9</v>
      </c>
      <c r="AAM38" s="20">
        <v>17</v>
      </c>
      <c r="AAN38" s="20" t="s">
        <v>565</v>
      </c>
      <c r="AAO38" s="34">
        <v>1</v>
      </c>
      <c r="AAP38" s="20">
        <v>14</v>
      </c>
      <c r="AAQ38" s="20">
        <v>5</v>
      </c>
      <c r="AAR38" s="20" t="s">
        <v>297</v>
      </c>
      <c r="AAS38" s="20" t="s">
        <v>144</v>
      </c>
      <c r="AAT38" s="20">
        <v>25</v>
      </c>
      <c r="AAU38" s="20">
        <v>15</v>
      </c>
      <c r="AAV38" s="20">
        <v>11</v>
      </c>
      <c r="AAW38" s="20">
        <v>9</v>
      </c>
      <c r="AAX38" s="20" t="s">
        <v>564</v>
      </c>
      <c r="AAZ38" s="20">
        <v>0</v>
      </c>
      <c r="ABA38" s="20">
        <v>1</v>
      </c>
      <c r="ABB38" s="20">
        <v>0</v>
      </c>
      <c r="ABC38" s="20">
        <v>0</v>
      </c>
      <c r="ABD38" s="20">
        <v>0</v>
      </c>
      <c r="ABE38" s="20">
        <v>0</v>
      </c>
      <c r="ABF38" s="20">
        <v>0</v>
      </c>
      <c r="ABG38" s="20">
        <v>0</v>
      </c>
      <c r="ABK38" s="20">
        <v>7.14</v>
      </c>
      <c r="ABL38" s="20">
        <v>1</v>
      </c>
      <c r="ABO38" s="20">
        <v>34</v>
      </c>
      <c r="ABP38" s="20" t="s">
        <v>20</v>
      </c>
      <c r="ABQ38" s="20" t="s">
        <v>23</v>
      </c>
      <c r="ABR38" s="34">
        <v>1</v>
      </c>
      <c r="ABS38" s="20">
        <v>15</v>
      </c>
      <c r="ABT38" s="20">
        <v>5</v>
      </c>
      <c r="ABU38" s="20" t="s">
        <v>209</v>
      </c>
      <c r="ABV38" s="20" t="s">
        <v>171</v>
      </c>
      <c r="ABW38" s="20">
        <v>10</v>
      </c>
      <c r="ABX38" s="20">
        <v>13</v>
      </c>
      <c r="ABY38" s="20">
        <v>5</v>
      </c>
      <c r="ABZ38" s="20">
        <v>13</v>
      </c>
      <c r="ACA38" s="20" t="s">
        <v>286</v>
      </c>
      <c r="ACB38" s="33">
        <v>5</v>
      </c>
      <c r="ACC38" s="20">
        <v>13</v>
      </c>
      <c r="ACD38" s="20">
        <v>6</v>
      </c>
      <c r="ACE38" s="20" t="s">
        <v>350</v>
      </c>
      <c r="ACF38" s="20" t="s">
        <v>171</v>
      </c>
      <c r="ACG38" s="20">
        <v>17</v>
      </c>
      <c r="ACH38" s="20">
        <v>11</v>
      </c>
      <c r="ACI38" s="20">
        <v>12</v>
      </c>
      <c r="ACJ38" s="20">
        <v>7</v>
      </c>
      <c r="ACK38" s="20" t="s">
        <v>285</v>
      </c>
      <c r="ACM38" s="20">
        <v>1</v>
      </c>
      <c r="ACN38" s="20">
        <v>1</v>
      </c>
      <c r="ACO38" s="20">
        <v>0</v>
      </c>
      <c r="ACP38" s="20">
        <v>1</v>
      </c>
      <c r="ACQ38" s="20">
        <v>0</v>
      </c>
      <c r="ACR38" s="20">
        <v>1</v>
      </c>
      <c r="ACS38" s="20">
        <v>1</v>
      </c>
      <c r="ACT38" s="20">
        <v>0</v>
      </c>
      <c r="ACX38" s="20">
        <v>12.82</v>
      </c>
      <c r="ACY38" s="20">
        <v>7</v>
      </c>
    </row>
    <row r="39" spans="1:781" x14ac:dyDescent="0.3">
      <c r="A39" s="27">
        <f>E39/G39</f>
        <v>0.6</v>
      </c>
      <c r="B39" s="20">
        <v>35</v>
      </c>
      <c r="C39" s="20" t="s">
        <v>5</v>
      </c>
      <c r="D39" s="20" t="s">
        <v>34</v>
      </c>
      <c r="E39" s="33">
        <v>6</v>
      </c>
      <c r="F39" s="20">
        <v>24</v>
      </c>
      <c r="G39" s="30">
        <v>10</v>
      </c>
      <c r="H39" s="27">
        <v>0.41670000000000001</v>
      </c>
      <c r="I39" s="28">
        <v>0.89</v>
      </c>
      <c r="J39" s="20">
        <v>11</v>
      </c>
      <c r="K39" s="20">
        <v>15</v>
      </c>
      <c r="L39" s="20">
        <v>12</v>
      </c>
      <c r="M39" s="30">
        <v>11</v>
      </c>
      <c r="N39" s="27">
        <v>0.72399999999999998</v>
      </c>
      <c r="O39" s="34">
        <v>0</v>
      </c>
      <c r="P39" s="20">
        <v>5</v>
      </c>
      <c r="Q39" s="30">
        <v>3</v>
      </c>
      <c r="R39" s="27">
        <v>0.6</v>
      </c>
      <c r="S39" s="28">
        <v>0.68</v>
      </c>
      <c r="T39" s="20">
        <v>18</v>
      </c>
      <c r="U39" s="20">
        <v>6</v>
      </c>
      <c r="V39" s="20">
        <v>5</v>
      </c>
      <c r="W39" s="30">
        <v>8</v>
      </c>
      <c r="X39" s="27">
        <v>0.27600000000000002</v>
      </c>
      <c r="Z39" s="20">
        <v>1</v>
      </c>
      <c r="AA39" s="20">
        <v>0</v>
      </c>
      <c r="AB39" s="20">
        <v>1</v>
      </c>
      <c r="AC39" s="20">
        <v>0</v>
      </c>
      <c r="AD39" s="20">
        <v>1</v>
      </c>
      <c r="AE39" s="20">
        <v>1</v>
      </c>
      <c r="AF39" s="20">
        <v>0</v>
      </c>
      <c r="AG39" s="20">
        <v>1</v>
      </c>
      <c r="AK39" s="20">
        <v>18.329999999999998</v>
      </c>
      <c r="AL39" s="20">
        <v>7</v>
      </c>
      <c r="AM39" s="20"/>
      <c r="AN39" s="20"/>
      <c r="AO39" s="20">
        <v>35</v>
      </c>
      <c r="AP39" s="20" t="s">
        <v>21</v>
      </c>
      <c r="AQ39" s="20" t="s">
        <v>6</v>
      </c>
      <c r="AR39" s="33">
        <v>3</v>
      </c>
      <c r="AS39" s="30">
        <v>16</v>
      </c>
      <c r="AT39" s="30">
        <v>6</v>
      </c>
      <c r="AU39" s="27">
        <v>0.375</v>
      </c>
      <c r="AV39" s="28">
        <v>0.81</v>
      </c>
      <c r="AW39" s="20">
        <v>19</v>
      </c>
      <c r="AX39" s="20">
        <v>16</v>
      </c>
      <c r="AY39" s="30">
        <v>15</v>
      </c>
      <c r="AZ39" s="20">
        <v>13</v>
      </c>
      <c r="BA39" s="27">
        <v>0.60699999999999998</v>
      </c>
      <c r="BB39" s="34">
        <v>2</v>
      </c>
      <c r="BC39" s="20">
        <v>11</v>
      </c>
      <c r="BD39" s="20">
        <v>6</v>
      </c>
      <c r="BE39" s="20" t="s">
        <v>389</v>
      </c>
      <c r="BF39" s="20" t="s">
        <v>203</v>
      </c>
      <c r="BG39" s="20">
        <v>28</v>
      </c>
      <c r="BH39" s="20">
        <v>10</v>
      </c>
      <c r="BI39" s="20">
        <v>8</v>
      </c>
      <c r="BJ39" s="20">
        <v>11</v>
      </c>
      <c r="BK39" s="20" t="s">
        <v>460</v>
      </c>
      <c r="BM39" s="20">
        <v>1</v>
      </c>
      <c r="BN39" s="20">
        <v>0</v>
      </c>
      <c r="BO39" s="20">
        <v>1</v>
      </c>
      <c r="BP39" s="20">
        <v>0</v>
      </c>
      <c r="BQ39" s="20">
        <v>1</v>
      </c>
      <c r="BR39" s="20">
        <v>1</v>
      </c>
      <c r="BS39" s="20">
        <v>0</v>
      </c>
      <c r="BT39" s="20">
        <v>1</v>
      </c>
      <c r="BX39" s="20">
        <v>17.05</v>
      </c>
      <c r="BY39" s="20">
        <v>9</v>
      </c>
      <c r="BZ39" s="20"/>
      <c r="CA39" s="20"/>
      <c r="CB39" s="20">
        <v>35</v>
      </c>
      <c r="CC39" s="20" t="s">
        <v>7</v>
      </c>
      <c r="CD39" s="20" t="s">
        <v>12</v>
      </c>
      <c r="CE39" s="33">
        <v>1</v>
      </c>
      <c r="CF39" s="20">
        <v>14</v>
      </c>
      <c r="CG39" s="20">
        <v>4</v>
      </c>
      <c r="CH39" s="20" t="s">
        <v>170</v>
      </c>
      <c r="CI39" s="20" t="s">
        <v>219</v>
      </c>
      <c r="CJ39" s="20">
        <v>27</v>
      </c>
      <c r="CK39" s="20">
        <v>16</v>
      </c>
      <c r="CL39" s="20">
        <v>12</v>
      </c>
      <c r="CM39" s="20">
        <v>15</v>
      </c>
      <c r="CN39" s="20" t="s">
        <v>566</v>
      </c>
      <c r="CO39" s="34">
        <v>0</v>
      </c>
      <c r="CP39" s="20">
        <v>7</v>
      </c>
      <c r="CQ39" s="20">
        <v>4</v>
      </c>
      <c r="CR39" s="20" t="s">
        <v>226</v>
      </c>
      <c r="CS39" s="20" t="s">
        <v>203</v>
      </c>
      <c r="CT39" s="20">
        <v>24</v>
      </c>
      <c r="CU39" s="20">
        <v>15</v>
      </c>
      <c r="CV39" s="20">
        <v>7</v>
      </c>
      <c r="CW39" s="20">
        <v>13</v>
      </c>
      <c r="CX39" s="20" t="s">
        <v>567</v>
      </c>
      <c r="CZ39" s="20">
        <v>0</v>
      </c>
      <c r="DA39" s="20">
        <v>0</v>
      </c>
      <c r="DB39" s="20">
        <v>0</v>
      </c>
      <c r="DC39" s="20">
        <v>1</v>
      </c>
      <c r="DD39" s="20">
        <v>1</v>
      </c>
      <c r="DE39" s="20">
        <v>1</v>
      </c>
      <c r="DF39" s="20">
        <v>0</v>
      </c>
      <c r="DG39" s="20">
        <v>0</v>
      </c>
      <c r="DK39" s="20">
        <v>28.57</v>
      </c>
      <c r="DL39" s="20">
        <v>3</v>
      </c>
      <c r="DO39" s="20">
        <v>35</v>
      </c>
      <c r="DP39" s="20" t="s">
        <v>8</v>
      </c>
      <c r="DQ39" s="20" t="s">
        <v>13</v>
      </c>
      <c r="DR39" s="32">
        <v>0</v>
      </c>
      <c r="DS39" s="20">
        <v>8</v>
      </c>
      <c r="DT39" s="20">
        <v>3</v>
      </c>
      <c r="DU39" s="20" t="s">
        <v>153</v>
      </c>
      <c r="DV39" s="20" t="s">
        <v>203</v>
      </c>
      <c r="DW39" s="20">
        <v>20</v>
      </c>
      <c r="DX39" s="20">
        <v>14</v>
      </c>
      <c r="DY39" s="20">
        <v>4</v>
      </c>
      <c r="DZ39" s="20">
        <v>10</v>
      </c>
      <c r="EA39" s="20" t="s">
        <v>565</v>
      </c>
      <c r="EB39" s="32">
        <v>0</v>
      </c>
      <c r="EC39" s="20">
        <v>7</v>
      </c>
      <c r="ED39" s="20">
        <v>2</v>
      </c>
      <c r="EE39" s="20" t="s">
        <v>170</v>
      </c>
      <c r="EF39" s="20" t="s">
        <v>168</v>
      </c>
      <c r="EG39" s="20">
        <v>23</v>
      </c>
      <c r="EH39" s="20">
        <v>24</v>
      </c>
      <c r="EI39" s="20">
        <v>5</v>
      </c>
      <c r="EJ39" s="20">
        <v>13</v>
      </c>
      <c r="EK39" s="20" t="s">
        <v>564</v>
      </c>
      <c r="EM39" s="32">
        <v>1</v>
      </c>
      <c r="EN39" s="32">
        <v>1</v>
      </c>
      <c r="EO39" s="32">
        <v>0</v>
      </c>
      <c r="EP39" s="32">
        <v>0</v>
      </c>
      <c r="EQ39" s="32">
        <v>0</v>
      </c>
      <c r="ER39" s="32">
        <v>0</v>
      </c>
      <c r="ES39" s="32">
        <v>1</v>
      </c>
      <c r="ET39" s="32">
        <v>0</v>
      </c>
      <c r="EX39" s="32">
        <v>8.93</v>
      </c>
      <c r="EY39" s="32">
        <v>3</v>
      </c>
      <c r="FB39" s="20">
        <v>35</v>
      </c>
      <c r="FC39" s="20" t="s">
        <v>23</v>
      </c>
      <c r="FD39" s="20" t="s">
        <v>9</v>
      </c>
      <c r="FE39" s="32">
        <v>2</v>
      </c>
      <c r="FF39" s="20">
        <v>19</v>
      </c>
      <c r="FG39" s="20">
        <v>8</v>
      </c>
      <c r="FH39" s="20" t="s">
        <v>568</v>
      </c>
      <c r="FI39" s="20" t="s">
        <v>171</v>
      </c>
      <c r="FJ39" s="20">
        <v>9</v>
      </c>
      <c r="FK39" s="20">
        <v>16</v>
      </c>
      <c r="FL39" s="20">
        <v>7</v>
      </c>
      <c r="FM39" s="20">
        <v>10</v>
      </c>
      <c r="FN39" s="20" t="s">
        <v>451</v>
      </c>
      <c r="FO39" s="32">
        <v>2</v>
      </c>
      <c r="FP39" s="20">
        <v>10</v>
      </c>
      <c r="FQ39" s="20">
        <v>5</v>
      </c>
      <c r="FR39" s="20" t="s">
        <v>125</v>
      </c>
      <c r="FS39" s="20" t="s">
        <v>156</v>
      </c>
      <c r="FT39" s="20">
        <v>18</v>
      </c>
      <c r="FU39" s="20">
        <v>14</v>
      </c>
      <c r="FV39" s="20">
        <v>12</v>
      </c>
      <c r="FW39" s="20">
        <v>8</v>
      </c>
      <c r="FX39" s="20" t="s">
        <v>450</v>
      </c>
      <c r="FZ39" s="32">
        <v>1</v>
      </c>
      <c r="GA39" s="32">
        <v>0</v>
      </c>
      <c r="GB39" s="32">
        <v>1</v>
      </c>
      <c r="GC39" s="32">
        <v>0</v>
      </c>
      <c r="GD39" s="32">
        <v>1</v>
      </c>
      <c r="GE39" s="32">
        <v>0</v>
      </c>
      <c r="GF39" s="32">
        <v>0</v>
      </c>
      <c r="GG39" s="32">
        <v>1</v>
      </c>
      <c r="GK39" s="32">
        <v>7.89</v>
      </c>
      <c r="GL39" s="32">
        <v>9</v>
      </c>
      <c r="GO39" s="20">
        <v>35</v>
      </c>
      <c r="GP39" s="20" t="s">
        <v>10</v>
      </c>
      <c r="GQ39" s="20" t="s">
        <v>20</v>
      </c>
      <c r="GR39" s="33">
        <v>2</v>
      </c>
      <c r="GS39" s="20">
        <v>15</v>
      </c>
      <c r="GT39" s="20">
        <v>4</v>
      </c>
      <c r="GU39" s="20" t="s">
        <v>256</v>
      </c>
      <c r="GV39" s="20" t="s">
        <v>144</v>
      </c>
      <c r="GW39" s="20">
        <v>19</v>
      </c>
      <c r="GX39" s="20">
        <v>20</v>
      </c>
      <c r="GY39" s="20">
        <v>4</v>
      </c>
      <c r="GZ39" s="20">
        <v>6</v>
      </c>
      <c r="HA39" s="20" t="s">
        <v>313</v>
      </c>
      <c r="HB39" s="34">
        <v>1</v>
      </c>
      <c r="HC39" s="20">
        <v>12</v>
      </c>
      <c r="HD39" s="20">
        <v>3</v>
      </c>
      <c r="HE39" s="20" t="s">
        <v>131</v>
      </c>
      <c r="HF39" s="20" t="s">
        <v>219</v>
      </c>
      <c r="HG39" s="20">
        <v>13</v>
      </c>
      <c r="HH39" s="20">
        <v>17</v>
      </c>
      <c r="HI39" s="20">
        <v>3</v>
      </c>
      <c r="HJ39" s="20">
        <v>12</v>
      </c>
      <c r="HK39" s="20" t="s">
        <v>312</v>
      </c>
      <c r="HM39" s="20">
        <v>1</v>
      </c>
      <c r="HN39" s="20">
        <v>1</v>
      </c>
      <c r="HO39" s="20">
        <v>1</v>
      </c>
      <c r="HP39" s="20">
        <v>1</v>
      </c>
      <c r="HQ39" s="20">
        <v>1</v>
      </c>
      <c r="HR39" s="20">
        <v>1</v>
      </c>
      <c r="HS39" s="20">
        <v>1</v>
      </c>
      <c r="HT39" s="20">
        <v>1</v>
      </c>
      <c r="HX39" s="20">
        <v>1.67</v>
      </c>
      <c r="HY39" s="20">
        <v>6</v>
      </c>
      <c r="IB39" s="20">
        <v>35</v>
      </c>
      <c r="IC39" s="20" t="s">
        <v>11</v>
      </c>
      <c r="ID39" s="20" t="s">
        <v>14</v>
      </c>
      <c r="IE39" s="33">
        <v>2</v>
      </c>
      <c r="IF39" s="20">
        <v>13</v>
      </c>
      <c r="IG39" s="20">
        <v>3</v>
      </c>
      <c r="IH39" s="20" t="s">
        <v>158</v>
      </c>
      <c r="II39" s="20" t="s">
        <v>142</v>
      </c>
      <c r="IJ39" s="20">
        <v>20</v>
      </c>
      <c r="IK39" s="20">
        <v>21</v>
      </c>
      <c r="IL39" s="20">
        <v>9</v>
      </c>
      <c r="IM39" s="20">
        <v>16</v>
      </c>
      <c r="IN39" s="20" t="s">
        <v>535</v>
      </c>
      <c r="IO39" s="34">
        <v>0</v>
      </c>
      <c r="IP39" s="20">
        <v>8</v>
      </c>
      <c r="IQ39" s="20">
        <v>2</v>
      </c>
      <c r="IR39" s="20" t="s">
        <v>131</v>
      </c>
      <c r="IS39" s="20" t="s">
        <v>139</v>
      </c>
      <c r="IT39" s="20">
        <v>24</v>
      </c>
      <c r="IU39" s="20">
        <v>19</v>
      </c>
      <c r="IV39" s="20">
        <v>8</v>
      </c>
      <c r="IW39" s="20">
        <v>10</v>
      </c>
      <c r="IX39" s="20" t="s">
        <v>536</v>
      </c>
      <c r="IZ39" s="20">
        <v>1</v>
      </c>
      <c r="JA39" s="20">
        <v>0</v>
      </c>
      <c r="JB39" s="20">
        <v>1</v>
      </c>
      <c r="JC39" s="20">
        <v>0</v>
      </c>
      <c r="JD39" s="20">
        <v>1</v>
      </c>
      <c r="JE39" s="20">
        <v>1</v>
      </c>
      <c r="JF39" s="20">
        <v>0</v>
      </c>
      <c r="JG39" s="20">
        <v>1</v>
      </c>
      <c r="JK39" s="20">
        <v>1.92</v>
      </c>
      <c r="JL39" s="20">
        <v>4</v>
      </c>
      <c r="JO39" s="20">
        <v>35</v>
      </c>
      <c r="JP39" s="20" t="s">
        <v>7</v>
      </c>
      <c r="JQ39" s="20" t="s">
        <v>12</v>
      </c>
      <c r="JR39" s="34">
        <v>0</v>
      </c>
      <c r="JS39" s="20">
        <v>7</v>
      </c>
      <c r="JT39" s="20">
        <v>4</v>
      </c>
      <c r="JU39" s="20" t="s">
        <v>226</v>
      </c>
      <c r="JV39" s="20" t="s">
        <v>203</v>
      </c>
      <c r="JW39" s="20">
        <v>24</v>
      </c>
      <c r="JX39" s="20">
        <v>15</v>
      </c>
      <c r="JY39" s="20">
        <v>7</v>
      </c>
      <c r="JZ39" s="20">
        <v>13</v>
      </c>
      <c r="KA39" s="20" t="s">
        <v>567</v>
      </c>
      <c r="KB39" s="33">
        <v>1</v>
      </c>
      <c r="KC39" s="20">
        <v>14</v>
      </c>
      <c r="KD39" s="20">
        <v>4</v>
      </c>
      <c r="KE39" s="20" t="s">
        <v>170</v>
      </c>
      <c r="KF39" s="20" t="s">
        <v>219</v>
      </c>
      <c r="KG39" s="20">
        <v>27</v>
      </c>
      <c r="KH39" s="20">
        <v>16</v>
      </c>
      <c r="KI39" s="20">
        <v>12</v>
      </c>
      <c r="KJ39" s="20">
        <v>15</v>
      </c>
      <c r="KK39" s="20" t="s">
        <v>566</v>
      </c>
      <c r="KM39" s="20">
        <v>0</v>
      </c>
      <c r="KN39" s="20">
        <v>0</v>
      </c>
      <c r="KO39" s="20">
        <v>0</v>
      </c>
      <c r="KP39" s="20">
        <v>1</v>
      </c>
      <c r="KQ39" s="20">
        <v>1</v>
      </c>
      <c r="KR39" s="20">
        <v>1</v>
      </c>
      <c r="KS39" s="20">
        <v>0</v>
      </c>
      <c r="KT39" s="20">
        <v>0</v>
      </c>
      <c r="KX39" s="20">
        <v>28.57</v>
      </c>
      <c r="KY39" s="20">
        <v>3</v>
      </c>
      <c r="LB39" s="20">
        <v>35</v>
      </c>
      <c r="LC39" s="20" t="s">
        <v>8</v>
      </c>
      <c r="LD39" s="20" t="s">
        <v>13</v>
      </c>
      <c r="LE39" s="32">
        <v>0</v>
      </c>
      <c r="LF39" s="20">
        <v>7</v>
      </c>
      <c r="LG39" s="20">
        <v>2</v>
      </c>
      <c r="LH39" s="20" t="s">
        <v>170</v>
      </c>
      <c r="LI39" s="20" t="s">
        <v>168</v>
      </c>
      <c r="LJ39" s="20">
        <v>23</v>
      </c>
      <c r="LK39" s="20">
        <v>24</v>
      </c>
      <c r="LL39" s="20">
        <v>5</v>
      </c>
      <c r="LM39" s="20">
        <v>13</v>
      </c>
      <c r="LN39" s="20" t="s">
        <v>564</v>
      </c>
      <c r="LO39" s="32">
        <v>0</v>
      </c>
      <c r="LP39" s="20">
        <v>8</v>
      </c>
      <c r="LQ39" s="20">
        <v>3</v>
      </c>
      <c r="LR39" s="20" t="s">
        <v>153</v>
      </c>
      <c r="LS39" s="20" t="s">
        <v>203</v>
      </c>
      <c r="LT39" s="20">
        <v>20</v>
      </c>
      <c r="LU39" s="20">
        <v>14</v>
      </c>
      <c r="LV39" s="20">
        <v>4</v>
      </c>
      <c r="LW39" s="20">
        <v>10</v>
      </c>
      <c r="LX39" s="20" t="s">
        <v>565</v>
      </c>
      <c r="LZ39" s="32">
        <v>1</v>
      </c>
      <c r="MA39" s="32">
        <v>1</v>
      </c>
      <c r="MB39" s="32">
        <v>0</v>
      </c>
      <c r="MC39" s="32">
        <v>0</v>
      </c>
      <c r="MD39" s="32">
        <v>0</v>
      </c>
      <c r="ME39" s="32">
        <v>0</v>
      </c>
      <c r="MF39" s="32">
        <v>1</v>
      </c>
      <c r="MG39" s="32">
        <v>0</v>
      </c>
      <c r="MK39" s="32">
        <v>8.93</v>
      </c>
      <c r="ML39" s="32">
        <v>3</v>
      </c>
      <c r="MO39" s="20">
        <v>35</v>
      </c>
      <c r="MP39" s="20" t="s">
        <v>11</v>
      </c>
      <c r="MQ39" s="20" t="s">
        <v>14</v>
      </c>
      <c r="MR39" s="34">
        <v>0</v>
      </c>
      <c r="MS39" s="20">
        <v>8</v>
      </c>
      <c r="MT39" s="20">
        <v>2</v>
      </c>
      <c r="MU39" s="20" t="s">
        <v>131</v>
      </c>
      <c r="MV39" s="20" t="s">
        <v>139</v>
      </c>
      <c r="MW39" s="20">
        <v>24</v>
      </c>
      <c r="MX39" s="20">
        <v>19</v>
      </c>
      <c r="MY39" s="20">
        <v>8</v>
      </c>
      <c r="MZ39" s="20">
        <v>10</v>
      </c>
      <c r="NA39" s="20" t="s">
        <v>536</v>
      </c>
      <c r="NB39" s="33">
        <v>2</v>
      </c>
      <c r="NC39" s="20">
        <v>13</v>
      </c>
      <c r="ND39" s="20">
        <v>3</v>
      </c>
      <c r="NE39" s="20" t="s">
        <v>158</v>
      </c>
      <c r="NF39" s="20" t="s">
        <v>142</v>
      </c>
      <c r="NG39" s="20">
        <v>20</v>
      </c>
      <c r="NH39" s="20">
        <v>21</v>
      </c>
      <c r="NI39" s="20">
        <v>9</v>
      </c>
      <c r="NJ39" s="20">
        <v>16</v>
      </c>
      <c r="NK39" s="20" t="s">
        <v>535</v>
      </c>
      <c r="NM39" s="20">
        <v>1</v>
      </c>
      <c r="NN39" s="20">
        <v>0</v>
      </c>
      <c r="NO39" s="20">
        <v>1</v>
      </c>
      <c r="NP39" s="20">
        <v>0</v>
      </c>
      <c r="NQ39" s="20">
        <v>1</v>
      </c>
      <c r="NR39" s="20">
        <v>1</v>
      </c>
      <c r="NS39" s="20">
        <v>0</v>
      </c>
      <c r="NT39" s="20">
        <v>1</v>
      </c>
      <c r="NX39" s="20">
        <v>1.92</v>
      </c>
      <c r="NY39" s="20">
        <v>4</v>
      </c>
      <c r="OB39" s="20">
        <v>35</v>
      </c>
      <c r="OC39" s="20" t="s">
        <v>15</v>
      </c>
      <c r="OD39" s="20" t="s">
        <v>18</v>
      </c>
      <c r="OE39" s="33">
        <v>4</v>
      </c>
      <c r="OF39" s="20">
        <v>14</v>
      </c>
      <c r="OG39" s="20">
        <v>9</v>
      </c>
      <c r="OH39" s="20" t="s">
        <v>342</v>
      </c>
      <c r="OI39" s="20" t="s">
        <v>136</v>
      </c>
      <c r="OJ39" s="20">
        <v>18</v>
      </c>
      <c r="OK39" s="20">
        <v>12</v>
      </c>
      <c r="OL39" s="20">
        <v>18</v>
      </c>
      <c r="OM39" s="20">
        <v>12</v>
      </c>
      <c r="ON39" s="20" t="s">
        <v>375</v>
      </c>
      <c r="OO39" s="34">
        <v>0</v>
      </c>
      <c r="OP39" s="20">
        <v>11</v>
      </c>
      <c r="OQ39" s="20">
        <v>5</v>
      </c>
      <c r="OR39" s="20" t="s">
        <v>358</v>
      </c>
      <c r="OS39" s="20" t="s">
        <v>129</v>
      </c>
      <c r="OT39" s="20">
        <v>19</v>
      </c>
      <c r="OU39" s="20">
        <v>5</v>
      </c>
      <c r="OV39" s="20">
        <v>6</v>
      </c>
      <c r="OW39" s="20">
        <v>9</v>
      </c>
      <c r="OX39" s="20" t="s">
        <v>374</v>
      </c>
      <c r="OZ39" s="20">
        <v>1</v>
      </c>
      <c r="PA39" s="20">
        <v>1</v>
      </c>
      <c r="PB39" s="20">
        <v>1</v>
      </c>
      <c r="PC39" s="20">
        <v>0</v>
      </c>
      <c r="PD39" s="20">
        <v>1</v>
      </c>
      <c r="PE39" s="20">
        <v>1</v>
      </c>
      <c r="PF39" s="20">
        <v>0</v>
      </c>
      <c r="PG39" s="20">
        <v>1</v>
      </c>
      <c r="PK39" s="20">
        <v>18.829999999999998</v>
      </c>
      <c r="PL39" s="20">
        <v>1</v>
      </c>
      <c r="PO39" s="20">
        <v>35</v>
      </c>
      <c r="PP39" s="20" t="s">
        <v>22</v>
      </c>
      <c r="PQ39" s="20" t="s">
        <v>17</v>
      </c>
      <c r="PR39" s="32">
        <v>2</v>
      </c>
      <c r="PS39" s="20">
        <v>5</v>
      </c>
      <c r="PT39" s="20">
        <v>4</v>
      </c>
      <c r="PU39" s="20" t="s">
        <v>503</v>
      </c>
      <c r="PV39" s="20" t="s">
        <v>179</v>
      </c>
      <c r="PW39" s="20">
        <v>22</v>
      </c>
      <c r="PX39" s="20">
        <v>6</v>
      </c>
      <c r="PY39" s="20">
        <v>14</v>
      </c>
      <c r="PZ39" s="20">
        <v>10</v>
      </c>
      <c r="QA39" s="20" t="s">
        <v>569</v>
      </c>
      <c r="QB39" s="32">
        <v>2</v>
      </c>
      <c r="QC39" s="20">
        <v>18</v>
      </c>
      <c r="QD39" s="20">
        <v>11</v>
      </c>
      <c r="QE39" s="20" t="s">
        <v>546</v>
      </c>
      <c r="QF39" s="20" t="s">
        <v>129</v>
      </c>
      <c r="QG39" s="20">
        <v>14</v>
      </c>
      <c r="QH39" s="20">
        <v>7</v>
      </c>
      <c r="QI39" s="20">
        <v>8</v>
      </c>
      <c r="QJ39" s="20">
        <v>14</v>
      </c>
      <c r="QK39" s="20" t="s">
        <v>570</v>
      </c>
      <c r="QM39" s="32">
        <v>1</v>
      </c>
      <c r="QN39" s="32">
        <v>0</v>
      </c>
      <c r="QO39" s="32">
        <v>0</v>
      </c>
      <c r="QP39" s="32">
        <v>0</v>
      </c>
      <c r="QQ39" s="32">
        <v>1</v>
      </c>
      <c r="QR39" s="32">
        <v>0</v>
      </c>
      <c r="QS39" s="32">
        <v>0</v>
      </c>
      <c r="QT39" s="32">
        <v>0</v>
      </c>
      <c r="QX39" s="32">
        <v>18.89</v>
      </c>
      <c r="QY39" s="32">
        <v>8</v>
      </c>
      <c r="RB39" s="20">
        <v>35</v>
      </c>
      <c r="RC39" s="20" t="s">
        <v>15</v>
      </c>
      <c r="RD39" s="20" t="s">
        <v>18</v>
      </c>
      <c r="RE39" s="34">
        <v>0</v>
      </c>
      <c r="RF39" s="20">
        <v>11</v>
      </c>
      <c r="RG39" s="20">
        <v>5</v>
      </c>
      <c r="RH39" s="20" t="s">
        <v>358</v>
      </c>
      <c r="RI39" s="20" t="s">
        <v>129</v>
      </c>
      <c r="RJ39" s="20">
        <v>19</v>
      </c>
      <c r="RK39" s="20">
        <v>5</v>
      </c>
      <c r="RL39" s="20">
        <v>6</v>
      </c>
      <c r="RM39" s="20">
        <v>9</v>
      </c>
      <c r="RN39" s="20" t="s">
        <v>374</v>
      </c>
      <c r="RO39" s="33">
        <v>4</v>
      </c>
      <c r="RP39" s="20">
        <v>14</v>
      </c>
      <c r="RQ39" s="20">
        <v>9</v>
      </c>
      <c r="RR39" s="20" t="s">
        <v>342</v>
      </c>
      <c r="RS39" s="20" t="s">
        <v>136</v>
      </c>
      <c r="RT39" s="20">
        <v>18</v>
      </c>
      <c r="RU39" s="20">
        <v>12</v>
      </c>
      <c r="RV39" s="20">
        <v>18</v>
      </c>
      <c r="RW39" s="20">
        <v>12</v>
      </c>
      <c r="RX39" s="20" t="s">
        <v>375</v>
      </c>
      <c r="RZ39" s="20">
        <v>1</v>
      </c>
      <c r="SA39" s="20">
        <v>1</v>
      </c>
      <c r="SB39" s="20">
        <v>1</v>
      </c>
      <c r="SC39" s="20">
        <v>0</v>
      </c>
      <c r="SD39" s="20">
        <v>1</v>
      </c>
      <c r="SE39" s="20">
        <v>1</v>
      </c>
      <c r="SF39" s="20">
        <v>0</v>
      </c>
      <c r="SG39" s="20">
        <v>1</v>
      </c>
      <c r="SK39" s="20">
        <v>18.829999999999998</v>
      </c>
      <c r="SL39" s="20">
        <v>1</v>
      </c>
      <c r="SO39" s="20">
        <v>35</v>
      </c>
      <c r="SP39" s="20" t="s">
        <v>19</v>
      </c>
      <c r="SQ39" s="20" t="s">
        <v>16</v>
      </c>
      <c r="SR39" s="32">
        <v>1</v>
      </c>
      <c r="SS39" s="20">
        <v>9</v>
      </c>
      <c r="ST39" s="20">
        <v>2</v>
      </c>
      <c r="SU39" s="20" t="s">
        <v>146</v>
      </c>
      <c r="SV39" s="20" t="s">
        <v>280</v>
      </c>
      <c r="SW39" s="20">
        <v>17</v>
      </c>
      <c r="SX39" s="20">
        <v>19</v>
      </c>
      <c r="SY39" s="20">
        <v>6</v>
      </c>
      <c r="SZ39" s="20">
        <v>7</v>
      </c>
      <c r="TA39" s="20" t="s">
        <v>360</v>
      </c>
      <c r="TB39" s="32">
        <v>1</v>
      </c>
      <c r="TC39" s="20">
        <v>9</v>
      </c>
      <c r="TD39" s="20">
        <v>1</v>
      </c>
      <c r="TE39" s="20" t="s">
        <v>175</v>
      </c>
      <c r="TF39" s="20" t="s">
        <v>219</v>
      </c>
      <c r="TG39" s="20">
        <v>11</v>
      </c>
      <c r="TH39" s="20">
        <v>20</v>
      </c>
      <c r="TI39" s="20">
        <v>3</v>
      </c>
      <c r="TJ39" s="20">
        <v>7</v>
      </c>
      <c r="TK39" s="20" t="s">
        <v>359</v>
      </c>
      <c r="TM39" s="32">
        <v>0</v>
      </c>
      <c r="TN39" s="32">
        <v>0</v>
      </c>
      <c r="TO39" s="32">
        <v>1</v>
      </c>
      <c r="TP39" s="32">
        <v>0</v>
      </c>
      <c r="TQ39" s="32">
        <v>1</v>
      </c>
      <c r="TR39" s="32">
        <v>0</v>
      </c>
      <c r="TS39" s="32">
        <v>1</v>
      </c>
      <c r="TT39" s="32">
        <v>1</v>
      </c>
      <c r="TX39" s="32">
        <v>11.11</v>
      </c>
      <c r="TY39" s="32">
        <v>6</v>
      </c>
      <c r="UB39" s="20">
        <v>35</v>
      </c>
      <c r="UC39" s="20" t="s">
        <v>19</v>
      </c>
      <c r="UD39" s="20" t="s">
        <v>16</v>
      </c>
      <c r="UE39" s="32">
        <v>1</v>
      </c>
      <c r="UF39" s="20">
        <v>9</v>
      </c>
      <c r="UG39" s="20">
        <v>1</v>
      </c>
      <c r="UH39" s="20" t="s">
        <v>175</v>
      </c>
      <c r="UI39" s="20" t="s">
        <v>219</v>
      </c>
      <c r="UJ39" s="20">
        <v>11</v>
      </c>
      <c r="UK39" s="20">
        <v>20</v>
      </c>
      <c r="UL39" s="20">
        <v>3</v>
      </c>
      <c r="UM39" s="20">
        <v>7</v>
      </c>
      <c r="UN39" s="20" t="s">
        <v>359</v>
      </c>
      <c r="UO39" s="32">
        <v>1</v>
      </c>
      <c r="UP39" s="20">
        <v>9</v>
      </c>
      <c r="UQ39" s="20">
        <v>2</v>
      </c>
      <c r="UR39" s="20" t="s">
        <v>146</v>
      </c>
      <c r="US39" s="20" t="s">
        <v>280</v>
      </c>
      <c r="UT39" s="20">
        <v>17</v>
      </c>
      <c r="UU39" s="20">
        <v>19</v>
      </c>
      <c r="UV39" s="20">
        <v>6</v>
      </c>
      <c r="UW39" s="20">
        <v>7</v>
      </c>
      <c r="UX39" s="20" t="s">
        <v>360</v>
      </c>
      <c r="UZ39" s="32">
        <v>0</v>
      </c>
      <c r="VA39" s="32">
        <v>0</v>
      </c>
      <c r="VB39" s="32">
        <v>1</v>
      </c>
      <c r="VC39" s="32">
        <v>0</v>
      </c>
      <c r="VD39" s="32">
        <v>1</v>
      </c>
      <c r="VE39" s="32">
        <v>0</v>
      </c>
      <c r="VF39" s="32">
        <v>1</v>
      </c>
      <c r="VG39" s="32">
        <v>1</v>
      </c>
      <c r="VK39" s="32">
        <v>11.11</v>
      </c>
      <c r="VL39" s="32">
        <v>6</v>
      </c>
      <c r="VO39" s="20">
        <v>35</v>
      </c>
      <c r="VP39" s="20" t="s">
        <v>10</v>
      </c>
      <c r="VQ39" s="20" t="s">
        <v>20</v>
      </c>
      <c r="VR39" s="34">
        <v>1</v>
      </c>
      <c r="VS39" s="20">
        <v>12</v>
      </c>
      <c r="VT39" s="20">
        <v>3</v>
      </c>
      <c r="VU39" s="20" t="s">
        <v>131</v>
      </c>
      <c r="VV39" s="20" t="s">
        <v>219</v>
      </c>
      <c r="VW39" s="20">
        <v>13</v>
      </c>
      <c r="VX39" s="20">
        <v>17</v>
      </c>
      <c r="VY39" s="20">
        <v>3</v>
      </c>
      <c r="VZ39" s="20">
        <v>12</v>
      </c>
      <c r="WA39" s="20" t="s">
        <v>312</v>
      </c>
      <c r="WB39" s="33">
        <v>2</v>
      </c>
      <c r="WC39" s="20">
        <v>15</v>
      </c>
      <c r="WD39" s="20">
        <v>4</v>
      </c>
      <c r="WE39" s="20" t="s">
        <v>256</v>
      </c>
      <c r="WF39" s="20" t="s">
        <v>144</v>
      </c>
      <c r="WG39" s="20">
        <v>19</v>
      </c>
      <c r="WH39" s="20">
        <v>20</v>
      </c>
      <c r="WI39" s="20">
        <v>4</v>
      </c>
      <c r="WJ39" s="20">
        <v>6</v>
      </c>
      <c r="WK39" s="20" t="s">
        <v>313</v>
      </c>
      <c r="WM39" s="20">
        <v>1</v>
      </c>
      <c r="WN39" s="20">
        <v>1</v>
      </c>
      <c r="WO39" s="20">
        <v>1</v>
      </c>
      <c r="WP39" s="20">
        <v>1</v>
      </c>
      <c r="WQ39" s="20">
        <v>1</v>
      </c>
      <c r="WR39" s="20">
        <v>1</v>
      </c>
      <c r="WS39" s="20">
        <v>1</v>
      </c>
      <c r="WT39" s="20">
        <v>1</v>
      </c>
      <c r="WX39" s="20">
        <v>1.67</v>
      </c>
      <c r="WY39" s="20">
        <v>6</v>
      </c>
      <c r="XB39" s="20">
        <v>35</v>
      </c>
      <c r="XC39" s="20" t="s">
        <v>5</v>
      </c>
      <c r="XD39" s="20" t="s">
        <v>34</v>
      </c>
      <c r="XE39" s="34">
        <v>0</v>
      </c>
      <c r="XF39" s="20">
        <v>5</v>
      </c>
      <c r="XG39" s="20">
        <v>3</v>
      </c>
      <c r="XH39" s="20" t="s">
        <v>173</v>
      </c>
      <c r="XI39" s="20" t="s">
        <v>139</v>
      </c>
      <c r="XJ39" s="20">
        <v>18</v>
      </c>
      <c r="XK39" s="20">
        <v>6</v>
      </c>
      <c r="XL39" s="20">
        <v>5</v>
      </c>
      <c r="XM39" s="20">
        <v>8</v>
      </c>
      <c r="XN39" s="20" t="s">
        <v>571</v>
      </c>
      <c r="XO39" s="33">
        <v>6</v>
      </c>
      <c r="XP39" s="20">
        <v>24</v>
      </c>
      <c r="XQ39" s="20">
        <v>10</v>
      </c>
      <c r="XR39" s="20" t="s">
        <v>254</v>
      </c>
      <c r="XS39" s="20" t="s">
        <v>343</v>
      </c>
      <c r="XT39" s="20">
        <v>11</v>
      </c>
      <c r="XU39" s="20">
        <v>15</v>
      </c>
      <c r="XV39" s="20">
        <v>12</v>
      </c>
      <c r="XW39" s="20">
        <v>11</v>
      </c>
      <c r="XX39" s="20" t="s">
        <v>572</v>
      </c>
      <c r="XZ39" s="20">
        <v>1</v>
      </c>
      <c r="YA39" s="20">
        <v>0</v>
      </c>
      <c r="YB39" s="20">
        <v>1</v>
      </c>
      <c r="YC39" s="20">
        <v>0</v>
      </c>
      <c r="YD39" s="20">
        <v>1</v>
      </c>
      <c r="YE39" s="20">
        <v>1</v>
      </c>
      <c r="YF39" s="20">
        <v>0</v>
      </c>
      <c r="YG39" s="20">
        <v>1</v>
      </c>
      <c r="YK39" s="20">
        <v>18.329999999999998</v>
      </c>
      <c r="YL39" s="20">
        <v>7</v>
      </c>
      <c r="YO39" s="20">
        <v>35</v>
      </c>
      <c r="YP39" s="20" t="s">
        <v>21</v>
      </c>
      <c r="YQ39" s="20" t="s">
        <v>6</v>
      </c>
      <c r="YR39" s="34">
        <v>2</v>
      </c>
      <c r="YS39" s="20">
        <v>11</v>
      </c>
      <c r="YT39" s="20">
        <v>6</v>
      </c>
      <c r="YU39" s="20" t="s">
        <v>389</v>
      </c>
      <c r="YV39" s="20" t="s">
        <v>203</v>
      </c>
      <c r="YW39" s="20">
        <v>28</v>
      </c>
      <c r="YX39" s="20">
        <v>10</v>
      </c>
      <c r="YY39" s="20">
        <v>8</v>
      </c>
      <c r="YZ39" s="20">
        <v>11</v>
      </c>
      <c r="ZA39" s="20" t="s">
        <v>460</v>
      </c>
      <c r="ZB39" s="33">
        <v>3</v>
      </c>
      <c r="ZC39" s="20">
        <v>16</v>
      </c>
      <c r="ZD39" s="20">
        <v>6</v>
      </c>
      <c r="ZE39" s="20" t="s">
        <v>153</v>
      </c>
      <c r="ZF39" s="20" t="s">
        <v>134</v>
      </c>
      <c r="ZG39" s="20">
        <v>19</v>
      </c>
      <c r="ZH39" s="20">
        <v>16</v>
      </c>
      <c r="ZI39" s="20">
        <v>15</v>
      </c>
      <c r="ZJ39" s="20">
        <v>13</v>
      </c>
      <c r="ZK39" s="20" t="s">
        <v>459</v>
      </c>
      <c r="ZM39" s="20">
        <v>1</v>
      </c>
      <c r="ZN39" s="20">
        <v>0</v>
      </c>
      <c r="ZO39" s="20">
        <v>1</v>
      </c>
      <c r="ZP39" s="20">
        <v>0</v>
      </c>
      <c r="ZQ39" s="20">
        <v>1</v>
      </c>
      <c r="ZR39" s="20">
        <v>1</v>
      </c>
      <c r="ZS39" s="20">
        <v>0</v>
      </c>
      <c r="ZT39" s="20">
        <v>1</v>
      </c>
      <c r="ZX39" s="20">
        <v>17.05</v>
      </c>
      <c r="ZY39" s="20">
        <v>9</v>
      </c>
      <c r="AAB39" s="20">
        <v>35</v>
      </c>
      <c r="AAC39" s="20" t="s">
        <v>22</v>
      </c>
      <c r="AAD39" s="20" t="s">
        <v>17</v>
      </c>
      <c r="AAE39" s="32">
        <v>2</v>
      </c>
      <c r="AAF39" s="20">
        <v>18</v>
      </c>
      <c r="AAG39" s="20">
        <v>11</v>
      </c>
      <c r="AAH39" s="20" t="s">
        <v>546</v>
      </c>
      <c r="AAI39" s="20" t="s">
        <v>129</v>
      </c>
      <c r="AAJ39" s="20">
        <v>14</v>
      </c>
      <c r="AAK39" s="20">
        <v>7</v>
      </c>
      <c r="AAL39" s="20">
        <v>8</v>
      </c>
      <c r="AAM39" s="20">
        <v>14</v>
      </c>
      <c r="AAN39" s="20" t="s">
        <v>570</v>
      </c>
      <c r="AAO39" s="32">
        <v>2</v>
      </c>
      <c r="AAP39" s="20">
        <v>5</v>
      </c>
      <c r="AAQ39" s="20">
        <v>4</v>
      </c>
      <c r="AAR39" s="20" t="s">
        <v>503</v>
      </c>
      <c r="AAS39" s="20" t="s">
        <v>179</v>
      </c>
      <c r="AAT39" s="20">
        <v>22</v>
      </c>
      <c r="AAU39" s="20">
        <v>6</v>
      </c>
      <c r="AAV39" s="20">
        <v>14</v>
      </c>
      <c r="AAW39" s="20">
        <v>10</v>
      </c>
      <c r="AAX39" s="20" t="s">
        <v>569</v>
      </c>
      <c r="AAZ39" s="32">
        <v>1</v>
      </c>
      <c r="ABA39" s="32">
        <v>0</v>
      </c>
      <c r="ABB39" s="32">
        <v>0</v>
      </c>
      <c r="ABC39" s="32">
        <v>0</v>
      </c>
      <c r="ABD39" s="32">
        <v>1</v>
      </c>
      <c r="ABE39" s="32">
        <v>0</v>
      </c>
      <c r="ABF39" s="32">
        <v>0</v>
      </c>
      <c r="ABG39" s="32">
        <v>0</v>
      </c>
      <c r="ABK39" s="32">
        <v>18.89</v>
      </c>
      <c r="ABL39" s="32">
        <v>8</v>
      </c>
      <c r="ABO39" s="20">
        <v>35</v>
      </c>
      <c r="ABP39" s="20" t="s">
        <v>23</v>
      </c>
      <c r="ABQ39" s="20" t="s">
        <v>9</v>
      </c>
      <c r="ABR39" s="32">
        <v>2</v>
      </c>
      <c r="ABS39" s="20">
        <v>10</v>
      </c>
      <c r="ABT39" s="20">
        <v>5</v>
      </c>
      <c r="ABU39" s="20" t="s">
        <v>125</v>
      </c>
      <c r="ABV39" s="20" t="s">
        <v>156</v>
      </c>
      <c r="ABW39" s="20">
        <v>18</v>
      </c>
      <c r="ABX39" s="20">
        <v>14</v>
      </c>
      <c r="ABY39" s="20">
        <v>12</v>
      </c>
      <c r="ABZ39" s="20">
        <v>8</v>
      </c>
      <c r="ACA39" s="20" t="s">
        <v>450</v>
      </c>
      <c r="ACB39" s="32">
        <v>2</v>
      </c>
      <c r="ACC39" s="20">
        <v>19</v>
      </c>
      <c r="ACD39" s="20">
        <v>8</v>
      </c>
      <c r="ACE39" s="20" t="s">
        <v>568</v>
      </c>
      <c r="ACF39" s="20" t="s">
        <v>171</v>
      </c>
      <c r="ACG39" s="20">
        <v>9</v>
      </c>
      <c r="ACH39" s="20">
        <v>16</v>
      </c>
      <c r="ACI39" s="20">
        <v>7</v>
      </c>
      <c r="ACJ39" s="20">
        <v>10</v>
      </c>
      <c r="ACK39" s="20" t="s">
        <v>451</v>
      </c>
      <c r="ACM39" s="32">
        <v>1</v>
      </c>
      <c r="ACN39" s="32">
        <v>0</v>
      </c>
      <c r="ACO39" s="32">
        <v>1</v>
      </c>
      <c r="ACP39" s="32">
        <v>0</v>
      </c>
      <c r="ACQ39" s="32">
        <v>1</v>
      </c>
      <c r="ACR39" s="32">
        <v>0</v>
      </c>
      <c r="ACS39" s="32">
        <v>0</v>
      </c>
      <c r="ACT39" s="32">
        <v>1</v>
      </c>
      <c r="ACX39" s="32">
        <v>7.89</v>
      </c>
      <c r="ACY39" s="32">
        <v>9</v>
      </c>
    </row>
    <row r="40" spans="1:781" x14ac:dyDescent="0.3">
      <c r="A40" s="27">
        <f>E40/G40</f>
        <v>0.5</v>
      </c>
      <c r="B40" s="20">
        <v>36</v>
      </c>
      <c r="C40" s="20" t="s">
        <v>14</v>
      </c>
      <c r="D40" s="20" t="s">
        <v>5</v>
      </c>
      <c r="E40" s="33">
        <v>2</v>
      </c>
      <c r="F40" s="20">
        <v>11</v>
      </c>
      <c r="G40" s="30">
        <v>4</v>
      </c>
      <c r="H40" s="27">
        <v>0.36359999999999998</v>
      </c>
      <c r="I40" s="28">
        <v>0.88</v>
      </c>
      <c r="J40" s="20">
        <v>19</v>
      </c>
      <c r="K40" s="20">
        <v>11</v>
      </c>
      <c r="L40" s="20">
        <v>14</v>
      </c>
      <c r="M40" s="30">
        <v>11</v>
      </c>
      <c r="N40" s="27">
        <v>0.73499999999999999</v>
      </c>
      <c r="O40" s="34">
        <v>0</v>
      </c>
      <c r="P40" s="20">
        <v>2</v>
      </c>
      <c r="Q40" s="30">
        <v>1</v>
      </c>
      <c r="R40" s="27">
        <v>0.5</v>
      </c>
      <c r="S40" s="28">
        <v>0.69</v>
      </c>
      <c r="T40" s="20">
        <v>18</v>
      </c>
      <c r="U40" s="20">
        <v>5</v>
      </c>
      <c r="V40" s="20">
        <v>8</v>
      </c>
      <c r="W40" s="30">
        <v>13</v>
      </c>
      <c r="X40" s="27">
        <v>0.26500000000000001</v>
      </c>
      <c r="Z40" s="20">
        <v>1</v>
      </c>
      <c r="AA40" s="20">
        <v>0</v>
      </c>
      <c r="AB40" s="20">
        <v>1</v>
      </c>
      <c r="AC40" s="20">
        <v>1</v>
      </c>
      <c r="AD40" s="20">
        <v>1</v>
      </c>
      <c r="AE40" s="20">
        <v>1</v>
      </c>
      <c r="AF40" s="20">
        <v>1</v>
      </c>
      <c r="AG40" s="20">
        <v>1</v>
      </c>
      <c r="AK40" s="20">
        <v>13.64</v>
      </c>
      <c r="AL40" s="20">
        <v>1</v>
      </c>
      <c r="AM40" s="20"/>
      <c r="AN40" s="20"/>
      <c r="AO40" s="20">
        <v>36</v>
      </c>
      <c r="AP40" s="20" t="s">
        <v>13</v>
      </c>
      <c r="AQ40" s="20" t="s">
        <v>6</v>
      </c>
      <c r="AR40" s="33">
        <v>1</v>
      </c>
      <c r="AS40" s="30">
        <v>18</v>
      </c>
      <c r="AT40" s="30">
        <v>6</v>
      </c>
      <c r="AU40" s="27">
        <v>0.33329999999999999</v>
      </c>
      <c r="AV40" s="28">
        <v>0.81</v>
      </c>
      <c r="AW40" s="20">
        <v>17</v>
      </c>
      <c r="AX40" s="20">
        <v>23</v>
      </c>
      <c r="AY40" s="30">
        <v>11</v>
      </c>
      <c r="AZ40" s="20">
        <v>15</v>
      </c>
      <c r="BA40" s="27">
        <v>0.54700000000000004</v>
      </c>
      <c r="BB40" s="34">
        <v>0</v>
      </c>
      <c r="BC40" s="20">
        <v>11</v>
      </c>
      <c r="BD40" s="20">
        <v>4</v>
      </c>
      <c r="BE40" s="20" t="s">
        <v>249</v>
      </c>
      <c r="BF40" s="20" t="s">
        <v>176</v>
      </c>
      <c r="BG40" s="20">
        <v>23</v>
      </c>
      <c r="BH40" s="20">
        <v>8</v>
      </c>
      <c r="BI40" s="20">
        <v>10</v>
      </c>
      <c r="BJ40" s="20">
        <v>7</v>
      </c>
      <c r="BK40" s="20" t="s">
        <v>447</v>
      </c>
      <c r="BM40" s="20">
        <v>1</v>
      </c>
      <c r="BN40" s="20">
        <v>0</v>
      </c>
      <c r="BO40" s="20">
        <v>1</v>
      </c>
      <c r="BP40" s="20">
        <v>0</v>
      </c>
      <c r="BQ40" s="20">
        <v>1</v>
      </c>
      <c r="BR40" s="20">
        <v>1</v>
      </c>
      <c r="BS40" s="20">
        <v>0</v>
      </c>
      <c r="BT40" s="20">
        <v>1</v>
      </c>
      <c r="BX40" s="20">
        <v>3.03</v>
      </c>
      <c r="BY40" s="20">
        <v>6</v>
      </c>
      <c r="BZ40" s="20"/>
      <c r="CA40" s="20"/>
      <c r="CB40" s="20">
        <v>36</v>
      </c>
      <c r="CC40" s="20" t="s">
        <v>7</v>
      </c>
      <c r="CD40" s="20" t="s">
        <v>21</v>
      </c>
      <c r="CE40" s="33">
        <v>1</v>
      </c>
      <c r="CF40" s="20">
        <v>12</v>
      </c>
      <c r="CG40" s="20">
        <v>6</v>
      </c>
      <c r="CH40" s="20" t="s">
        <v>125</v>
      </c>
      <c r="CI40" s="20" t="s">
        <v>126</v>
      </c>
      <c r="CJ40" s="20">
        <v>26</v>
      </c>
      <c r="CK40" s="20">
        <v>18</v>
      </c>
      <c r="CL40" s="20">
        <v>7</v>
      </c>
      <c r="CM40" s="20">
        <v>8</v>
      </c>
      <c r="CN40" s="20" t="s">
        <v>374</v>
      </c>
      <c r="CO40" s="34">
        <v>0</v>
      </c>
      <c r="CP40" s="20">
        <v>13</v>
      </c>
      <c r="CQ40" s="20">
        <v>2</v>
      </c>
      <c r="CR40" s="20" t="s">
        <v>205</v>
      </c>
      <c r="CS40" s="20" t="s">
        <v>154</v>
      </c>
      <c r="CT40" s="20">
        <v>20</v>
      </c>
      <c r="CU40" s="20">
        <v>21</v>
      </c>
      <c r="CV40" s="20">
        <v>6</v>
      </c>
      <c r="CW40" s="20">
        <v>16</v>
      </c>
      <c r="CX40" s="20" t="s">
        <v>375</v>
      </c>
      <c r="CZ40" s="20">
        <v>1</v>
      </c>
      <c r="DA40" s="20">
        <v>1</v>
      </c>
      <c r="DB40" s="20">
        <v>0</v>
      </c>
      <c r="DC40" s="20">
        <v>1</v>
      </c>
      <c r="DD40" s="20">
        <v>0</v>
      </c>
      <c r="DE40" s="20">
        <v>1</v>
      </c>
      <c r="DF40" s="20">
        <v>1</v>
      </c>
      <c r="DG40" s="20">
        <v>0</v>
      </c>
      <c r="DK40" s="20">
        <v>34.619999999999997</v>
      </c>
      <c r="DL40" s="20">
        <v>6</v>
      </c>
      <c r="DO40" s="20">
        <v>36</v>
      </c>
      <c r="DP40" s="20" t="s">
        <v>17</v>
      </c>
      <c r="DQ40" s="20" t="s">
        <v>8</v>
      </c>
      <c r="DR40" s="33">
        <v>2</v>
      </c>
      <c r="DS40" s="20">
        <v>8</v>
      </c>
      <c r="DT40" s="20">
        <v>3</v>
      </c>
      <c r="DU40" s="20" t="s">
        <v>153</v>
      </c>
      <c r="DV40" s="20" t="s">
        <v>168</v>
      </c>
      <c r="DW40" s="20">
        <v>21</v>
      </c>
      <c r="DX40" s="20">
        <v>7</v>
      </c>
      <c r="DY40" s="20">
        <v>9</v>
      </c>
      <c r="DZ40" s="20">
        <v>8</v>
      </c>
      <c r="EA40" s="20" t="s">
        <v>204</v>
      </c>
      <c r="EB40" s="34">
        <v>0</v>
      </c>
      <c r="EC40" s="20">
        <v>7</v>
      </c>
      <c r="ED40" s="20">
        <v>1</v>
      </c>
      <c r="EE40" s="20" t="s">
        <v>164</v>
      </c>
      <c r="EF40" s="20" t="s">
        <v>199</v>
      </c>
      <c r="EG40" s="20">
        <v>14</v>
      </c>
      <c r="EH40" s="20">
        <v>11</v>
      </c>
      <c r="EI40" s="20">
        <v>13</v>
      </c>
      <c r="EJ40" s="20">
        <v>13</v>
      </c>
      <c r="EK40" s="20" t="s">
        <v>206</v>
      </c>
      <c r="EM40" s="20">
        <v>1</v>
      </c>
      <c r="EN40" s="20">
        <v>1</v>
      </c>
      <c r="EO40" s="20">
        <v>0</v>
      </c>
      <c r="EP40" s="20">
        <v>1</v>
      </c>
      <c r="EQ40" s="20">
        <v>0</v>
      </c>
      <c r="ER40" s="20">
        <v>0</v>
      </c>
      <c r="ES40" s="20">
        <v>1</v>
      </c>
      <c r="ET40" s="20">
        <v>0</v>
      </c>
      <c r="EX40" s="20">
        <v>23.21</v>
      </c>
      <c r="EY40" s="20">
        <v>7</v>
      </c>
      <c r="FB40" s="20">
        <v>36</v>
      </c>
      <c r="FC40" s="20" t="s">
        <v>9</v>
      </c>
      <c r="FD40" s="20" t="s">
        <v>10</v>
      </c>
      <c r="FE40" s="33">
        <v>2</v>
      </c>
      <c r="FF40" s="20">
        <v>10</v>
      </c>
      <c r="FG40" s="20">
        <v>2</v>
      </c>
      <c r="FH40" s="20" t="s">
        <v>141</v>
      </c>
      <c r="FI40" s="20" t="s">
        <v>203</v>
      </c>
      <c r="FJ40" s="20">
        <v>15</v>
      </c>
      <c r="FK40" s="20">
        <v>21</v>
      </c>
      <c r="FL40" s="20">
        <v>5</v>
      </c>
      <c r="FM40" s="20">
        <v>6</v>
      </c>
      <c r="FN40" s="20" t="s">
        <v>145</v>
      </c>
      <c r="FO40" s="34">
        <v>1</v>
      </c>
      <c r="FP40" s="20">
        <v>5</v>
      </c>
      <c r="FQ40" s="20">
        <v>2</v>
      </c>
      <c r="FR40" s="20" t="s">
        <v>133</v>
      </c>
      <c r="FS40" s="20" t="s">
        <v>139</v>
      </c>
      <c r="FT40" s="20">
        <v>10</v>
      </c>
      <c r="FU40" s="20">
        <v>15</v>
      </c>
      <c r="FV40" s="20">
        <v>9</v>
      </c>
      <c r="FW40" s="20">
        <v>9</v>
      </c>
      <c r="FX40" s="20" t="s">
        <v>143</v>
      </c>
      <c r="FZ40" s="20">
        <v>0</v>
      </c>
      <c r="GA40" s="20">
        <v>0</v>
      </c>
      <c r="GB40" s="20">
        <v>1</v>
      </c>
      <c r="GC40" s="20">
        <v>1</v>
      </c>
      <c r="GD40" s="20">
        <v>1</v>
      </c>
      <c r="GE40" s="20">
        <v>0</v>
      </c>
      <c r="GF40" s="20">
        <v>1</v>
      </c>
      <c r="GG40" s="20">
        <v>1</v>
      </c>
      <c r="GK40" s="20">
        <v>20</v>
      </c>
      <c r="GL40" s="20">
        <v>5</v>
      </c>
      <c r="GO40" s="20">
        <v>36</v>
      </c>
      <c r="GP40" s="20" t="s">
        <v>9</v>
      </c>
      <c r="GQ40" s="20" t="s">
        <v>10</v>
      </c>
      <c r="GR40" s="34">
        <v>1</v>
      </c>
      <c r="GS40" s="20">
        <v>5</v>
      </c>
      <c r="GT40" s="20">
        <v>2</v>
      </c>
      <c r="GU40" s="20" t="s">
        <v>133</v>
      </c>
      <c r="GV40" s="20" t="s">
        <v>139</v>
      </c>
      <c r="GW40" s="20">
        <v>10</v>
      </c>
      <c r="GX40" s="20">
        <v>15</v>
      </c>
      <c r="GY40" s="20">
        <v>9</v>
      </c>
      <c r="GZ40" s="20">
        <v>9</v>
      </c>
      <c r="HA40" s="20" t="s">
        <v>143</v>
      </c>
      <c r="HB40" s="33">
        <v>2</v>
      </c>
      <c r="HC40" s="20">
        <v>10</v>
      </c>
      <c r="HD40" s="20">
        <v>2</v>
      </c>
      <c r="HE40" s="20" t="s">
        <v>141</v>
      </c>
      <c r="HF40" s="20" t="s">
        <v>203</v>
      </c>
      <c r="HG40" s="20">
        <v>15</v>
      </c>
      <c r="HH40" s="20">
        <v>21</v>
      </c>
      <c r="HI40" s="20">
        <v>5</v>
      </c>
      <c r="HJ40" s="20">
        <v>6</v>
      </c>
      <c r="HK40" s="20" t="s">
        <v>145</v>
      </c>
      <c r="HM40" s="20">
        <v>0</v>
      </c>
      <c r="HN40" s="20">
        <v>0</v>
      </c>
      <c r="HO40" s="20">
        <v>1</v>
      </c>
      <c r="HP40" s="20">
        <v>1</v>
      </c>
      <c r="HQ40" s="20">
        <v>1</v>
      </c>
      <c r="HR40" s="20">
        <v>0</v>
      </c>
      <c r="HS40" s="20">
        <v>1</v>
      </c>
      <c r="HT40" s="20">
        <v>1</v>
      </c>
      <c r="HX40" s="20">
        <v>20</v>
      </c>
      <c r="HY40" s="20">
        <v>5</v>
      </c>
      <c r="IB40" s="20">
        <v>36</v>
      </c>
      <c r="IC40" s="20" t="s">
        <v>18</v>
      </c>
      <c r="ID40" s="20" t="s">
        <v>11</v>
      </c>
      <c r="IE40" s="34">
        <v>0</v>
      </c>
      <c r="IF40" s="20">
        <v>7</v>
      </c>
      <c r="IG40" s="20">
        <v>0</v>
      </c>
      <c r="IH40" s="20" t="s">
        <v>116</v>
      </c>
      <c r="II40" s="20" t="s">
        <v>129</v>
      </c>
      <c r="IJ40" s="20">
        <v>17</v>
      </c>
      <c r="IK40" s="20">
        <v>21</v>
      </c>
      <c r="IL40" s="20">
        <v>7</v>
      </c>
      <c r="IM40" s="20">
        <v>18</v>
      </c>
      <c r="IN40" s="20" t="s">
        <v>332</v>
      </c>
      <c r="IO40" s="33">
        <v>1</v>
      </c>
      <c r="IP40" s="20">
        <v>12</v>
      </c>
      <c r="IQ40" s="20">
        <v>7</v>
      </c>
      <c r="IR40" s="20" t="s">
        <v>405</v>
      </c>
      <c r="IS40" s="20" t="s">
        <v>203</v>
      </c>
      <c r="IT40" s="20">
        <v>26</v>
      </c>
      <c r="IU40" s="20">
        <v>16</v>
      </c>
      <c r="IV40" s="20">
        <v>11</v>
      </c>
      <c r="IW40" s="20">
        <v>8</v>
      </c>
      <c r="IX40" s="20" t="s">
        <v>333</v>
      </c>
      <c r="IZ40" s="20">
        <v>1</v>
      </c>
      <c r="JA40" s="20">
        <v>1</v>
      </c>
      <c r="JB40" s="20">
        <v>0</v>
      </c>
      <c r="JC40" s="20">
        <v>1</v>
      </c>
      <c r="JD40" s="20">
        <v>0</v>
      </c>
      <c r="JE40" s="20">
        <v>1</v>
      </c>
      <c r="JF40" s="20">
        <v>1</v>
      </c>
      <c r="JG40" s="20">
        <v>0</v>
      </c>
      <c r="JK40" s="20">
        <v>58.33</v>
      </c>
      <c r="JL40" s="20">
        <v>9</v>
      </c>
      <c r="JO40" s="20">
        <v>36</v>
      </c>
      <c r="JP40" s="20" t="s">
        <v>12</v>
      </c>
      <c r="JQ40" s="20" t="s">
        <v>23</v>
      </c>
      <c r="JR40" s="33">
        <v>3</v>
      </c>
      <c r="JS40" s="20">
        <v>22</v>
      </c>
      <c r="JT40" s="20">
        <v>11</v>
      </c>
      <c r="JU40" s="20" t="s">
        <v>125</v>
      </c>
      <c r="JV40" s="20" t="s">
        <v>123</v>
      </c>
      <c r="JW40" s="20">
        <v>17</v>
      </c>
      <c r="JX40" s="20">
        <v>25</v>
      </c>
      <c r="JY40" s="20">
        <v>8</v>
      </c>
      <c r="JZ40" s="20">
        <v>14</v>
      </c>
      <c r="KA40" s="20" t="s">
        <v>344</v>
      </c>
      <c r="KB40" s="34">
        <v>1</v>
      </c>
      <c r="KC40" s="20">
        <v>11</v>
      </c>
      <c r="KD40" s="20">
        <v>5</v>
      </c>
      <c r="KE40" s="20" t="s">
        <v>358</v>
      </c>
      <c r="KF40" s="20" t="s">
        <v>151</v>
      </c>
      <c r="KG40" s="20">
        <v>17</v>
      </c>
      <c r="KH40" s="20">
        <v>20</v>
      </c>
      <c r="KI40" s="20">
        <v>5</v>
      </c>
      <c r="KJ40" s="20">
        <v>8</v>
      </c>
      <c r="KK40" s="20" t="s">
        <v>325</v>
      </c>
      <c r="KM40" s="20">
        <v>1</v>
      </c>
      <c r="KN40" s="20">
        <v>1</v>
      </c>
      <c r="KO40" s="20">
        <v>1</v>
      </c>
      <c r="KP40" s="20">
        <v>0</v>
      </c>
      <c r="KQ40" s="20">
        <v>1</v>
      </c>
      <c r="KR40" s="20">
        <v>1</v>
      </c>
      <c r="KS40" s="20">
        <v>0</v>
      </c>
      <c r="KT40" s="20">
        <v>1</v>
      </c>
      <c r="KX40" s="20">
        <v>4.55</v>
      </c>
      <c r="KY40" s="20">
        <v>0</v>
      </c>
      <c r="LB40" s="20">
        <v>36</v>
      </c>
      <c r="LC40" s="20" t="s">
        <v>13</v>
      </c>
      <c r="LD40" s="20" t="s">
        <v>6</v>
      </c>
      <c r="LE40" s="34">
        <v>0</v>
      </c>
      <c r="LF40" s="20">
        <v>11</v>
      </c>
      <c r="LG40" s="20">
        <v>4</v>
      </c>
      <c r="LH40" s="20" t="s">
        <v>249</v>
      </c>
      <c r="LI40" s="20" t="s">
        <v>176</v>
      </c>
      <c r="LJ40" s="20">
        <v>23</v>
      </c>
      <c r="LK40" s="20">
        <v>8</v>
      </c>
      <c r="LL40" s="20">
        <v>10</v>
      </c>
      <c r="LM40" s="20">
        <v>7</v>
      </c>
      <c r="LN40" s="20" t="s">
        <v>447</v>
      </c>
      <c r="LO40" s="33">
        <v>1</v>
      </c>
      <c r="LP40" s="20">
        <v>18</v>
      </c>
      <c r="LQ40" s="20">
        <v>6</v>
      </c>
      <c r="LR40" s="20" t="s">
        <v>209</v>
      </c>
      <c r="LS40" s="20" t="s">
        <v>134</v>
      </c>
      <c r="LT40" s="20">
        <v>17</v>
      </c>
      <c r="LU40" s="20">
        <v>23</v>
      </c>
      <c r="LV40" s="20">
        <v>11</v>
      </c>
      <c r="LW40" s="20">
        <v>15</v>
      </c>
      <c r="LX40" s="20" t="s">
        <v>448</v>
      </c>
      <c r="LZ40" s="20">
        <v>1</v>
      </c>
      <c r="MA40" s="20">
        <v>0</v>
      </c>
      <c r="MB40" s="20">
        <v>1</v>
      </c>
      <c r="MC40" s="20">
        <v>0</v>
      </c>
      <c r="MD40" s="20">
        <v>1</v>
      </c>
      <c r="ME40" s="20">
        <v>1</v>
      </c>
      <c r="MF40" s="20">
        <v>0</v>
      </c>
      <c r="MG40" s="20">
        <v>1</v>
      </c>
      <c r="MK40" s="20">
        <v>3.03</v>
      </c>
      <c r="ML40" s="20">
        <v>6</v>
      </c>
      <c r="MO40" s="20">
        <v>36</v>
      </c>
      <c r="MP40" s="20" t="s">
        <v>14</v>
      </c>
      <c r="MQ40" s="20" t="s">
        <v>5</v>
      </c>
      <c r="MR40" s="34">
        <v>0</v>
      </c>
      <c r="MS40" s="20">
        <v>2</v>
      </c>
      <c r="MT40" s="20">
        <v>1</v>
      </c>
      <c r="MU40" s="20" t="s">
        <v>125</v>
      </c>
      <c r="MV40" s="20" t="s">
        <v>151</v>
      </c>
      <c r="MW40" s="20">
        <v>18</v>
      </c>
      <c r="MX40" s="20">
        <v>5</v>
      </c>
      <c r="MY40" s="20">
        <v>8</v>
      </c>
      <c r="MZ40" s="20">
        <v>13</v>
      </c>
      <c r="NA40" s="20" t="s">
        <v>573</v>
      </c>
      <c r="NB40" s="33">
        <v>2</v>
      </c>
      <c r="NC40" s="20">
        <v>11</v>
      </c>
      <c r="ND40" s="20">
        <v>4</v>
      </c>
      <c r="NE40" s="20" t="s">
        <v>249</v>
      </c>
      <c r="NF40" s="20" t="s">
        <v>199</v>
      </c>
      <c r="NG40" s="20">
        <v>19</v>
      </c>
      <c r="NH40" s="20">
        <v>11</v>
      </c>
      <c r="NI40" s="20">
        <v>14</v>
      </c>
      <c r="NJ40" s="20">
        <v>11</v>
      </c>
      <c r="NK40" s="20" t="s">
        <v>574</v>
      </c>
      <c r="NM40" s="20">
        <v>1</v>
      </c>
      <c r="NN40" s="20">
        <v>0</v>
      </c>
      <c r="NO40" s="20">
        <v>1</v>
      </c>
      <c r="NP40" s="20">
        <v>1</v>
      </c>
      <c r="NQ40" s="20">
        <v>1</v>
      </c>
      <c r="NR40" s="20">
        <v>1</v>
      </c>
      <c r="NS40" s="20">
        <v>1</v>
      </c>
      <c r="NT40" s="20">
        <v>1</v>
      </c>
      <c r="NX40" s="20">
        <v>13.64</v>
      </c>
      <c r="NY40" s="20">
        <v>1</v>
      </c>
      <c r="OB40" s="20">
        <v>36</v>
      </c>
      <c r="OC40" s="20" t="s">
        <v>20</v>
      </c>
      <c r="OD40" s="20" t="s">
        <v>15</v>
      </c>
      <c r="OE40" s="34">
        <v>2</v>
      </c>
      <c r="OF40" s="20">
        <v>11</v>
      </c>
      <c r="OG40" s="20">
        <v>6</v>
      </c>
      <c r="OH40" s="20" t="s">
        <v>389</v>
      </c>
      <c r="OI40" s="20" t="s">
        <v>120</v>
      </c>
      <c r="OJ40" s="20">
        <v>14</v>
      </c>
      <c r="OK40" s="20">
        <v>11</v>
      </c>
      <c r="OL40" s="20">
        <v>3</v>
      </c>
      <c r="OM40" s="20">
        <v>9</v>
      </c>
      <c r="ON40" s="20" t="s">
        <v>545</v>
      </c>
      <c r="OO40" s="33">
        <v>3</v>
      </c>
      <c r="OP40" s="20">
        <v>14</v>
      </c>
      <c r="OQ40" s="20">
        <v>5</v>
      </c>
      <c r="OR40" s="20" t="s">
        <v>297</v>
      </c>
      <c r="OS40" s="20" t="s">
        <v>203</v>
      </c>
      <c r="OT40" s="20">
        <v>15</v>
      </c>
      <c r="OU40" s="20">
        <v>16</v>
      </c>
      <c r="OV40" s="20">
        <v>6</v>
      </c>
      <c r="OW40" s="20">
        <v>9</v>
      </c>
      <c r="OX40" s="20" t="s">
        <v>544</v>
      </c>
      <c r="OZ40" s="20">
        <v>0</v>
      </c>
      <c r="PA40" s="20">
        <v>0</v>
      </c>
      <c r="PB40" s="20">
        <v>0</v>
      </c>
      <c r="PC40" s="20">
        <v>1</v>
      </c>
      <c r="PD40" s="20">
        <v>1</v>
      </c>
      <c r="PE40" s="20">
        <v>1</v>
      </c>
      <c r="PF40" s="20">
        <v>0</v>
      </c>
      <c r="PG40" s="20">
        <v>0</v>
      </c>
      <c r="PK40" s="20">
        <v>18.829999999999998</v>
      </c>
      <c r="PL40" s="20">
        <v>1</v>
      </c>
      <c r="PO40" s="20">
        <v>36</v>
      </c>
      <c r="PP40" s="20" t="s">
        <v>17</v>
      </c>
      <c r="PQ40" s="20" t="s">
        <v>8</v>
      </c>
      <c r="PR40" s="34">
        <v>0</v>
      </c>
      <c r="PS40" s="20">
        <v>7</v>
      </c>
      <c r="PT40" s="20">
        <v>1</v>
      </c>
      <c r="PU40" s="20" t="s">
        <v>164</v>
      </c>
      <c r="PV40" s="20" t="s">
        <v>199</v>
      </c>
      <c r="PW40" s="20">
        <v>14</v>
      </c>
      <c r="PX40" s="20">
        <v>11</v>
      </c>
      <c r="PY40" s="20">
        <v>13</v>
      </c>
      <c r="PZ40" s="20">
        <v>13</v>
      </c>
      <c r="QA40" s="20" t="s">
        <v>206</v>
      </c>
      <c r="QB40" s="33">
        <v>2</v>
      </c>
      <c r="QC40" s="20">
        <v>8</v>
      </c>
      <c r="QD40" s="20">
        <v>3</v>
      </c>
      <c r="QE40" s="20" t="s">
        <v>153</v>
      </c>
      <c r="QF40" s="20" t="s">
        <v>168</v>
      </c>
      <c r="QG40" s="20">
        <v>21</v>
      </c>
      <c r="QH40" s="20">
        <v>7</v>
      </c>
      <c r="QI40" s="20">
        <v>9</v>
      </c>
      <c r="QJ40" s="20">
        <v>8</v>
      </c>
      <c r="QK40" s="20" t="s">
        <v>204</v>
      </c>
      <c r="QM40" s="20">
        <v>1</v>
      </c>
      <c r="QN40" s="20">
        <v>1</v>
      </c>
      <c r="QO40" s="20">
        <v>0</v>
      </c>
      <c r="QP40" s="20">
        <v>1</v>
      </c>
      <c r="QQ40" s="20">
        <v>0</v>
      </c>
      <c r="QR40" s="20">
        <v>0</v>
      </c>
      <c r="QS40" s="20">
        <v>1</v>
      </c>
      <c r="QT40" s="20">
        <v>0</v>
      </c>
      <c r="QX40" s="20">
        <v>23.21</v>
      </c>
      <c r="QY40" s="20">
        <v>7</v>
      </c>
      <c r="RB40" s="20">
        <v>36</v>
      </c>
      <c r="RC40" s="20" t="s">
        <v>18</v>
      </c>
      <c r="RD40" s="20" t="s">
        <v>11</v>
      </c>
      <c r="RE40" s="33">
        <v>1</v>
      </c>
      <c r="RF40" s="20">
        <v>12</v>
      </c>
      <c r="RG40" s="20">
        <v>7</v>
      </c>
      <c r="RH40" s="20" t="s">
        <v>405</v>
      </c>
      <c r="RI40" s="20" t="s">
        <v>203</v>
      </c>
      <c r="RJ40" s="20">
        <v>26</v>
      </c>
      <c r="RK40" s="20">
        <v>16</v>
      </c>
      <c r="RL40" s="20">
        <v>11</v>
      </c>
      <c r="RM40" s="20">
        <v>8</v>
      </c>
      <c r="RN40" s="20" t="s">
        <v>333</v>
      </c>
      <c r="RO40" s="34">
        <v>0</v>
      </c>
      <c r="RP40" s="20">
        <v>7</v>
      </c>
      <c r="RQ40" s="20">
        <v>0</v>
      </c>
      <c r="RR40" s="20" t="s">
        <v>116</v>
      </c>
      <c r="RS40" s="20" t="s">
        <v>129</v>
      </c>
      <c r="RT40" s="20">
        <v>17</v>
      </c>
      <c r="RU40" s="20">
        <v>21</v>
      </c>
      <c r="RV40" s="20">
        <v>7</v>
      </c>
      <c r="RW40" s="20">
        <v>18</v>
      </c>
      <c r="RX40" s="20" t="s">
        <v>332</v>
      </c>
      <c r="RZ40" s="20">
        <v>1</v>
      </c>
      <c r="SA40" s="20">
        <v>1</v>
      </c>
      <c r="SB40" s="20">
        <v>0</v>
      </c>
      <c r="SC40" s="20">
        <v>1</v>
      </c>
      <c r="SD40" s="20">
        <v>0</v>
      </c>
      <c r="SE40" s="20">
        <v>1</v>
      </c>
      <c r="SF40" s="20">
        <v>1</v>
      </c>
      <c r="SG40" s="20">
        <v>0</v>
      </c>
      <c r="SK40" s="20">
        <v>58.33</v>
      </c>
      <c r="SL40" s="20">
        <v>9</v>
      </c>
      <c r="SO40" s="20">
        <v>36</v>
      </c>
      <c r="SP40" s="20" t="s">
        <v>34</v>
      </c>
      <c r="SQ40" s="20" t="s">
        <v>19</v>
      </c>
      <c r="SR40" s="34">
        <v>0</v>
      </c>
      <c r="SS40" s="20">
        <v>12</v>
      </c>
      <c r="ST40" s="20">
        <v>6</v>
      </c>
      <c r="SU40" s="20" t="s">
        <v>125</v>
      </c>
      <c r="SV40" s="20" t="s">
        <v>154</v>
      </c>
      <c r="SW40" s="20">
        <v>14</v>
      </c>
      <c r="SX40" s="20">
        <v>19</v>
      </c>
      <c r="SY40" s="20">
        <v>11</v>
      </c>
      <c r="SZ40" s="20">
        <v>7</v>
      </c>
      <c r="TA40" s="20" t="s">
        <v>414</v>
      </c>
      <c r="TB40" s="33">
        <v>2</v>
      </c>
      <c r="TC40" s="20">
        <v>3</v>
      </c>
      <c r="TD40" s="20">
        <v>3</v>
      </c>
      <c r="TE40" s="20" t="s">
        <v>247</v>
      </c>
      <c r="TF40" s="20" t="s">
        <v>147</v>
      </c>
      <c r="TG40" s="20">
        <v>16</v>
      </c>
      <c r="TH40" s="20">
        <v>9</v>
      </c>
      <c r="TI40" s="20">
        <v>5</v>
      </c>
      <c r="TJ40" s="20">
        <v>3</v>
      </c>
      <c r="TK40" s="20" t="s">
        <v>413</v>
      </c>
      <c r="TM40" s="20">
        <v>0</v>
      </c>
      <c r="TN40" s="20">
        <v>1</v>
      </c>
      <c r="TO40" s="20">
        <v>0</v>
      </c>
      <c r="TP40" s="20">
        <v>1</v>
      </c>
      <c r="TQ40" s="20">
        <v>0</v>
      </c>
      <c r="TR40" s="20">
        <v>0</v>
      </c>
      <c r="TS40" s="20">
        <v>1</v>
      </c>
      <c r="TT40" s="20">
        <v>0</v>
      </c>
      <c r="TX40" s="20">
        <v>50</v>
      </c>
      <c r="TY40" s="20">
        <v>2</v>
      </c>
      <c r="UB40" s="20">
        <v>36</v>
      </c>
      <c r="UC40" s="20" t="s">
        <v>16</v>
      </c>
      <c r="UD40" s="20" t="s">
        <v>22</v>
      </c>
      <c r="UE40" s="34">
        <v>0</v>
      </c>
      <c r="UF40" s="20">
        <v>15</v>
      </c>
      <c r="UG40" s="20">
        <v>5</v>
      </c>
      <c r="UH40" s="20" t="s">
        <v>209</v>
      </c>
      <c r="UI40" s="20" t="s">
        <v>176</v>
      </c>
      <c r="UJ40" s="20">
        <v>28</v>
      </c>
      <c r="UK40" s="20">
        <v>14</v>
      </c>
      <c r="UL40" s="20">
        <v>9</v>
      </c>
      <c r="UM40" s="20">
        <v>5</v>
      </c>
      <c r="UN40" s="20" t="s">
        <v>567</v>
      </c>
      <c r="UO40" s="33">
        <v>2</v>
      </c>
      <c r="UP40" s="20">
        <v>11</v>
      </c>
      <c r="UQ40" s="20">
        <v>5</v>
      </c>
      <c r="UR40" s="20" t="s">
        <v>358</v>
      </c>
      <c r="US40" s="20" t="s">
        <v>203</v>
      </c>
      <c r="UT40" s="20">
        <v>12</v>
      </c>
      <c r="UU40" s="20">
        <v>15</v>
      </c>
      <c r="UV40" s="20">
        <v>11</v>
      </c>
      <c r="UW40" s="20">
        <v>14</v>
      </c>
      <c r="UX40" s="20" t="s">
        <v>566</v>
      </c>
      <c r="UZ40" s="20">
        <v>1</v>
      </c>
      <c r="VA40" s="20">
        <v>1</v>
      </c>
      <c r="VB40" s="20">
        <v>0</v>
      </c>
      <c r="VC40" s="20">
        <v>0</v>
      </c>
      <c r="VD40" s="20">
        <v>1</v>
      </c>
      <c r="VE40" s="20">
        <v>1</v>
      </c>
      <c r="VF40" s="20">
        <v>0</v>
      </c>
      <c r="VG40" s="20">
        <v>0</v>
      </c>
      <c r="VK40" s="20">
        <v>12.12</v>
      </c>
      <c r="VL40" s="20">
        <v>16</v>
      </c>
      <c r="VO40" s="20">
        <v>36</v>
      </c>
      <c r="VP40" s="20" t="s">
        <v>20</v>
      </c>
      <c r="VQ40" s="20" t="s">
        <v>15</v>
      </c>
      <c r="VR40" s="33">
        <v>3</v>
      </c>
      <c r="VS40" s="20">
        <v>14</v>
      </c>
      <c r="VT40" s="20">
        <v>5</v>
      </c>
      <c r="VU40" s="20" t="s">
        <v>297</v>
      </c>
      <c r="VV40" s="20" t="s">
        <v>203</v>
      </c>
      <c r="VW40" s="20">
        <v>15</v>
      </c>
      <c r="VX40" s="20">
        <v>16</v>
      </c>
      <c r="VY40" s="20">
        <v>6</v>
      </c>
      <c r="VZ40" s="20">
        <v>9</v>
      </c>
      <c r="WA40" s="20" t="s">
        <v>544</v>
      </c>
      <c r="WB40" s="34">
        <v>2</v>
      </c>
      <c r="WC40" s="20">
        <v>11</v>
      </c>
      <c r="WD40" s="20">
        <v>6</v>
      </c>
      <c r="WE40" s="20" t="s">
        <v>389</v>
      </c>
      <c r="WF40" s="20" t="s">
        <v>120</v>
      </c>
      <c r="WG40" s="20">
        <v>14</v>
      </c>
      <c r="WH40" s="20">
        <v>11</v>
      </c>
      <c r="WI40" s="20">
        <v>3</v>
      </c>
      <c r="WJ40" s="20">
        <v>9</v>
      </c>
      <c r="WK40" s="20" t="s">
        <v>545</v>
      </c>
      <c r="WM40" s="20">
        <v>0</v>
      </c>
      <c r="WN40" s="20">
        <v>0</v>
      </c>
      <c r="WO40" s="20">
        <v>0</v>
      </c>
      <c r="WP40" s="20">
        <v>1</v>
      </c>
      <c r="WQ40" s="20">
        <v>1</v>
      </c>
      <c r="WR40" s="20">
        <v>1</v>
      </c>
      <c r="WS40" s="20">
        <v>0</v>
      </c>
      <c r="WT40" s="20">
        <v>0</v>
      </c>
      <c r="WX40" s="20">
        <v>18.829999999999998</v>
      </c>
      <c r="WY40" s="20">
        <v>1</v>
      </c>
      <c r="XB40" s="20">
        <v>36</v>
      </c>
      <c r="XC40" s="20" t="s">
        <v>34</v>
      </c>
      <c r="XD40" s="20" t="s">
        <v>19</v>
      </c>
      <c r="XE40" s="33">
        <v>2</v>
      </c>
      <c r="XF40" s="20">
        <v>3</v>
      </c>
      <c r="XG40" s="20">
        <v>3</v>
      </c>
      <c r="XH40" s="20" t="s">
        <v>247</v>
      </c>
      <c r="XI40" s="20" t="s">
        <v>147</v>
      </c>
      <c r="XJ40" s="20">
        <v>16</v>
      </c>
      <c r="XK40" s="20">
        <v>9</v>
      </c>
      <c r="XL40" s="20">
        <v>5</v>
      </c>
      <c r="XM40" s="20">
        <v>3</v>
      </c>
      <c r="XN40" s="20" t="s">
        <v>413</v>
      </c>
      <c r="XO40" s="34">
        <v>0</v>
      </c>
      <c r="XP40" s="20">
        <v>12</v>
      </c>
      <c r="XQ40" s="20">
        <v>6</v>
      </c>
      <c r="XR40" s="20" t="s">
        <v>125</v>
      </c>
      <c r="XS40" s="20" t="s">
        <v>154</v>
      </c>
      <c r="XT40" s="20">
        <v>14</v>
      </c>
      <c r="XU40" s="20">
        <v>19</v>
      </c>
      <c r="XV40" s="20">
        <v>11</v>
      </c>
      <c r="XW40" s="20">
        <v>7</v>
      </c>
      <c r="XX40" s="20" t="s">
        <v>414</v>
      </c>
      <c r="XZ40" s="20">
        <v>0</v>
      </c>
      <c r="YA40" s="20">
        <v>1</v>
      </c>
      <c r="YB40" s="20">
        <v>0</v>
      </c>
      <c r="YC40" s="20">
        <v>1</v>
      </c>
      <c r="YD40" s="20">
        <v>0</v>
      </c>
      <c r="YE40" s="20">
        <v>0</v>
      </c>
      <c r="YF40" s="20">
        <v>1</v>
      </c>
      <c r="YG40" s="20">
        <v>0</v>
      </c>
      <c r="YK40" s="20">
        <v>50</v>
      </c>
      <c r="YL40" s="20">
        <v>2</v>
      </c>
      <c r="YO40" s="20">
        <v>36</v>
      </c>
      <c r="YP40" s="20" t="s">
        <v>7</v>
      </c>
      <c r="YQ40" s="20" t="s">
        <v>21</v>
      </c>
      <c r="YR40" s="34">
        <v>0</v>
      </c>
      <c r="YS40" s="20">
        <v>13</v>
      </c>
      <c r="YT40" s="20">
        <v>2</v>
      </c>
      <c r="YU40" s="20" t="s">
        <v>205</v>
      </c>
      <c r="YV40" s="20" t="s">
        <v>154</v>
      </c>
      <c r="YW40" s="20">
        <v>20</v>
      </c>
      <c r="YX40" s="20">
        <v>21</v>
      </c>
      <c r="YY40" s="20">
        <v>6</v>
      </c>
      <c r="YZ40" s="20">
        <v>16</v>
      </c>
      <c r="ZA40" s="20" t="s">
        <v>375</v>
      </c>
      <c r="ZB40" s="33">
        <v>1</v>
      </c>
      <c r="ZC40" s="20">
        <v>12</v>
      </c>
      <c r="ZD40" s="20">
        <v>6</v>
      </c>
      <c r="ZE40" s="20" t="s">
        <v>125</v>
      </c>
      <c r="ZF40" s="20" t="s">
        <v>126</v>
      </c>
      <c r="ZG40" s="20">
        <v>26</v>
      </c>
      <c r="ZH40" s="20">
        <v>18</v>
      </c>
      <c r="ZI40" s="20">
        <v>7</v>
      </c>
      <c r="ZJ40" s="20">
        <v>8</v>
      </c>
      <c r="ZK40" s="20" t="s">
        <v>374</v>
      </c>
      <c r="ZM40" s="20">
        <v>1</v>
      </c>
      <c r="ZN40" s="20">
        <v>1</v>
      </c>
      <c r="ZO40" s="20">
        <v>0</v>
      </c>
      <c r="ZP40" s="20">
        <v>1</v>
      </c>
      <c r="ZQ40" s="20">
        <v>0</v>
      </c>
      <c r="ZR40" s="20">
        <v>1</v>
      </c>
      <c r="ZS40" s="20">
        <v>1</v>
      </c>
      <c r="ZT40" s="20">
        <v>0</v>
      </c>
      <c r="ZX40" s="20">
        <v>34.619999999999997</v>
      </c>
      <c r="ZY40" s="20">
        <v>6</v>
      </c>
      <c r="AAB40" s="20">
        <v>36</v>
      </c>
      <c r="AAC40" s="20" t="s">
        <v>16</v>
      </c>
      <c r="AAD40" s="20" t="s">
        <v>22</v>
      </c>
      <c r="AAE40" s="33">
        <v>2</v>
      </c>
      <c r="AAF40" s="20">
        <v>11</v>
      </c>
      <c r="AAG40" s="20">
        <v>5</v>
      </c>
      <c r="AAH40" s="20" t="s">
        <v>358</v>
      </c>
      <c r="AAI40" s="20" t="s">
        <v>203</v>
      </c>
      <c r="AAJ40" s="20">
        <v>12</v>
      </c>
      <c r="AAK40" s="20">
        <v>15</v>
      </c>
      <c r="AAL40" s="20">
        <v>11</v>
      </c>
      <c r="AAM40" s="20">
        <v>14</v>
      </c>
      <c r="AAN40" s="20" t="s">
        <v>566</v>
      </c>
      <c r="AAO40" s="34">
        <v>0</v>
      </c>
      <c r="AAP40" s="20">
        <v>15</v>
      </c>
      <c r="AAQ40" s="20">
        <v>5</v>
      </c>
      <c r="AAR40" s="20" t="s">
        <v>209</v>
      </c>
      <c r="AAS40" s="20" t="s">
        <v>176</v>
      </c>
      <c r="AAT40" s="20">
        <v>28</v>
      </c>
      <c r="AAU40" s="20">
        <v>14</v>
      </c>
      <c r="AAV40" s="20">
        <v>9</v>
      </c>
      <c r="AAW40" s="20">
        <v>5</v>
      </c>
      <c r="AAX40" s="20" t="s">
        <v>567</v>
      </c>
      <c r="AAZ40" s="20">
        <v>1</v>
      </c>
      <c r="ABA40" s="20">
        <v>1</v>
      </c>
      <c r="ABB40" s="20">
        <v>0</v>
      </c>
      <c r="ABC40" s="20">
        <v>0</v>
      </c>
      <c r="ABD40" s="20">
        <v>1</v>
      </c>
      <c r="ABE40" s="20">
        <v>1</v>
      </c>
      <c r="ABF40" s="20">
        <v>0</v>
      </c>
      <c r="ABG40" s="20">
        <v>0</v>
      </c>
      <c r="ABK40" s="20">
        <v>12.12</v>
      </c>
      <c r="ABL40" s="20">
        <v>16</v>
      </c>
      <c r="ABO40" s="20">
        <v>36</v>
      </c>
      <c r="ABP40" s="20" t="s">
        <v>12</v>
      </c>
      <c r="ABQ40" s="20" t="s">
        <v>23</v>
      </c>
      <c r="ABR40" s="34">
        <v>1</v>
      </c>
      <c r="ABS40" s="20">
        <v>11</v>
      </c>
      <c r="ABT40" s="20">
        <v>5</v>
      </c>
      <c r="ABU40" s="20" t="s">
        <v>358</v>
      </c>
      <c r="ABV40" s="20" t="s">
        <v>151</v>
      </c>
      <c r="ABW40" s="20">
        <v>17</v>
      </c>
      <c r="ABX40" s="20">
        <v>20</v>
      </c>
      <c r="ABY40" s="20">
        <v>5</v>
      </c>
      <c r="ABZ40" s="20">
        <v>8</v>
      </c>
      <c r="ACA40" s="20" t="s">
        <v>325</v>
      </c>
      <c r="ACB40" s="33">
        <v>3</v>
      </c>
      <c r="ACC40" s="20">
        <v>22</v>
      </c>
      <c r="ACD40" s="20">
        <v>11</v>
      </c>
      <c r="ACE40" s="20" t="s">
        <v>125</v>
      </c>
      <c r="ACF40" s="20" t="s">
        <v>123</v>
      </c>
      <c r="ACG40" s="20">
        <v>17</v>
      </c>
      <c r="ACH40" s="20">
        <v>25</v>
      </c>
      <c r="ACI40" s="20">
        <v>8</v>
      </c>
      <c r="ACJ40" s="20">
        <v>14</v>
      </c>
      <c r="ACK40" s="20" t="s">
        <v>344</v>
      </c>
      <c r="ACM40" s="20">
        <v>1</v>
      </c>
      <c r="ACN40" s="20">
        <v>1</v>
      </c>
      <c r="ACO40" s="20">
        <v>1</v>
      </c>
      <c r="ACP40" s="20">
        <v>0</v>
      </c>
      <c r="ACQ40" s="20">
        <v>1</v>
      </c>
      <c r="ACR40" s="20">
        <v>1</v>
      </c>
      <c r="ACS40" s="20">
        <v>0</v>
      </c>
      <c r="ACT40" s="20">
        <v>1</v>
      </c>
      <c r="ACX40" s="20">
        <v>4.55</v>
      </c>
      <c r="ACY40" s="20">
        <v>0</v>
      </c>
    </row>
    <row r="41" spans="1:781" x14ac:dyDescent="0.3">
      <c r="A41" s="27">
        <f>E41/G41</f>
        <v>0.7142857142857143</v>
      </c>
      <c r="B41" s="20">
        <v>37</v>
      </c>
      <c r="C41" s="20" t="s">
        <v>5</v>
      </c>
      <c r="D41" s="20" t="s">
        <v>18</v>
      </c>
      <c r="E41" s="33">
        <v>5</v>
      </c>
      <c r="F41" s="20">
        <v>13</v>
      </c>
      <c r="G41" s="30">
        <v>7</v>
      </c>
      <c r="H41" s="27">
        <v>0.53849999999999998</v>
      </c>
      <c r="I41" s="28">
        <v>0.87</v>
      </c>
      <c r="J41" s="20">
        <v>14</v>
      </c>
      <c r="K41" s="20">
        <v>8</v>
      </c>
      <c r="L41" s="20">
        <v>10</v>
      </c>
      <c r="M41" s="30">
        <v>8</v>
      </c>
      <c r="N41" s="27">
        <v>0.67500000000000004</v>
      </c>
      <c r="O41" s="34">
        <v>0</v>
      </c>
      <c r="P41" s="20">
        <v>4</v>
      </c>
      <c r="Q41" s="30">
        <v>2</v>
      </c>
      <c r="R41" s="27">
        <v>0.5</v>
      </c>
      <c r="S41" s="28">
        <v>0.69</v>
      </c>
      <c r="T41" s="20">
        <v>26</v>
      </c>
      <c r="U41" s="20">
        <v>7</v>
      </c>
      <c r="V41" s="20">
        <v>7</v>
      </c>
      <c r="W41" s="30">
        <v>9</v>
      </c>
      <c r="X41" s="27">
        <v>0.32500000000000001</v>
      </c>
      <c r="Z41" s="20">
        <v>1</v>
      </c>
      <c r="AA41" s="20">
        <v>1</v>
      </c>
      <c r="AB41" s="20">
        <v>1</v>
      </c>
      <c r="AC41" s="20">
        <v>0</v>
      </c>
      <c r="AD41" s="20">
        <v>1</v>
      </c>
      <c r="AE41" s="20">
        <v>1</v>
      </c>
      <c r="AF41" s="20">
        <v>1</v>
      </c>
      <c r="AG41" s="20">
        <v>1</v>
      </c>
      <c r="AK41" s="20">
        <v>3.85</v>
      </c>
      <c r="AL41" s="20">
        <v>12</v>
      </c>
      <c r="AM41" s="20"/>
      <c r="AN41" s="20"/>
      <c r="AO41" s="20">
        <v>37</v>
      </c>
      <c r="AP41" s="20" t="s">
        <v>6</v>
      </c>
      <c r="AQ41" s="20" t="s">
        <v>17</v>
      </c>
      <c r="AR41" s="33">
        <v>3</v>
      </c>
      <c r="AS41" s="30">
        <v>15</v>
      </c>
      <c r="AT41" s="30">
        <v>8</v>
      </c>
      <c r="AU41" s="27">
        <v>0.5333</v>
      </c>
      <c r="AV41" s="28">
        <v>0.85</v>
      </c>
      <c r="AW41" s="20">
        <v>26</v>
      </c>
      <c r="AX41" s="20">
        <v>6</v>
      </c>
      <c r="AY41" s="30">
        <v>8</v>
      </c>
      <c r="AZ41" s="20">
        <v>9</v>
      </c>
      <c r="BA41" s="28">
        <v>0.47</v>
      </c>
      <c r="BB41" s="34">
        <v>2</v>
      </c>
      <c r="BC41" s="20">
        <v>17</v>
      </c>
      <c r="BD41" s="20">
        <v>8</v>
      </c>
      <c r="BE41" s="20" t="s">
        <v>474</v>
      </c>
      <c r="BF41" s="20" t="s">
        <v>252</v>
      </c>
      <c r="BG41" s="20">
        <v>13</v>
      </c>
      <c r="BH41" s="20">
        <v>6</v>
      </c>
      <c r="BI41" s="20">
        <v>12</v>
      </c>
      <c r="BJ41" s="20">
        <v>16</v>
      </c>
      <c r="BK41" s="20" t="s">
        <v>379</v>
      </c>
      <c r="BM41" s="20">
        <v>0</v>
      </c>
      <c r="BN41" s="20">
        <v>1</v>
      </c>
      <c r="BO41" s="20">
        <v>0</v>
      </c>
      <c r="BP41" s="20">
        <v>1</v>
      </c>
      <c r="BQ41" s="20">
        <v>0</v>
      </c>
      <c r="BR41" s="20">
        <v>0</v>
      </c>
      <c r="BS41" s="20">
        <v>1</v>
      </c>
      <c r="BT41" s="20">
        <v>0</v>
      </c>
      <c r="BX41" s="20">
        <v>6.27</v>
      </c>
      <c r="BY41" s="20">
        <v>13</v>
      </c>
      <c r="BZ41" s="20"/>
      <c r="CA41" s="20"/>
      <c r="CB41" s="20">
        <v>37</v>
      </c>
      <c r="CC41" s="20" t="s">
        <v>23</v>
      </c>
      <c r="CD41" s="20" t="s">
        <v>7</v>
      </c>
      <c r="CE41" s="34">
        <v>1</v>
      </c>
      <c r="CF41" s="20">
        <v>17</v>
      </c>
      <c r="CG41" s="20">
        <v>5</v>
      </c>
      <c r="CH41" s="20" t="s">
        <v>269</v>
      </c>
      <c r="CI41" s="20" t="s">
        <v>134</v>
      </c>
      <c r="CJ41" s="20">
        <v>21</v>
      </c>
      <c r="CK41" s="20">
        <v>6</v>
      </c>
      <c r="CL41" s="20">
        <v>12</v>
      </c>
      <c r="CM41" s="20">
        <v>6</v>
      </c>
      <c r="CN41" s="20" t="s">
        <v>413</v>
      </c>
      <c r="CO41" s="33">
        <v>2</v>
      </c>
      <c r="CP41" s="20">
        <v>11</v>
      </c>
      <c r="CQ41" s="20">
        <v>5</v>
      </c>
      <c r="CR41" s="20" t="s">
        <v>358</v>
      </c>
      <c r="CS41" s="20" t="s">
        <v>134</v>
      </c>
      <c r="CT41" s="20">
        <v>11</v>
      </c>
      <c r="CU41" s="20">
        <v>15</v>
      </c>
      <c r="CV41" s="20">
        <v>11</v>
      </c>
      <c r="CW41" s="20">
        <v>14</v>
      </c>
      <c r="CX41" s="20" t="s">
        <v>414</v>
      </c>
      <c r="CZ41" s="20">
        <v>0</v>
      </c>
      <c r="DA41" s="20">
        <v>1</v>
      </c>
      <c r="DB41" s="20">
        <v>0</v>
      </c>
      <c r="DC41" s="20">
        <v>0</v>
      </c>
      <c r="DD41" s="20">
        <v>1</v>
      </c>
      <c r="DE41" s="20">
        <v>0</v>
      </c>
      <c r="DF41" s="20">
        <v>0</v>
      </c>
      <c r="DG41" s="20">
        <v>1</v>
      </c>
      <c r="DK41" s="20">
        <v>16.04</v>
      </c>
      <c r="DL41" s="20">
        <v>10</v>
      </c>
      <c r="DO41" s="20">
        <v>37</v>
      </c>
      <c r="DP41" s="20" t="s">
        <v>8</v>
      </c>
      <c r="DQ41" s="20" t="s">
        <v>16</v>
      </c>
      <c r="DR41" s="34">
        <v>0</v>
      </c>
      <c r="DS41" s="20">
        <v>10</v>
      </c>
      <c r="DT41" s="20">
        <v>4</v>
      </c>
      <c r="DU41" s="20" t="s">
        <v>133</v>
      </c>
      <c r="DV41" s="20" t="s">
        <v>252</v>
      </c>
      <c r="DW41" s="20">
        <v>8</v>
      </c>
      <c r="DX41" s="20">
        <v>11</v>
      </c>
      <c r="DY41" s="20">
        <v>12</v>
      </c>
      <c r="DZ41" s="20">
        <v>7</v>
      </c>
      <c r="EA41" s="20" t="s">
        <v>282</v>
      </c>
      <c r="EB41" s="33">
        <v>2</v>
      </c>
      <c r="EC41" s="20">
        <v>8</v>
      </c>
      <c r="ED41" s="20">
        <v>4</v>
      </c>
      <c r="EE41" s="20" t="s">
        <v>125</v>
      </c>
      <c r="EF41" s="20" t="s">
        <v>176</v>
      </c>
      <c r="EG41" s="20">
        <v>18</v>
      </c>
      <c r="EH41" s="20">
        <v>5</v>
      </c>
      <c r="EI41" s="20">
        <v>5</v>
      </c>
      <c r="EJ41" s="20">
        <v>5</v>
      </c>
      <c r="EK41" s="20" t="s">
        <v>284</v>
      </c>
      <c r="EM41" s="20">
        <v>1</v>
      </c>
      <c r="EN41" s="20">
        <v>1</v>
      </c>
      <c r="EO41" s="20">
        <v>0</v>
      </c>
      <c r="EP41" s="20">
        <v>1</v>
      </c>
      <c r="EQ41" s="20">
        <v>0</v>
      </c>
      <c r="ER41" s="20">
        <v>0</v>
      </c>
      <c r="ES41" s="20">
        <v>1</v>
      </c>
      <c r="ET41" s="20">
        <v>0</v>
      </c>
      <c r="EX41" s="20">
        <v>10</v>
      </c>
      <c r="EY41" s="20">
        <v>10</v>
      </c>
      <c r="FB41" s="20">
        <v>37</v>
      </c>
      <c r="FC41" s="20" t="s">
        <v>15</v>
      </c>
      <c r="FD41" s="20" t="s">
        <v>9</v>
      </c>
      <c r="FE41" s="32">
        <v>0</v>
      </c>
      <c r="FF41" s="20">
        <v>9</v>
      </c>
      <c r="FG41" s="20">
        <v>3</v>
      </c>
      <c r="FH41" s="20" t="s">
        <v>209</v>
      </c>
      <c r="FI41" s="20" t="s">
        <v>176</v>
      </c>
      <c r="FJ41" s="20">
        <v>24</v>
      </c>
      <c r="FK41" s="20">
        <v>10</v>
      </c>
      <c r="FL41" s="20">
        <v>8</v>
      </c>
      <c r="FM41" s="20">
        <v>11</v>
      </c>
      <c r="FN41" s="20" t="s">
        <v>529</v>
      </c>
      <c r="FO41" s="32">
        <v>0</v>
      </c>
      <c r="FP41" s="20">
        <v>4</v>
      </c>
      <c r="FQ41" s="20">
        <v>2</v>
      </c>
      <c r="FR41" s="20" t="s">
        <v>125</v>
      </c>
      <c r="FS41" s="20" t="s">
        <v>258</v>
      </c>
      <c r="FT41" s="20">
        <v>19</v>
      </c>
      <c r="FU41" s="20">
        <v>11</v>
      </c>
      <c r="FV41" s="20">
        <v>7</v>
      </c>
      <c r="FW41" s="20">
        <v>16</v>
      </c>
      <c r="FX41" s="20" t="s">
        <v>530</v>
      </c>
      <c r="FZ41" s="32">
        <v>1</v>
      </c>
      <c r="GA41" s="32">
        <v>0</v>
      </c>
      <c r="GB41" s="32">
        <v>0</v>
      </c>
      <c r="GC41" s="32">
        <v>1</v>
      </c>
      <c r="GD41" s="32">
        <v>0</v>
      </c>
      <c r="GE41" s="32">
        <v>1</v>
      </c>
      <c r="GF41" s="32">
        <v>1</v>
      </c>
      <c r="GG41" s="32">
        <v>0</v>
      </c>
      <c r="GK41" s="32">
        <v>16.670000000000002</v>
      </c>
      <c r="GL41" s="32">
        <v>5</v>
      </c>
      <c r="GO41" s="20">
        <v>37</v>
      </c>
      <c r="GP41" s="20" t="s">
        <v>10</v>
      </c>
      <c r="GQ41" s="20" t="s">
        <v>12</v>
      </c>
      <c r="GR41" s="33">
        <v>1</v>
      </c>
      <c r="GS41" s="20">
        <v>12</v>
      </c>
      <c r="GT41" s="20">
        <v>3</v>
      </c>
      <c r="GU41" s="20" t="s">
        <v>131</v>
      </c>
      <c r="GV41" s="20" t="s">
        <v>129</v>
      </c>
      <c r="GW41" s="20">
        <v>20</v>
      </c>
      <c r="GX41" s="20">
        <v>19</v>
      </c>
      <c r="GY41" s="20">
        <v>3</v>
      </c>
      <c r="GZ41" s="20">
        <v>11</v>
      </c>
      <c r="HA41" s="20" t="s">
        <v>385</v>
      </c>
      <c r="HB41" s="34">
        <v>0</v>
      </c>
      <c r="HC41" s="20">
        <v>13</v>
      </c>
      <c r="HD41" s="20">
        <v>5</v>
      </c>
      <c r="HE41" s="20" t="s">
        <v>202</v>
      </c>
      <c r="HF41" s="20" t="s">
        <v>142</v>
      </c>
      <c r="HG41" s="20">
        <v>18</v>
      </c>
      <c r="HH41" s="20">
        <v>17</v>
      </c>
      <c r="HI41" s="20">
        <v>5</v>
      </c>
      <c r="HJ41" s="20">
        <v>14</v>
      </c>
      <c r="HK41" s="20" t="s">
        <v>384</v>
      </c>
      <c r="HM41" s="20">
        <v>0</v>
      </c>
      <c r="HN41" s="20">
        <v>0</v>
      </c>
      <c r="HO41" s="20">
        <v>1</v>
      </c>
      <c r="HP41" s="20">
        <v>1</v>
      </c>
      <c r="HQ41" s="20">
        <v>1</v>
      </c>
      <c r="HR41" s="20">
        <v>0</v>
      </c>
      <c r="HS41" s="20">
        <v>1</v>
      </c>
      <c r="HT41" s="20">
        <v>1</v>
      </c>
      <c r="HX41" s="20">
        <v>13.46</v>
      </c>
      <c r="HY41" s="20">
        <v>2</v>
      </c>
      <c r="IB41" s="20">
        <v>37</v>
      </c>
      <c r="IC41" s="20" t="s">
        <v>11</v>
      </c>
      <c r="ID41" s="20" t="s">
        <v>20</v>
      </c>
      <c r="IE41" s="34">
        <v>1</v>
      </c>
      <c r="IF41" s="20">
        <v>12</v>
      </c>
      <c r="IG41" s="20">
        <v>6</v>
      </c>
      <c r="IH41" s="20" t="s">
        <v>125</v>
      </c>
      <c r="II41" s="20" t="s">
        <v>134</v>
      </c>
      <c r="IJ41" s="20">
        <v>20</v>
      </c>
      <c r="IK41" s="20">
        <v>14</v>
      </c>
      <c r="IL41" s="20">
        <v>9</v>
      </c>
      <c r="IM41" s="20">
        <v>14</v>
      </c>
      <c r="IN41" s="20" t="s">
        <v>459</v>
      </c>
      <c r="IO41" s="33">
        <v>4</v>
      </c>
      <c r="IP41" s="20">
        <v>11</v>
      </c>
      <c r="IQ41" s="20">
        <v>7</v>
      </c>
      <c r="IR41" s="20" t="s">
        <v>178</v>
      </c>
      <c r="IS41" s="20" t="s">
        <v>203</v>
      </c>
      <c r="IT41" s="20">
        <v>19</v>
      </c>
      <c r="IU41" s="20">
        <v>11</v>
      </c>
      <c r="IV41" s="20">
        <v>11</v>
      </c>
      <c r="IW41" s="20">
        <v>11</v>
      </c>
      <c r="IX41" s="20" t="s">
        <v>460</v>
      </c>
      <c r="IZ41" s="20">
        <v>1</v>
      </c>
      <c r="JA41" s="20">
        <v>1</v>
      </c>
      <c r="JB41" s="20">
        <v>0</v>
      </c>
      <c r="JC41" s="20">
        <v>0</v>
      </c>
      <c r="JD41" s="20">
        <v>0</v>
      </c>
      <c r="JE41" s="20">
        <v>1</v>
      </c>
      <c r="JF41" s="20">
        <v>1</v>
      </c>
      <c r="JG41" s="20">
        <v>0</v>
      </c>
      <c r="JK41" s="20">
        <v>13.64</v>
      </c>
      <c r="JL41" s="20">
        <v>1</v>
      </c>
      <c r="JO41" s="20">
        <v>37</v>
      </c>
      <c r="JP41" s="20" t="s">
        <v>10</v>
      </c>
      <c r="JQ41" s="20" t="s">
        <v>12</v>
      </c>
      <c r="JR41" s="34">
        <v>0</v>
      </c>
      <c r="JS41" s="20">
        <v>13</v>
      </c>
      <c r="JT41" s="20">
        <v>5</v>
      </c>
      <c r="JU41" s="20" t="s">
        <v>202</v>
      </c>
      <c r="JV41" s="20" t="s">
        <v>142</v>
      </c>
      <c r="JW41" s="20">
        <v>18</v>
      </c>
      <c r="JX41" s="20">
        <v>17</v>
      </c>
      <c r="JY41" s="20">
        <v>5</v>
      </c>
      <c r="JZ41" s="20">
        <v>14</v>
      </c>
      <c r="KA41" s="20" t="s">
        <v>384</v>
      </c>
      <c r="KB41" s="33">
        <v>1</v>
      </c>
      <c r="KC41" s="20">
        <v>12</v>
      </c>
      <c r="KD41" s="20">
        <v>3</v>
      </c>
      <c r="KE41" s="20" t="s">
        <v>131</v>
      </c>
      <c r="KF41" s="20" t="s">
        <v>129</v>
      </c>
      <c r="KG41" s="20">
        <v>20</v>
      </c>
      <c r="KH41" s="20">
        <v>19</v>
      </c>
      <c r="KI41" s="20">
        <v>3</v>
      </c>
      <c r="KJ41" s="20">
        <v>11</v>
      </c>
      <c r="KK41" s="20" t="s">
        <v>385</v>
      </c>
      <c r="KM41" s="20">
        <v>0</v>
      </c>
      <c r="KN41" s="20">
        <v>0</v>
      </c>
      <c r="KO41" s="20">
        <v>1</v>
      </c>
      <c r="KP41" s="20">
        <v>1</v>
      </c>
      <c r="KQ41" s="20">
        <v>1</v>
      </c>
      <c r="KR41" s="20">
        <v>0</v>
      </c>
      <c r="KS41" s="20">
        <v>1</v>
      </c>
      <c r="KT41" s="20">
        <v>1</v>
      </c>
      <c r="KX41" s="20">
        <v>13.46</v>
      </c>
      <c r="KY41" s="20">
        <v>2</v>
      </c>
      <c r="LB41" s="20">
        <v>37</v>
      </c>
      <c r="LC41" s="20" t="s">
        <v>13</v>
      </c>
      <c r="LD41" s="20" t="s">
        <v>21</v>
      </c>
      <c r="LE41" s="33">
        <v>2</v>
      </c>
      <c r="LF41" s="20">
        <v>12</v>
      </c>
      <c r="LG41" s="20">
        <v>6</v>
      </c>
      <c r="LH41" s="20" t="s">
        <v>125</v>
      </c>
      <c r="LI41" s="20" t="s">
        <v>156</v>
      </c>
      <c r="LJ41" s="20">
        <v>20</v>
      </c>
      <c r="LK41" s="20">
        <v>25</v>
      </c>
      <c r="LL41" s="20">
        <v>9</v>
      </c>
      <c r="LM41" s="20">
        <v>15</v>
      </c>
      <c r="LN41" s="20" t="s">
        <v>575</v>
      </c>
      <c r="LO41" s="34">
        <v>1</v>
      </c>
      <c r="LP41" s="20">
        <v>18</v>
      </c>
      <c r="LQ41" s="20">
        <v>5</v>
      </c>
      <c r="LR41" s="20" t="s">
        <v>259</v>
      </c>
      <c r="LS41" s="20" t="s">
        <v>230</v>
      </c>
      <c r="LT41" s="20">
        <v>25</v>
      </c>
      <c r="LU41" s="20">
        <v>21</v>
      </c>
      <c r="LV41" s="20">
        <v>6</v>
      </c>
      <c r="LW41" s="20">
        <v>14</v>
      </c>
      <c r="LX41" s="20" t="s">
        <v>576</v>
      </c>
      <c r="LZ41" s="20">
        <v>1</v>
      </c>
      <c r="MA41" s="20">
        <v>1</v>
      </c>
      <c r="MB41" s="20">
        <v>0</v>
      </c>
      <c r="MC41" s="20">
        <v>0</v>
      </c>
      <c r="MD41" s="20">
        <v>1</v>
      </c>
      <c r="ME41" s="20">
        <v>1</v>
      </c>
      <c r="MF41" s="20">
        <v>0</v>
      </c>
      <c r="MG41" s="20">
        <v>0</v>
      </c>
      <c r="MK41" s="20">
        <v>22.22</v>
      </c>
      <c r="ML41" s="20">
        <v>5</v>
      </c>
      <c r="MO41" s="20">
        <v>37</v>
      </c>
      <c r="MP41" s="20" t="s">
        <v>19</v>
      </c>
      <c r="MQ41" s="20" t="s">
        <v>14</v>
      </c>
      <c r="MR41" s="32">
        <v>1</v>
      </c>
      <c r="MS41" s="20">
        <v>6</v>
      </c>
      <c r="MT41" s="20">
        <v>3</v>
      </c>
      <c r="MU41" s="20" t="s">
        <v>125</v>
      </c>
      <c r="MV41" s="20" t="s">
        <v>219</v>
      </c>
      <c r="MW41" s="20">
        <v>11</v>
      </c>
      <c r="MX41" s="20">
        <v>11</v>
      </c>
      <c r="MY41" s="20">
        <v>9</v>
      </c>
      <c r="MZ41" s="20">
        <v>15</v>
      </c>
      <c r="NA41" s="20" t="s">
        <v>338</v>
      </c>
      <c r="NB41" s="32">
        <v>1</v>
      </c>
      <c r="NC41" s="20">
        <v>21</v>
      </c>
      <c r="ND41" s="20">
        <v>9</v>
      </c>
      <c r="NE41" s="20" t="s">
        <v>207</v>
      </c>
      <c r="NF41" s="20" t="s">
        <v>161</v>
      </c>
      <c r="NG41" s="20">
        <v>21</v>
      </c>
      <c r="NH41" s="20">
        <v>14</v>
      </c>
      <c r="NI41" s="20">
        <v>3</v>
      </c>
      <c r="NJ41" s="20">
        <v>9</v>
      </c>
      <c r="NK41" s="20" t="s">
        <v>336</v>
      </c>
      <c r="NM41" s="32">
        <v>1</v>
      </c>
      <c r="NN41" s="32">
        <v>0</v>
      </c>
      <c r="NO41" s="32">
        <v>1</v>
      </c>
      <c r="NP41" s="32">
        <v>1</v>
      </c>
      <c r="NQ41" s="32">
        <v>1</v>
      </c>
      <c r="NR41" s="32">
        <v>0</v>
      </c>
      <c r="NS41" s="32">
        <v>1</v>
      </c>
      <c r="NT41" s="32">
        <v>1</v>
      </c>
      <c r="NX41" s="32">
        <v>7.14</v>
      </c>
      <c r="NY41" s="32">
        <v>10</v>
      </c>
      <c r="OB41" s="20">
        <v>37</v>
      </c>
      <c r="OC41" s="20" t="s">
        <v>15</v>
      </c>
      <c r="OD41" s="20" t="s">
        <v>9</v>
      </c>
      <c r="OE41" s="32">
        <v>0</v>
      </c>
      <c r="OF41" s="20">
        <v>4</v>
      </c>
      <c r="OG41" s="20">
        <v>2</v>
      </c>
      <c r="OH41" s="20" t="s">
        <v>125</v>
      </c>
      <c r="OI41" s="20" t="s">
        <v>258</v>
      </c>
      <c r="OJ41" s="20">
        <v>19</v>
      </c>
      <c r="OK41" s="20">
        <v>11</v>
      </c>
      <c r="OL41" s="20">
        <v>7</v>
      </c>
      <c r="OM41" s="20">
        <v>16</v>
      </c>
      <c r="ON41" s="20" t="s">
        <v>530</v>
      </c>
      <c r="OO41" s="32">
        <v>0</v>
      </c>
      <c r="OP41" s="20">
        <v>9</v>
      </c>
      <c r="OQ41" s="20">
        <v>3</v>
      </c>
      <c r="OR41" s="20" t="s">
        <v>209</v>
      </c>
      <c r="OS41" s="20" t="s">
        <v>176</v>
      </c>
      <c r="OT41" s="20">
        <v>24</v>
      </c>
      <c r="OU41" s="20">
        <v>10</v>
      </c>
      <c r="OV41" s="20">
        <v>8</v>
      </c>
      <c r="OW41" s="20">
        <v>11</v>
      </c>
      <c r="OX41" s="20" t="s">
        <v>529</v>
      </c>
      <c r="OZ41" s="32">
        <v>1</v>
      </c>
      <c r="PA41" s="32">
        <v>0</v>
      </c>
      <c r="PB41" s="32">
        <v>0</v>
      </c>
      <c r="PC41" s="32">
        <v>1</v>
      </c>
      <c r="PD41" s="32">
        <v>0</v>
      </c>
      <c r="PE41" s="32">
        <v>1</v>
      </c>
      <c r="PF41" s="32">
        <v>1</v>
      </c>
      <c r="PG41" s="32">
        <v>0</v>
      </c>
      <c r="PK41" s="32">
        <v>16.670000000000002</v>
      </c>
      <c r="PL41" s="32">
        <v>5</v>
      </c>
      <c r="PO41" s="20">
        <v>37</v>
      </c>
      <c r="PP41" s="20" t="s">
        <v>6</v>
      </c>
      <c r="PQ41" s="20" t="s">
        <v>17</v>
      </c>
      <c r="PR41" s="34">
        <v>2</v>
      </c>
      <c r="PS41" s="20">
        <v>17</v>
      </c>
      <c r="PT41" s="20">
        <v>8</v>
      </c>
      <c r="PU41" s="20" t="s">
        <v>474</v>
      </c>
      <c r="PV41" s="20" t="s">
        <v>252</v>
      </c>
      <c r="PW41" s="20">
        <v>13</v>
      </c>
      <c r="PX41" s="20">
        <v>6</v>
      </c>
      <c r="PY41" s="20">
        <v>12</v>
      </c>
      <c r="PZ41" s="20">
        <v>16</v>
      </c>
      <c r="QA41" s="20" t="s">
        <v>379</v>
      </c>
      <c r="QB41" s="33">
        <v>3</v>
      </c>
      <c r="QC41" s="20">
        <v>15</v>
      </c>
      <c r="QD41" s="20">
        <v>8</v>
      </c>
      <c r="QE41" s="20" t="s">
        <v>223</v>
      </c>
      <c r="QF41" s="20" t="s">
        <v>258</v>
      </c>
      <c r="QG41" s="20">
        <v>26</v>
      </c>
      <c r="QH41" s="20">
        <v>6</v>
      </c>
      <c r="QI41" s="20">
        <v>8</v>
      </c>
      <c r="QJ41" s="20">
        <v>9</v>
      </c>
      <c r="QK41" s="20" t="s">
        <v>549</v>
      </c>
      <c r="QM41" s="20">
        <v>0</v>
      </c>
      <c r="QN41" s="20">
        <v>1</v>
      </c>
      <c r="QO41" s="20">
        <v>0</v>
      </c>
      <c r="QP41" s="20">
        <v>1</v>
      </c>
      <c r="QQ41" s="20">
        <v>0</v>
      </c>
      <c r="QR41" s="20">
        <v>0</v>
      </c>
      <c r="QS41" s="20">
        <v>1</v>
      </c>
      <c r="QT41" s="20">
        <v>0</v>
      </c>
      <c r="QX41" s="20">
        <v>6.27</v>
      </c>
      <c r="QY41" s="20">
        <v>13</v>
      </c>
      <c r="RB41" s="20">
        <v>37</v>
      </c>
      <c r="RC41" s="20" t="s">
        <v>5</v>
      </c>
      <c r="RD41" s="20" t="s">
        <v>18</v>
      </c>
      <c r="RE41" s="34">
        <v>0</v>
      </c>
      <c r="RF41" s="20">
        <v>4</v>
      </c>
      <c r="RG41" s="20">
        <v>2</v>
      </c>
      <c r="RH41" s="20" t="s">
        <v>125</v>
      </c>
      <c r="RI41" s="20" t="s">
        <v>151</v>
      </c>
      <c r="RJ41" s="20">
        <v>26</v>
      </c>
      <c r="RK41" s="20">
        <v>7</v>
      </c>
      <c r="RL41" s="20">
        <v>7</v>
      </c>
      <c r="RM41" s="20">
        <v>9</v>
      </c>
      <c r="RN41" s="20" t="s">
        <v>308</v>
      </c>
      <c r="RO41" s="33">
        <v>5</v>
      </c>
      <c r="RP41" s="20">
        <v>13</v>
      </c>
      <c r="RQ41" s="20">
        <v>7</v>
      </c>
      <c r="RR41" s="20" t="s">
        <v>353</v>
      </c>
      <c r="RS41" s="20" t="s">
        <v>136</v>
      </c>
      <c r="RT41" s="20">
        <v>14</v>
      </c>
      <c r="RU41" s="20">
        <v>8</v>
      </c>
      <c r="RV41" s="20">
        <v>10</v>
      </c>
      <c r="RW41" s="20">
        <v>8</v>
      </c>
      <c r="RX41" s="20" t="s">
        <v>306</v>
      </c>
      <c r="RZ41" s="20">
        <v>1</v>
      </c>
      <c r="SA41" s="20">
        <v>1</v>
      </c>
      <c r="SB41" s="20">
        <v>1</v>
      </c>
      <c r="SC41" s="20">
        <v>0</v>
      </c>
      <c r="SD41" s="20">
        <v>1</v>
      </c>
      <c r="SE41" s="20">
        <v>1</v>
      </c>
      <c r="SF41" s="20">
        <v>1</v>
      </c>
      <c r="SG41" s="20">
        <v>1</v>
      </c>
      <c r="SK41" s="20">
        <v>3.85</v>
      </c>
      <c r="SL41" s="20">
        <v>12</v>
      </c>
      <c r="SO41" s="20">
        <v>37</v>
      </c>
      <c r="SP41" s="20" t="s">
        <v>19</v>
      </c>
      <c r="SQ41" s="20" t="s">
        <v>14</v>
      </c>
      <c r="SR41" s="32">
        <v>1</v>
      </c>
      <c r="SS41" s="20">
        <v>21</v>
      </c>
      <c r="ST41" s="20">
        <v>9</v>
      </c>
      <c r="SU41" s="20" t="s">
        <v>207</v>
      </c>
      <c r="SV41" s="20" t="s">
        <v>161</v>
      </c>
      <c r="SW41" s="20">
        <v>21</v>
      </c>
      <c r="SX41" s="20">
        <v>14</v>
      </c>
      <c r="SY41" s="20">
        <v>3</v>
      </c>
      <c r="SZ41" s="20">
        <v>9</v>
      </c>
      <c r="TA41" s="20" t="s">
        <v>336</v>
      </c>
      <c r="TB41" s="32">
        <v>1</v>
      </c>
      <c r="TC41" s="20">
        <v>6</v>
      </c>
      <c r="TD41" s="20">
        <v>3</v>
      </c>
      <c r="TE41" s="20" t="s">
        <v>125</v>
      </c>
      <c r="TF41" s="20" t="s">
        <v>219</v>
      </c>
      <c r="TG41" s="20">
        <v>11</v>
      </c>
      <c r="TH41" s="20">
        <v>11</v>
      </c>
      <c r="TI41" s="20">
        <v>9</v>
      </c>
      <c r="TJ41" s="20">
        <v>15</v>
      </c>
      <c r="TK41" s="20" t="s">
        <v>338</v>
      </c>
      <c r="TM41" s="32">
        <v>1</v>
      </c>
      <c r="TN41" s="32">
        <v>0</v>
      </c>
      <c r="TO41" s="32">
        <v>1</v>
      </c>
      <c r="TP41" s="32">
        <v>1</v>
      </c>
      <c r="TQ41" s="32">
        <v>1</v>
      </c>
      <c r="TR41" s="32">
        <v>0</v>
      </c>
      <c r="TS41" s="32">
        <v>1</v>
      </c>
      <c r="TT41" s="32">
        <v>1</v>
      </c>
      <c r="TX41" s="32">
        <v>7.14</v>
      </c>
      <c r="TY41" s="32">
        <v>10</v>
      </c>
      <c r="UB41" s="20">
        <v>37</v>
      </c>
      <c r="UC41" s="20" t="s">
        <v>8</v>
      </c>
      <c r="UD41" s="20" t="s">
        <v>16</v>
      </c>
      <c r="UE41" s="33">
        <v>2</v>
      </c>
      <c r="UF41" s="20">
        <v>8</v>
      </c>
      <c r="UG41" s="20">
        <v>4</v>
      </c>
      <c r="UH41" s="20" t="s">
        <v>125</v>
      </c>
      <c r="UI41" s="20" t="s">
        <v>176</v>
      </c>
      <c r="UJ41" s="20">
        <v>18</v>
      </c>
      <c r="UK41" s="20">
        <v>5</v>
      </c>
      <c r="UL41" s="20">
        <v>5</v>
      </c>
      <c r="UM41" s="20">
        <v>5</v>
      </c>
      <c r="UN41" s="20" t="s">
        <v>284</v>
      </c>
      <c r="UO41" s="34">
        <v>0</v>
      </c>
      <c r="UP41" s="20">
        <v>10</v>
      </c>
      <c r="UQ41" s="20">
        <v>4</v>
      </c>
      <c r="UR41" s="20" t="s">
        <v>133</v>
      </c>
      <c r="US41" s="20" t="s">
        <v>252</v>
      </c>
      <c r="UT41" s="20">
        <v>8</v>
      </c>
      <c r="UU41" s="20">
        <v>11</v>
      </c>
      <c r="UV41" s="20">
        <v>12</v>
      </c>
      <c r="UW41" s="20">
        <v>7</v>
      </c>
      <c r="UX41" s="20" t="s">
        <v>282</v>
      </c>
      <c r="UZ41" s="20">
        <v>1</v>
      </c>
      <c r="VA41" s="20">
        <v>1</v>
      </c>
      <c r="VB41" s="20">
        <v>0</v>
      </c>
      <c r="VC41" s="20">
        <v>1</v>
      </c>
      <c r="VD41" s="20">
        <v>0</v>
      </c>
      <c r="VE41" s="20">
        <v>0</v>
      </c>
      <c r="VF41" s="20">
        <v>1</v>
      </c>
      <c r="VG41" s="20">
        <v>0</v>
      </c>
      <c r="VK41" s="20">
        <v>10</v>
      </c>
      <c r="VL41" s="20">
        <v>10</v>
      </c>
      <c r="VO41" s="20">
        <v>37</v>
      </c>
      <c r="VP41" s="20" t="s">
        <v>11</v>
      </c>
      <c r="VQ41" s="20" t="s">
        <v>20</v>
      </c>
      <c r="VR41" s="33">
        <v>4</v>
      </c>
      <c r="VS41" s="20">
        <v>11</v>
      </c>
      <c r="VT41" s="20">
        <v>7</v>
      </c>
      <c r="VU41" s="20" t="s">
        <v>178</v>
      </c>
      <c r="VV41" s="20" t="s">
        <v>203</v>
      </c>
      <c r="VW41" s="20">
        <v>19</v>
      </c>
      <c r="VX41" s="20">
        <v>11</v>
      </c>
      <c r="VY41" s="20">
        <v>11</v>
      </c>
      <c r="VZ41" s="20">
        <v>11</v>
      </c>
      <c r="WA41" s="20" t="s">
        <v>460</v>
      </c>
      <c r="WB41" s="34">
        <v>1</v>
      </c>
      <c r="WC41" s="20">
        <v>12</v>
      </c>
      <c r="WD41" s="20">
        <v>6</v>
      </c>
      <c r="WE41" s="20" t="s">
        <v>125</v>
      </c>
      <c r="WF41" s="20" t="s">
        <v>134</v>
      </c>
      <c r="WG41" s="20">
        <v>20</v>
      </c>
      <c r="WH41" s="20">
        <v>14</v>
      </c>
      <c r="WI41" s="20">
        <v>9</v>
      </c>
      <c r="WJ41" s="20">
        <v>14</v>
      </c>
      <c r="WK41" s="20" t="s">
        <v>459</v>
      </c>
      <c r="WM41" s="20">
        <v>1</v>
      </c>
      <c r="WN41" s="20">
        <v>1</v>
      </c>
      <c r="WO41" s="20">
        <v>0</v>
      </c>
      <c r="WP41" s="20">
        <v>0</v>
      </c>
      <c r="WQ41" s="20">
        <v>0</v>
      </c>
      <c r="WR41" s="20">
        <v>1</v>
      </c>
      <c r="WS41" s="20">
        <v>1</v>
      </c>
      <c r="WT41" s="20">
        <v>0</v>
      </c>
      <c r="WX41" s="20">
        <v>13.64</v>
      </c>
      <c r="WY41" s="20">
        <v>1</v>
      </c>
      <c r="XB41" s="20">
        <v>37</v>
      </c>
      <c r="XC41" s="20" t="s">
        <v>22</v>
      </c>
      <c r="XD41" s="20" t="s">
        <v>34</v>
      </c>
      <c r="XE41" s="32">
        <v>1</v>
      </c>
      <c r="XF41" s="20">
        <v>9</v>
      </c>
      <c r="XG41" s="20">
        <v>3</v>
      </c>
      <c r="XH41" s="20" t="s">
        <v>209</v>
      </c>
      <c r="XI41" s="20" t="s">
        <v>139</v>
      </c>
      <c r="XJ41" s="20">
        <v>23</v>
      </c>
      <c r="XK41" s="20">
        <v>6</v>
      </c>
      <c r="XL41" s="20">
        <v>9</v>
      </c>
      <c r="XM41" s="20">
        <v>6</v>
      </c>
      <c r="XN41" s="20" t="s">
        <v>467</v>
      </c>
      <c r="XO41" s="32">
        <v>1</v>
      </c>
      <c r="XP41" s="20">
        <v>19</v>
      </c>
      <c r="XQ41" s="20">
        <v>9</v>
      </c>
      <c r="XR41" s="20" t="s">
        <v>245</v>
      </c>
      <c r="XS41" s="20" t="s">
        <v>171</v>
      </c>
      <c r="XT41" s="20">
        <v>12</v>
      </c>
      <c r="XU41" s="20">
        <v>14</v>
      </c>
      <c r="XV41" s="20">
        <v>13</v>
      </c>
      <c r="XW41" s="20">
        <v>15</v>
      </c>
      <c r="XX41" s="20" t="s">
        <v>392</v>
      </c>
      <c r="XZ41" s="32">
        <v>1</v>
      </c>
      <c r="YA41" s="32">
        <v>1</v>
      </c>
      <c r="YB41" s="32">
        <v>1</v>
      </c>
      <c r="YC41" s="32">
        <v>0</v>
      </c>
      <c r="YD41" s="32">
        <v>1</v>
      </c>
      <c r="YE41" s="32">
        <v>1</v>
      </c>
      <c r="YF41" s="32">
        <v>0</v>
      </c>
      <c r="YG41" s="32">
        <v>1</v>
      </c>
      <c r="YK41" s="32">
        <v>14.04</v>
      </c>
      <c r="YL41" s="32">
        <v>11</v>
      </c>
      <c r="YO41" s="20">
        <v>37</v>
      </c>
      <c r="YP41" s="20" t="s">
        <v>13</v>
      </c>
      <c r="YQ41" s="20" t="s">
        <v>21</v>
      </c>
      <c r="YR41" s="34">
        <v>1</v>
      </c>
      <c r="YS41" s="20">
        <v>18</v>
      </c>
      <c r="YT41" s="20">
        <v>5</v>
      </c>
      <c r="YU41" s="20" t="s">
        <v>259</v>
      </c>
      <c r="YV41" s="20" t="s">
        <v>230</v>
      </c>
      <c r="YW41" s="20">
        <v>25</v>
      </c>
      <c r="YX41" s="20">
        <v>21</v>
      </c>
      <c r="YY41" s="20">
        <v>6</v>
      </c>
      <c r="YZ41" s="20">
        <v>14</v>
      </c>
      <c r="ZA41" s="20" t="s">
        <v>576</v>
      </c>
      <c r="ZB41" s="33">
        <v>2</v>
      </c>
      <c r="ZC41" s="20">
        <v>12</v>
      </c>
      <c r="ZD41" s="20">
        <v>6</v>
      </c>
      <c r="ZE41" s="20" t="s">
        <v>125</v>
      </c>
      <c r="ZF41" s="20" t="s">
        <v>156</v>
      </c>
      <c r="ZG41" s="20">
        <v>20</v>
      </c>
      <c r="ZH41" s="20">
        <v>25</v>
      </c>
      <c r="ZI41" s="20">
        <v>9</v>
      </c>
      <c r="ZJ41" s="20">
        <v>15</v>
      </c>
      <c r="ZK41" s="20" t="s">
        <v>575</v>
      </c>
      <c r="ZM41" s="20">
        <v>1</v>
      </c>
      <c r="ZN41" s="20">
        <v>1</v>
      </c>
      <c r="ZO41" s="20">
        <v>0</v>
      </c>
      <c r="ZP41" s="20">
        <v>0</v>
      </c>
      <c r="ZQ41" s="20">
        <v>1</v>
      </c>
      <c r="ZR41" s="20">
        <v>1</v>
      </c>
      <c r="ZS41" s="20">
        <v>0</v>
      </c>
      <c r="ZT41" s="20">
        <v>0</v>
      </c>
      <c r="ZX41" s="20">
        <v>22.22</v>
      </c>
      <c r="ZY41" s="20">
        <v>5</v>
      </c>
      <c r="AAB41" s="20">
        <v>37</v>
      </c>
      <c r="AAC41" s="20" t="s">
        <v>22</v>
      </c>
      <c r="AAD41" s="20" t="s">
        <v>34</v>
      </c>
      <c r="AAE41" s="32">
        <v>1</v>
      </c>
      <c r="AAF41" s="20">
        <v>19</v>
      </c>
      <c r="AAG41" s="20">
        <v>9</v>
      </c>
      <c r="AAH41" s="20" t="s">
        <v>245</v>
      </c>
      <c r="AAI41" s="20" t="s">
        <v>171</v>
      </c>
      <c r="AAJ41" s="20">
        <v>12</v>
      </c>
      <c r="AAK41" s="20">
        <v>14</v>
      </c>
      <c r="AAL41" s="20">
        <v>13</v>
      </c>
      <c r="AAM41" s="20">
        <v>15</v>
      </c>
      <c r="AAN41" s="20" t="s">
        <v>392</v>
      </c>
      <c r="AAO41" s="32">
        <v>1</v>
      </c>
      <c r="AAP41" s="20">
        <v>9</v>
      </c>
      <c r="AAQ41" s="20">
        <v>3</v>
      </c>
      <c r="AAR41" s="20" t="s">
        <v>209</v>
      </c>
      <c r="AAS41" s="20" t="s">
        <v>139</v>
      </c>
      <c r="AAT41" s="20">
        <v>23</v>
      </c>
      <c r="AAU41" s="20">
        <v>6</v>
      </c>
      <c r="AAV41" s="20">
        <v>9</v>
      </c>
      <c r="AAW41" s="20">
        <v>6</v>
      </c>
      <c r="AAX41" s="20" t="s">
        <v>467</v>
      </c>
      <c r="AAZ41" s="32">
        <v>1</v>
      </c>
      <c r="ABA41" s="32">
        <v>1</v>
      </c>
      <c r="ABB41" s="32">
        <v>1</v>
      </c>
      <c r="ABC41" s="32">
        <v>0</v>
      </c>
      <c r="ABD41" s="32">
        <v>1</v>
      </c>
      <c r="ABE41" s="32">
        <v>1</v>
      </c>
      <c r="ABF41" s="32">
        <v>0</v>
      </c>
      <c r="ABG41" s="32">
        <v>1</v>
      </c>
      <c r="ABK41" s="32">
        <v>14.04</v>
      </c>
      <c r="ABL41" s="32">
        <v>11</v>
      </c>
      <c r="ABO41" s="20">
        <v>37</v>
      </c>
      <c r="ABP41" s="20" t="s">
        <v>23</v>
      </c>
      <c r="ABQ41" s="20" t="s">
        <v>7</v>
      </c>
      <c r="ABR41" s="33">
        <v>2</v>
      </c>
      <c r="ABS41" s="20">
        <v>11</v>
      </c>
      <c r="ABT41" s="20">
        <v>5</v>
      </c>
      <c r="ABU41" s="20" t="s">
        <v>358</v>
      </c>
      <c r="ABV41" s="20" t="s">
        <v>134</v>
      </c>
      <c r="ABW41" s="20">
        <v>11</v>
      </c>
      <c r="ABX41" s="20">
        <v>15</v>
      </c>
      <c r="ABY41" s="20">
        <v>11</v>
      </c>
      <c r="ABZ41" s="20">
        <v>14</v>
      </c>
      <c r="ACA41" s="20" t="s">
        <v>414</v>
      </c>
      <c r="ACB41" s="34">
        <v>1</v>
      </c>
      <c r="ACC41" s="20">
        <v>17</v>
      </c>
      <c r="ACD41" s="20">
        <v>5</v>
      </c>
      <c r="ACE41" s="20" t="s">
        <v>269</v>
      </c>
      <c r="ACF41" s="20" t="s">
        <v>134</v>
      </c>
      <c r="ACG41" s="20">
        <v>21</v>
      </c>
      <c r="ACH41" s="20">
        <v>6</v>
      </c>
      <c r="ACI41" s="20">
        <v>12</v>
      </c>
      <c r="ACJ41" s="20">
        <v>6</v>
      </c>
      <c r="ACK41" s="20" t="s">
        <v>413</v>
      </c>
      <c r="ACM41" s="20">
        <v>0</v>
      </c>
      <c r="ACN41" s="20">
        <v>1</v>
      </c>
      <c r="ACO41" s="20">
        <v>0</v>
      </c>
      <c r="ACP41" s="20">
        <v>0</v>
      </c>
      <c r="ACQ41" s="20">
        <v>1</v>
      </c>
      <c r="ACR41" s="20">
        <v>0</v>
      </c>
      <c r="ACS41" s="20">
        <v>0</v>
      </c>
      <c r="ACT41" s="20">
        <v>1</v>
      </c>
      <c r="ACX41" s="20">
        <v>16.04</v>
      </c>
      <c r="ACY41" s="20">
        <v>10</v>
      </c>
    </row>
    <row r="42" spans="1:781" x14ac:dyDescent="0.3">
      <c r="A42" s="27">
        <f>E42/G42</f>
        <v>0.3</v>
      </c>
      <c r="B42" s="20">
        <v>38</v>
      </c>
      <c r="C42" s="20" t="s">
        <v>20</v>
      </c>
      <c r="D42" s="20" t="s">
        <v>5</v>
      </c>
      <c r="E42" s="33">
        <v>3</v>
      </c>
      <c r="F42" s="20">
        <v>12</v>
      </c>
      <c r="G42" s="30">
        <v>10</v>
      </c>
      <c r="H42" s="27">
        <v>0.83330000000000004</v>
      </c>
      <c r="I42" s="28">
        <v>0.86</v>
      </c>
      <c r="J42" s="20">
        <v>19</v>
      </c>
      <c r="K42" s="20">
        <v>12</v>
      </c>
      <c r="L42" s="20">
        <v>13</v>
      </c>
      <c r="M42" s="20">
        <v>9</v>
      </c>
      <c r="N42" s="27">
        <v>0.65900000000000003</v>
      </c>
      <c r="O42" s="34">
        <v>0</v>
      </c>
      <c r="P42" s="20">
        <v>8</v>
      </c>
      <c r="Q42" s="20">
        <v>2</v>
      </c>
      <c r="R42" s="27">
        <v>0.25</v>
      </c>
      <c r="S42" s="28">
        <v>0.76</v>
      </c>
      <c r="T42" s="20">
        <v>17</v>
      </c>
      <c r="U42" s="20">
        <v>3</v>
      </c>
      <c r="V42" s="20">
        <v>9</v>
      </c>
      <c r="W42" s="20">
        <v>13</v>
      </c>
      <c r="X42" s="27">
        <v>0.34100000000000003</v>
      </c>
      <c r="Z42" s="20">
        <v>1</v>
      </c>
      <c r="AA42" s="20">
        <v>1</v>
      </c>
      <c r="AB42" s="20">
        <v>1</v>
      </c>
      <c r="AC42" s="20">
        <v>1</v>
      </c>
      <c r="AD42" s="20">
        <v>1</v>
      </c>
      <c r="AE42" s="20">
        <v>1</v>
      </c>
      <c r="AF42" s="20">
        <v>1</v>
      </c>
      <c r="AG42" s="20">
        <v>1</v>
      </c>
      <c r="AK42" s="20">
        <v>58.33</v>
      </c>
      <c r="AL42" s="20">
        <v>2</v>
      </c>
      <c r="AM42" s="20"/>
      <c r="AN42" s="20"/>
      <c r="AO42" s="20">
        <v>38</v>
      </c>
      <c r="AP42" s="20" t="s">
        <v>16</v>
      </c>
      <c r="AQ42" s="20" t="s">
        <v>6</v>
      </c>
      <c r="AR42" s="33">
        <v>2</v>
      </c>
      <c r="AS42" s="30">
        <v>16</v>
      </c>
      <c r="AT42" s="30">
        <v>5</v>
      </c>
      <c r="AU42" s="27">
        <v>0.3125</v>
      </c>
      <c r="AV42" s="28">
        <v>0.91</v>
      </c>
      <c r="AW42" s="20">
        <v>14</v>
      </c>
      <c r="AX42" s="20">
        <v>7</v>
      </c>
      <c r="AY42" s="30">
        <v>13</v>
      </c>
      <c r="AZ42" s="20">
        <v>10</v>
      </c>
      <c r="BA42" s="27">
        <v>0.59499999999999997</v>
      </c>
      <c r="BB42" s="34">
        <v>0</v>
      </c>
      <c r="BC42" s="20">
        <v>10</v>
      </c>
      <c r="BD42" s="20">
        <v>2</v>
      </c>
      <c r="BE42" s="20" t="s">
        <v>141</v>
      </c>
      <c r="BF42" s="20" t="s">
        <v>230</v>
      </c>
      <c r="BG42" s="20">
        <v>19</v>
      </c>
      <c r="BH42" s="20">
        <v>5</v>
      </c>
      <c r="BI42" s="20">
        <v>9</v>
      </c>
      <c r="BJ42" s="20">
        <v>7</v>
      </c>
      <c r="BK42" s="20" t="s">
        <v>368</v>
      </c>
      <c r="BM42" s="20">
        <v>1</v>
      </c>
      <c r="BN42" s="20">
        <v>1</v>
      </c>
      <c r="BO42" s="20">
        <v>1</v>
      </c>
      <c r="BP42" s="20">
        <v>0</v>
      </c>
      <c r="BQ42" s="20">
        <v>1</v>
      </c>
      <c r="BR42" s="20">
        <v>1</v>
      </c>
      <c r="BS42" s="20">
        <v>0</v>
      </c>
      <c r="BT42" s="20">
        <v>1</v>
      </c>
      <c r="BX42" s="20">
        <v>11.25</v>
      </c>
      <c r="BY42" s="20">
        <v>5</v>
      </c>
      <c r="BZ42" s="20"/>
      <c r="CA42" s="20"/>
      <c r="CB42" s="20">
        <v>38</v>
      </c>
      <c r="CC42" s="20" t="s">
        <v>7</v>
      </c>
      <c r="CD42" s="20" t="s">
        <v>10</v>
      </c>
      <c r="CE42" s="33">
        <v>2</v>
      </c>
      <c r="CF42" s="20">
        <v>11</v>
      </c>
      <c r="CG42" s="20">
        <v>5</v>
      </c>
      <c r="CH42" s="20" t="s">
        <v>358</v>
      </c>
      <c r="CI42" s="20" t="s">
        <v>171</v>
      </c>
      <c r="CJ42" s="20">
        <v>27</v>
      </c>
      <c r="CK42" s="20">
        <v>9</v>
      </c>
      <c r="CL42" s="20">
        <v>18</v>
      </c>
      <c r="CM42" s="20">
        <v>9</v>
      </c>
      <c r="CN42" s="20" t="s">
        <v>457</v>
      </c>
      <c r="CO42" s="34">
        <v>0</v>
      </c>
      <c r="CP42" s="20">
        <v>7</v>
      </c>
      <c r="CQ42" s="20">
        <v>4</v>
      </c>
      <c r="CR42" s="20" t="s">
        <v>226</v>
      </c>
      <c r="CS42" s="20" t="s">
        <v>168</v>
      </c>
      <c r="CT42" s="20">
        <v>20</v>
      </c>
      <c r="CU42" s="20">
        <v>11</v>
      </c>
      <c r="CV42" s="20">
        <v>8</v>
      </c>
      <c r="CW42" s="20">
        <v>14</v>
      </c>
      <c r="CX42" s="20" t="s">
        <v>458</v>
      </c>
      <c r="CZ42" s="20">
        <v>1</v>
      </c>
      <c r="DA42" s="20">
        <v>0</v>
      </c>
      <c r="DB42" s="20">
        <v>0</v>
      </c>
      <c r="DC42" s="20">
        <v>1</v>
      </c>
      <c r="DD42" s="20">
        <v>0</v>
      </c>
      <c r="DE42" s="20">
        <v>1</v>
      </c>
      <c r="DF42" s="20">
        <v>1</v>
      </c>
      <c r="DG42" s="20">
        <v>0</v>
      </c>
      <c r="DK42" s="20">
        <v>11.69</v>
      </c>
      <c r="DL42" s="20">
        <v>7</v>
      </c>
      <c r="DO42" s="20">
        <v>38</v>
      </c>
      <c r="DP42" s="20" t="s">
        <v>34</v>
      </c>
      <c r="DQ42" s="20" t="s">
        <v>8</v>
      </c>
      <c r="DR42" s="34">
        <v>0</v>
      </c>
      <c r="DS42" s="20">
        <v>11</v>
      </c>
      <c r="DT42" s="20">
        <v>5</v>
      </c>
      <c r="DU42" s="20" t="s">
        <v>358</v>
      </c>
      <c r="DV42" s="20" t="s">
        <v>230</v>
      </c>
      <c r="DW42" s="20">
        <v>13</v>
      </c>
      <c r="DX42" s="20">
        <v>11</v>
      </c>
      <c r="DY42" s="20">
        <v>12</v>
      </c>
      <c r="DZ42" s="20">
        <v>15</v>
      </c>
      <c r="EA42" s="20" t="s">
        <v>471</v>
      </c>
      <c r="EB42" s="33">
        <v>2</v>
      </c>
      <c r="EC42" s="20">
        <v>15</v>
      </c>
      <c r="ED42" s="20">
        <v>6</v>
      </c>
      <c r="EE42" s="20" t="s">
        <v>133</v>
      </c>
      <c r="EF42" s="20" t="s">
        <v>258</v>
      </c>
      <c r="EG42" s="20">
        <v>21</v>
      </c>
      <c r="EH42" s="20">
        <v>10</v>
      </c>
      <c r="EI42" s="20">
        <v>12</v>
      </c>
      <c r="EJ42" s="20">
        <v>9</v>
      </c>
      <c r="EK42" s="20" t="s">
        <v>472</v>
      </c>
      <c r="EM42" s="20">
        <v>1</v>
      </c>
      <c r="EN42" s="20">
        <v>0</v>
      </c>
      <c r="EO42" s="20">
        <v>1</v>
      </c>
      <c r="EP42" s="20">
        <v>1</v>
      </c>
      <c r="EQ42" s="20">
        <v>0</v>
      </c>
      <c r="ER42" s="20">
        <v>0</v>
      </c>
      <c r="ES42" s="20">
        <v>1</v>
      </c>
      <c r="ET42" s="20">
        <v>1</v>
      </c>
      <c r="EX42" s="20">
        <v>5.45</v>
      </c>
      <c r="EY42" s="20">
        <v>8</v>
      </c>
      <c r="FB42" s="20">
        <v>38</v>
      </c>
      <c r="FC42" s="20" t="s">
        <v>9</v>
      </c>
      <c r="FD42" s="20" t="s">
        <v>11</v>
      </c>
      <c r="FE42" s="33">
        <v>3</v>
      </c>
      <c r="FF42" s="20">
        <v>14</v>
      </c>
      <c r="FG42" s="20">
        <v>6</v>
      </c>
      <c r="FH42" s="20" t="s">
        <v>207</v>
      </c>
      <c r="FI42" s="20" t="s">
        <v>168</v>
      </c>
      <c r="FJ42" s="20">
        <v>19</v>
      </c>
      <c r="FK42" s="20">
        <v>11</v>
      </c>
      <c r="FL42" s="20">
        <v>4</v>
      </c>
      <c r="FM42" s="20">
        <v>15</v>
      </c>
      <c r="FN42" s="20" t="s">
        <v>162</v>
      </c>
      <c r="FO42" s="34">
        <v>1</v>
      </c>
      <c r="FP42" s="20">
        <v>8</v>
      </c>
      <c r="FQ42" s="20">
        <v>4</v>
      </c>
      <c r="FR42" s="20" t="s">
        <v>125</v>
      </c>
      <c r="FS42" s="20" t="s">
        <v>129</v>
      </c>
      <c r="FT42" s="20">
        <v>24</v>
      </c>
      <c r="FU42" s="20">
        <v>8</v>
      </c>
      <c r="FV42" s="20">
        <v>5</v>
      </c>
      <c r="FW42" s="20">
        <v>9</v>
      </c>
      <c r="FX42" s="20" t="s">
        <v>160</v>
      </c>
      <c r="FZ42" s="20">
        <v>1</v>
      </c>
      <c r="GA42" s="20">
        <v>0</v>
      </c>
      <c r="GB42" s="20">
        <v>1</v>
      </c>
      <c r="GC42" s="20">
        <v>0</v>
      </c>
      <c r="GD42" s="20">
        <v>1</v>
      </c>
      <c r="GE42" s="20">
        <v>0</v>
      </c>
      <c r="GF42" s="20">
        <v>0</v>
      </c>
      <c r="GG42" s="20">
        <v>1</v>
      </c>
      <c r="GK42" s="20">
        <v>7.14</v>
      </c>
      <c r="GL42" s="20">
        <v>5</v>
      </c>
      <c r="GO42" s="20">
        <v>38</v>
      </c>
      <c r="GP42" s="20" t="s">
        <v>7</v>
      </c>
      <c r="GQ42" s="20" t="s">
        <v>10</v>
      </c>
      <c r="GR42" s="34">
        <v>0</v>
      </c>
      <c r="GS42" s="20">
        <v>7</v>
      </c>
      <c r="GT42" s="20">
        <v>4</v>
      </c>
      <c r="GU42" s="20" t="s">
        <v>226</v>
      </c>
      <c r="GV42" s="20" t="s">
        <v>168</v>
      </c>
      <c r="GW42" s="20">
        <v>20</v>
      </c>
      <c r="GX42" s="20">
        <v>11</v>
      </c>
      <c r="GY42" s="20">
        <v>8</v>
      </c>
      <c r="GZ42" s="20">
        <v>14</v>
      </c>
      <c r="HA42" s="20" t="s">
        <v>458</v>
      </c>
      <c r="HB42" s="33">
        <v>2</v>
      </c>
      <c r="HC42" s="20">
        <v>11</v>
      </c>
      <c r="HD42" s="20">
        <v>5</v>
      </c>
      <c r="HE42" s="20" t="s">
        <v>358</v>
      </c>
      <c r="HF42" s="20" t="s">
        <v>171</v>
      </c>
      <c r="HG42" s="20">
        <v>27</v>
      </c>
      <c r="HH42" s="20">
        <v>9</v>
      </c>
      <c r="HI42" s="20">
        <v>18</v>
      </c>
      <c r="HJ42" s="20">
        <v>9</v>
      </c>
      <c r="HK42" s="20" t="s">
        <v>457</v>
      </c>
      <c r="HM42" s="20">
        <v>1</v>
      </c>
      <c r="HN42" s="20">
        <v>0</v>
      </c>
      <c r="HO42" s="20">
        <v>0</v>
      </c>
      <c r="HP42" s="20">
        <v>1</v>
      </c>
      <c r="HQ42" s="20">
        <v>0</v>
      </c>
      <c r="HR42" s="20">
        <v>1</v>
      </c>
      <c r="HS42" s="20">
        <v>1</v>
      </c>
      <c r="HT42" s="20">
        <v>0</v>
      </c>
      <c r="HX42" s="20">
        <v>11.69</v>
      </c>
      <c r="HY42" s="20">
        <v>7</v>
      </c>
      <c r="IB42" s="20">
        <v>38</v>
      </c>
      <c r="IC42" s="20" t="s">
        <v>9</v>
      </c>
      <c r="ID42" s="20" t="s">
        <v>11</v>
      </c>
      <c r="IE42" s="34">
        <v>1</v>
      </c>
      <c r="IF42" s="20">
        <v>8</v>
      </c>
      <c r="IG42" s="20">
        <v>4</v>
      </c>
      <c r="IH42" s="20" t="s">
        <v>125</v>
      </c>
      <c r="II42" s="20" t="s">
        <v>129</v>
      </c>
      <c r="IJ42" s="20">
        <v>24</v>
      </c>
      <c r="IK42" s="20">
        <v>8</v>
      </c>
      <c r="IL42" s="20">
        <v>5</v>
      </c>
      <c r="IM42" s="20">
        <v>9</v>
      </c>
      <c r="IN42" s="20" t="s">
        <v>160</v>
      </c>
      <c r="IO42" s="33">
        <v>3</v>
      </c>
      <c r="IP42" s="20">
        <v>14</v>
      </c>
      <c r="IQ42" s="20">
        <v>6</v>
      </c>
      <c r="IR42" s="20" t="s">
        <v>207</v>
      </c>
      <c r="IS42" s="20" t="s">
        <v>168</v>
      </c>
      <c r="IT42" s="20">
        <v>19</v>
      </c>
      <c r="IU42" s="20">
        <v>11</v>
      </c>
      <c r="IV42" s="20">
        <v>4</v>
      </c>
      <c r="IW42" s="20">
        <v>15</v>
      </c>
      <c r="IX42" s="20" t="s">
        <v>162</v>
      </c>
      <c r="IZ42" s="20">
        <v>1</v>
      </c>
      <c r="JA42" s="20">
        <v>0</v>
      </c>
      <c r="JB42" s="20">
        <v>1</v>
      </c>
      <c r="JC42" s="20">
        <v>0</v>
      </c>
      <c r="JD42" s="20">
        <v>1</v>
      </c>
      <c r="JE42" s="20">
        <v>0</v>
      </c>
      <c r="JF42" s="20">
        <v>0</v>
      </c>
      <c r="JG42" s="20">
        <v>1</v>
      </c>
      <c r="JK42" s="20">
        <v>7.14</v>
      </c>
      <c r="JL42" s="20">
        <v>5</v>
      </c>
      <c r="JO42" s="20">
        <v>38</v>
      </c>
      <c r="JP42" s="20" t="s">
        <v>12</v>
      </c>
      <c r="JQ42" s="20" t="s">
        <v>15</v>
      </c>
      <c r="JR42" s="33">
        <v>4</v>
      </c>
      <c r="JS42" s="20">
        <v>14</v>
      </c>
      <c r="JT42" s="20">
        <v>8</v>
      </c>
      <c r="JU42" s="20" t="s">
        <v>226</v>
      </c>
      <c r="JV42" s="20" t="s">
        <v>154</v>
      </c>
      <c r="JW42" s="20">
        <v>11</v>
      </c>
      <c r="JX42" s="20">
        <v>8</v>
      </c>
      <c r="JY42" s="20">
        <v>5</v>
      </c>
      <c r="JZ42" s="20">
        <v>6</v>
      </c>
      <c r="KA42" s="20" t="s">
        <v>577</v>
      </c>
      <c r="KB42" s="34">
        <v>1</v>
      </c>
      <c r="KC42" s="20">
        <v>12</v>
      </c>
      <c r="KD42" s="20">
        <v>7</v>
      </c>
      <c r="KE42" s="20" t="s">
        <v>405</v>
      </c>
      <c r="KF42" s="20" t="s">
        <v>179</v>
      </c>
      <c r="KG42" s="20">
        <v>13</v>
      </c>
      <c r="KH42" s="20">
        <v>11</v>
      </c>
      <c r="KI42" s="20">
        <v>7</v>
      </c>
      <c r="KJ42" s="20">
        <v>7</v>
      </c>
      <c r="KK42" s="20" t="s">
        <v>307</v>
      </c>
      <c r="KM42" s="20">
        <v>1</v>
      </c>
      <c r="KN42" s="20">
        <v>0</v>
      </c>
      <c r="KO42" s="20">
        <v>0</v>
      </c>
      <c r="KP42" s="20">
        <v>0</v>
      </c>
      <c r="KQ42" s="20">
        <v>0</v>
      </c>
      <c r="KR42" s="20">
        <v>0</v>
      </c>
      <c r="KS42" s="20">
        <v>1</v>
      </c>
      <c r="KT42" s="20">
        <v>0</v>
      </c>
      <c r="KX42" s="20">
        <v>1.19</v>
      </c>
      <c r="KY42" s="20">
        <v>2</v>
      </c>
      <c r="LB42" s="20">
        <v>38</v>
      </c>
      <c r="LC42" s="20" t="s">
        <v>17</v>
      </c>
      <c r="LD42" s="20" t="s">
        <v>13</v>
      </c>
      <c r="LE42" s="33">
        <v>1</v>
      </c>
      <c r="LF42" s="20">
        <v>14</v>
      </c>
      <c r="LG42" s="20">
        <v>7</v>
      </c>
      <c r="LH42" s="20" t="s">
        <v>125</v>
      </c>
      <c r="LI42" s="20" t="s">
        <v>161</v>
      </c>
      <c r="LJ42" s="20">
        <v>18</v>
      </c>
      <c r="LK42" s="20">
        <v>15</v>
      </c>
      <c r="LL42" s="20">
        <v>10</v>
      </c>
      <c r="LM42" s="20">
        <v>17</v>
      </c>
      <c r="LN42" s="20" t="s">
        <v>449</v>
      </c>
      <c r="LO42" s="34">
        <v>0</v>
      </c>
      <c r="LP42" s="20">
        <v>8</v>
      </c>
      <c r="LQ42" s="20">
        <v>0</v>
      </c>
      <c r="LR42" s="20" t="s">
        <v>116</v>
      </c>
      <c r="LS42" s="20" t="s">
        <v>129</v>
      </c>
      <c r="LT42" s="20">
        <v>25</v>
      </c>
      <c r="LU42" s="20">
        <v>12</v>
      </c>
      <c r="LV42" s="20">
        <v>7</v>
      </c>
      <c r="LW42" s="20">
        <v>10</v>
      </c>
      <c r="LX42" s="20" t="s">
        <v>449</v>
      </c>
      <c r="LZ42" s="20">
        <v>1</v>
      </c>
      <c r="MA42" s="20">
        <v>1</v>
      </c>
      <c r="MB42" s="20">
        <v>0</v>
      </c>
      <c r="MC42" s="20">
        <v>0</v>
      </c>
      <c r="MD42" s="20">
        <v>1</v>
      </c>
      <c r="ME42" s="20">
        <v>1</v>
      </c>
      <c r="MF42" s="20">
        <v>0</v>
      </c>
      <c r="MG42" s="20">
        <v>1</v>
      </c>
      <c r="MK42" s="20">
        <v>50</v>
      </c>
      <c r="ML42" s="20">
        <v>7</v>
      </c>
      <c r="MO42" s="20">
        <v>38</v>
      </c>
      <c r="MP42" s="20" t="s">
        <v>14</v>
      </c>
      <c r="MQ42" s="20" t="s">
        <v>22</v>
      </c>
      <c r="MR42" s="33">
        <v>2</v>
      </c>
      <c r="MS42" s="20">
        <v>7</v>
      </c>
      <c r="MT42" s="20">
        <v>4</v>
      </c>
      <c r="MU42" s="20" t="s">
        <v>226</v>
      </c>
      <c r="MV42" s="20" t="s">
        <v>120</v>
      </c>
      <c r="MW42" s="20">
        <v>24</v>
      </c>
      <c r="MX42" s="20">
        <v>14</v>
      </c>
      <c r="MY42" s="20">
        <v>12</v>
      </c>
      <c r="MZ42" s="20">
        <v>10</v>
      </c>
      <c r="NA42" s="20" t="s">
        <v>186</v>
      </c>
      <c r="NB42" s="34">
        <v>1</v>
      </c>
      <c r="NC42" s="20">
        <v>14</v>
      </c>
      <c r="ND42" s="20">
        <v>5</v>
      </c>
      <c r="NE42" s="20" t="s">
        <v>297</v>
      </c>
      <c r="NF42" s="20" t="s">
        <v>161</v>
      </c>
      <c r="NG42" s="20">
        <v>17</v>
      </c>
      <c r="NH42" s="20">
        <v>8</v>
      </c>
      <c r="NI42" s="20">
        <v>15</v>
      </c>
      <c r="NJ42" s="20">
        <v>20</v>
      </c>
      <c r="NK42" s="20" t="s">
        <v>187</v>
      </c>
      <c r="NM42" s="20">
        <v>0</v>
      </c>
      <c r="NN42" s="20">
        <v>1</v>
      </c>
      <c r="NO42" s="20">
        <v>1</v>
      </c>
      <c r="NP42" s="20">
        <v>1</v>
      </c>
      <c r="NQ42" s="20">
        <v>1</v>
      </c>
      <c r="NR42" s="20">
        <v>0</v>
      </c>
      <c r="NS42" s="20">
        <v>1</v>
      </c>
      <c r="NT42" s="20">
        <v>1</v>
      </c>
      <c r="NX42" s="20">
        <v>21.43</v>
      </c>
      <c r="NY42" s="20">
        <v>7</v>
      </c>
      <c r="OB42" s="20">
        <v>38</v>
      </c>
      <c r="OC42" s="20" t="s">
        <v>12</v>
      </c>
      <c r="OD42" s="20" t="s">
        <v>15</v>
      </c>
      <c r="OE42" s="34">
        <v>1</v>
      </c>
      <c r="OF42" s="20">
        <v>12</v>
      </c>
      <c r="OG42" s="20">
        <v>7</v>
      </c>
      <c r="OH42" s="20" t="s">
        <v>405</v>
      </c>
      <c r="OI42" s="20" t="s">
        <v>179</v>
      </c>
      <c r="OJ42" s="20">
        <v>13</v>
      </c>
      <c r="OK42" s="20">
        <v>11</v>
      </c>
      <c r="OL42" s="20">
        <v>7</v>
      </c>
      <c r="OM42" s="20">
        <v>7</v>
      </c>
      <c r="ON42" s="20" t="s">
        <v>307</v>
      </c>
      <c r="OO42" s="33">
        <v>4</v>
      </c>
      <c r="OP42" s="20">
        <v>14</v>
      </c>
      <c r="OQ42" s="20">
        <v>8</v>
      </c>
      <c r="OR42" s="20" t="s">
        <v>226</v>
      </c>
      <c r="OS42" s="20" t="s">
        <v>154</v>
      </c>
      <c r="OT42" s="20">
        <v>11</v>
      </c>
      <c r="OU42" s="20">
        <v>8</v>
      </c>
      <c r="OV42" s="20">
        <v>5</v>
      </c>
      <c r="OW42" s="20">
        <v>6</v>
      </c>
      <c r="OX42" s="20" t="s">
        <v>577</v>
      </c>
      <c r="OZ42" s="20">
        <v>1</v>
      </c>
      <c r="PA42" s="20">
        <v>0</v>
      </c>
      <c r="PB42" s="20">
        <v>0</v>
      </c>
      <c r="PC42" s="20">
        <v>0</v>
      </c>
      <c r="PD42" s="20">
        <v>0</v>
      </c>
      <c r="PE42" s="20">
        <v>0</v>
      </c>
      <c r="PF42" s="20">
        <v>1</v>
      </c>
      <c r="PG42" s="20">
        <v>0</v>
      </c>
      <c r="PK42" s="20">
        <v>1.19</v>
      </c>
      <c r="PL42" s="20">
        <v>2</v>
      </c>
      <c r="PO42" s="20">
        <v>38</v>
      </c>
      <c r="PP42" s="20" t="s">
        <v>17</v>
      </c>
      <c r="PQ42" s="20" t="s">
        <v>13</v>
      </c>
      <c r="PR42" s="34">
        <v>0</v>
      </c>
      <c r="PS42" s="20">
        <v>8</v>
      </c>
      <c r="PT42" s="20">
        <v>0</v>
      </c>
      <c r="PU42" s="20" t="s">
        <v>116</v>
      </c>
      <c r="PV42" s="20" t="s">
        <v>129</v>
      </c>
      <c r="PW42" s="20">
        <v>25</v>
      </c>
      <c r="PX42" s="20">
        <v>12</v>
      </c>
      <c r="PY42" s="20">
        <v>7</v>
      </c>
      <c r="PZ42" s="20">
        <v>10</v>
      </c>
      <c r="QA42" s="20" t="s">
        <v>449</v>
      </c>
      <c r="QB42" s="33">
        <v>1</v>
      </c>
      <c r="QC42" s="20">
        <v>14</v>
      </c>
      <c r="QD42" s="20">
        <v>7</v>
      </c>
      <c r="QE42" s="20" t="s">
        <v>125</v>
      </c>
      <c r="QF42" s="20" t="s">
        <v>161</v>
      </c>
      <c r="QG42" s="20">
        <v>18</v>
      </c>
      <c r="QH42" s="20">
        <v>15</v>
      </c>
      <c r="QI42" s="20">
        <v>10</v>
      </c>
      <c r="QJ42" s="20">
        <v>17</v>
      </c>
      <c r="QK42" s="20" t="s">
        <v>449</v>
      </c>
      <c r="QM42" s="20">
        <v>1</v>
      </c>
      <c r="QN42" s="20">
        <v>1</v>
      </c>
      <c r="QO42" s="20">
        <v>0</v>
      </c>
      <c r="QP42" s="20">
        <v>0</v>
      </c>
      <c r="QQ42" s="20">
        <v>1</v>
      </c>
      <c r="QR42" s="20">
        <v>1</v>
      </c>
      <c r="QS42" s="20">
        <v>0</v>
      </c>
      <c r="QT42" s="20">
        <v>1</v>
      </c>
      <c r="QX42" s="20">
        <v>50</v>
      </c>
      <c r="QY42" s="20">
        <v>7</v>
      </c>
      <c r="RB42" s="20">
        <v>38</v>
      </c>
      <c r="RC42" s="20" t="s">
        <v>18</v>
      </c>
      <c r="RD42" s="20" t="s">
        <v>19</v>
      </c>
      <c r="RE42" s="33">
        <v>4</v>
      </c>
      <c r="RF42" s="20">
        <v>11</v>
      </c>
      <c r="RG42" s="20">
        <v>7</v>
      </c>
      <c r="RH42" s="20" t="s">
        <v>178</v>
      </c>
      <c r="RI42" s="20" t="s">
        <v>123</v>
      </c>
      <c r="RJ42" s="20">
        <v>12</v>
      </c>
      <c r="RK42" s="20">
        <v>22</v>
      </c>
      <c r="RL42" s="20">
        <v>10</v>
      </c>
      <c r="RM42" s="20">
        <v>11</v>
      </c>
      <c r="RN42" s="20" t="s">
        <v>345</v>
      </c>
      <c r="RO42" s="34">
        <v>2</v>
      </c>
      <c r="RP42" s="20">
        <v>13</v>
      </c>
      <c r="RQ42" s="20">
        <v>8</v>
      </c>
      <c r="RR42" s="20" t="s">
        <v>534</v>
      </c>
      <c r="RS42" s="20" t="s">
        <v>151</v>
      </c>
      <c r="RT42" s="20">
        <v>18</v>
      </c>
      <c r="RU42" s="20">
        <v>17</v>
      </c>
      <c r="RV42" s="20">
        <v>10</v>
      </c>
      <c r="RW42" s="20">
        <v>10</v>
      </c>
      <c r="RX42" s="20" t="s">
        <v>346</v>
      </c>
      <c r="RZ42" s="20">
        <v>0</v>
      </c>
      <c r="SA42" s="20">
        <v>1</v>
      </c>
      <c r="SB42" s="20">
        <v>1</v>
      </c>
      <c r="SC42" s="20">
        <v>0</v>
      </c>
      <c r="SD42" s="20">
        <v>1</v>
      </c>
      <c r="SE42" s="20">
        <v>0</v>
      </c>
      <c r="SF42" s="20">
        <v>0</v>
      </c>
      <c r="SG42" s="20">
        <v>0</v>
      </c>
      <c r="SK42" s="20">
        <v>2.1</v>
      </c>
      <c r="SL42" s="20">
        <v>6</v>
      </c>
      <c r="SO42" s="20">
        <v>38</v>
      </c>
      <c r="SP42" s="20" t="s">
        <v>18</v>
      </c>
      <c r="SQ42" s="20" t="s">
        <v>19</v>
      </c>
      <c r="SR42" s="34">
        <v>2</v>
      </c>
      <c r="SS42" s="20">
        <v>13</v>
      </c>
      <c r="ST42" s="20">
        <v>8</v>
      </c>
      <c r="SU42" s="20" t="s">
        <v>534</v>
      </c>
      <c r="SV42" s="20" t="s">
        <v>151</v>
      </c>
      <c r="SW42" s="20">
        <v>18</v>
      </c>
      <c r="SX42" s="20">
        <v>17</v>
      </c>
      <c r="SY42" s="20">
        <v>10</v>
      </c>
      <c r="SZ42" s="20">
        <v>10</v>
      </c>
      <c r="TA42" s="20" t="s">
        <v>346</v>
      </c>
      <c r="TB42" s="33">
        <v>4</v>
      </c>
      <c r="TC42" s="20">
        <v>11</v>
      </c>
      <c r="TD42" s="20">
        <v>7</v>
      </c>
      <c r="TE42" s="20" t="s">
        <v>178</v>
      </c>
      <c r="TF42" s="20" t="s">
        <v>123</v>
      </c>
      <c r="TG42" s="20">
        <v>12</v>
      </c>
      <c r="TH42" s="20">
        <v>22</v>
      </c>
      <c r="TI42" s="20">
        <v>10</v>
      </c>
      <c r="TJ42" s="20">
        <v>11</v>
      </c>
      <c r="TK42" s="20" t="s">
        <v>345</v>
      </c>
      <c r="TM42" s="20">
        <v>0</v>
      </c>
      <c r="TN42" s="20">
        <v>1</v>
      </c>
      <c r="TO42" s="20">
        <v>1</v>
      </c>
      <c r="TP42" s="20">
        <v>0</v>
      </c>
      <c r="TQ42" s="20">
        <v>1</v>
      </c>
      <c r="TR42" s="20">
        <v>0</v>
      </c>
      <c r="TS42" s="20">
        <v>0</v>
      </c>
      <c r="TT42" s="20">
        <v>0</v>
      </c>
      <c r="TX42" s="20">
        <v>2.1</v>
      </c>
      <c r="TY42" s="20">
        <v>6</v>
      </c>
      <c r="UB42" s="20">
        <v>38</v>
      </c>
      <c r="UC42" s="20" t="s">
        <v>16</v>
      </c>
      <c r="UD42" s="20" t="s">
        <v>6</v>
      </c>
      <c r="UE42" s="34">
        <v>0</v>
      </c>
      <c r="UF42" s="20">
        <v>10</v>
      </c>
      <c r="UG42" s="20">
        <v>2</v>
      </c>
      <c r="UH42" s="20" t="s">
        <v>141</v>
      </c>
      <c r="UI42" s="20" t="s">
        <v>230</v>
      </c>
      <c r="UJ42" s="20">
        <v>19</v>
      </c>
      <c r="UK42" s="20">
        <v>5</v>
      </c>
      <c r="UL42" s="20">
        <v>9</v>
      </c>
      <c r="UM42" s="20">
        <v>7</v>
      </c>
      <c r="UN42" s="20" t="s">
        <v>368</v>
      </c>
      <c r="UO42" s="33">
        <v>2</v>
      </c>
      <c r="UP42" s="20">
        <v>16</v>
      </c>
      <c r="UQ42" s="20">
        <v>5</v>
      </c>
      <c r="UR42" s="20" t="s">
        <v>149</v>
      </c>
      <c r="US42" s="20" t="s">
        <v>189</v>
      </c>
      <c r="UT42" s="20">
        <v>14</v>
      </c>
      <c r="UU42" s="20">
        <v>7</v>
      </c>
      <c r="UV42" s="20">
        <v>13</v>
      </c>
      <c r="UW42" s="20">
        <v>10</v>
      </c>
      <c r="UX42" s="20" t="s">
        <v>367</v>
      </c>
      <c r="UZ42" s="20">
        <v>1</v>
      </c>
      <c r="VA42" s="20">
        <v>1</v>
      </c>
      <c r="VB42" s="20">
        <v>1</v>
      </c>
      <c r="VC42" s="20">
        <v>0</v>
      </c>
      <c r="VD42" s="20">
        <v>1</v>
      </c>
      <c r="VE42" s="20">
        <v>1</v>
      </c>
      <c r="VF42" s="20">
        <v>0</v>
      </c>
      <c r="VG42" s="20">
        <v>1</v>
      </c>
      <c r="VK42" s="20">
        <v>11.25</v>
      </c>
      <c r="VL42" s="20">
        <v>5</v>
      </c>
      <c r="VO42" s="20">
        <v>38</v>
      </c>
      <c r="VP42" s="20" t="s">
        <v>20</v>
      </c>
      <c r="VQ42" s="20" t="s">
        <v>5</v>
      </c>
      <c r="VR42" s="34">
        <v>0</v>
      </c>
      <c r="VS42" s="20">
        <v>8</v>
      </c>
      <c r="VT42" s="20">
        <v>2</v>
      </c>
      <c r="VU42" s="20" t="s">
        <v>131</v>
      </c>
      <c r="VV42" s="20" t="s">
        <v>154</v>
      </c>
      <c r="VW42" s="20">
        <v>17</v>
      </c>
      <c r="VX42" s="20">
        <v>3</v>
      </c>
      <c r="VY42" s="20">
        <v>9</v>
      </c>
      <c r="VZ42" s="20">
        <v>13</v>
      </c>
      <c r="WA42" s="20" t="s">
        <v>284</v>
      </c>
      <c r="WB42" s="33">
        <v>3</v>
      </c>
      <c r="WC42" s="20">
        <v>12</v>
      </c>
      <c r="WD42" s="20">
        <v>10</v>
      </c>
      <c r="WE42" s="20" t="s">
        <v>463</v>
      </c>
      <c r="WF42" s="20" t="s">
        <v>179</v>
      </c>
      <c r="WG42" s="20">
        <v>19</v>
      </c>
      <c r="WH42" s="20">
        <v>12</v>
      </c>
      <c r="WI42" s="20">
        <v>13</v>
      </c>
      <c r="WJ42" s="20">
        <v>9</v>
      </c>
      <c r="WK42" s="20" t="s">
        <v>282</v>
      </c>
      <c r="WM42" s="20">
        <v>1</v>
      </c>
      <c r="WN42" s="20">
        <v>1</v>
      </c>
      <c r="WO42" s="20">
        <v>1</v>
      </c>
      <c r="WP42" s="20">
        <v>1</v>
      </c>
      <c r="WQ42" s="20">
        <v>1</v>
      </c>
      <c r="WR42" s="20">
        <v>1</v>
      </c>
      <c r="WS42" s="20">
        <v>1</v>
      </c>
      <c r="WT42" s="20">
        <v>1</v>
      </c>
      <c r="WX42" s="20">
        <v>58.33</v>
      </c>
      <c r="WY42" s="20">
        <v>2</v>
      </c>
      <c r="XB42" s="20">
        <v>38</v>
      </c>
      <c r="XC42" s="20" t="s">
        <v>34</v>
      </c>
      <c r="XD42" s="20" t="s">
        <v>8</v>
      </c>
      <c r="XE42" s="33">
        <v>2</v>
      </c>
      <c r="XF42" s="20">
        <v>15</v>
      </c>
      <c r="XG42" s="20">
        <v>6</v>
      </c>
      <c r="XH42" s="20" t="s">
        <v>133</v>
      </c>
      <c r="XI42" s="20" t="s">
        <v>258</v>
      </c>
      <c r="XJ42" s="20">
        <v>21</v>
      </c>
      <c r="XK42" s="20">
        <v>10</v>
      </c>
      <c r="XL42" s="20">
        <v>12</v>
      </c>
      <c r="XM42" s="20">
        <v>9</v>
      </c>
      <c r="XN42" s="20" t="s">
        <v>472</v>
      </c>
      <c r="XO42" s="34">
        <v>0</v>
      </c>
      <c r="XP42" s="20">
        <v>11</v>
      </c>
      <c r="XQ42" s="20">
        <v>5</v>
      </c>
      <c r="XR42" s="20" t="s">
        <v>358</v>
      </c>
      <c r="XS42" s="20" t="s">
        <v>230</v>
      </c>
      <c r="XT42" s="20">
        <v>13</v>
      </c>
      <c r="XU42" s="20">
        <v>11</v>
      </c>
      <c r="XV42" s="20">
        <v>12</v>
      </c>
      <c r="XW42" s="20">
        <v>15</v>
      </c>
      <c r="XX42" s="20" t="s">
        <v>471</v>
      </c>
      <c r="XZ42" s="20">
        <v>1</v>
      </c>
      <c r="YA42" s="20">
        <v>0</v>
      </c>
      <c r="YB42" s="20">
        <v>1</v>
      </c>
      <c r="YC42" s="20">
        <v>1</v>
      </c>
      <c r="YD42" s="20">
        <v>0</v>
      </c>
      <c r="YE42" s="20">
        <v>0</v>
      </c>
      <c r="YF42" s="20">
        <v>1</v>
      </c>
      <c r="YG42" s="20">
        <v>1</v>
      </c>
      <c r="YK42" s="20">
        <v>5.45</v>
      </c>
      <c r="YL42" s="20">
        <v>8</v>
      </c>
      <c r="YO42" s="20">
        <v>38</v>
      </c>
      <c r="YP42" s="20" t="s">
        <v>21</v>
      </c>
      <c r="YQ42" s="20" t="s">
        <v>23</v>
      </c>
      <c r="YR42" s="33">
        <v>3</v>
      </c>
      <c r="YS42" s="20">
        <v>19</v>
      </c>
      <c r="YT42" s="20">
        <v>9</v>
      </c>
      <c r="YU42" s="20" t="s">
        <v>245</v>
      </c>
      <c r="YV42" s="20" t="s">
        <v>120</v>
      </c>
      <c r="YW42" s="20">
        <v>20</v>
      </c>
      <c r="YX42" s="20">
        <v>21</v>
      </c>
      <c r="YY42" s="20">
        <v>6</v>
      </c>
      <c r="YZ42" s="20">
        <v>10</v>
      </c>
      <c r="ZA42" s="20" t="s">
        <v>391</v>
      </c>
      <c r="ZB42" s="34">
        <v>1</v>
      </c>
      <c r="ZC42" s="20">
        <v>8</v>
      </c>
      <c r="ZD42" s="20">
        <v>2</v>
      </c>
      <c r="ZE42" s="20" t="s">
        <v>131</v>
      </c>
      <c r="ZF42" s="20" t="s">
        <v>176</v>
      </c>
      <c r="ZG42" s="20">
        <v>22</v>
      </c>
      <c r="ZH42" s="20">
        <v>15</v>
      </c>
      <c r="ZI42" s="20">
        <v>7</v>
      </c>
      <c r="ZJ42" s="20">
        <v>10</v>
      </c>
      <c r="ZK42" s="20" t="s">
        <v>390</v>
      </c>
      <c r="ZM42" s="20">
        <v>1</v>
      </c>
      <c r="ZN42" s="20">
        <v>1</v>
      </c>
      <c r="ZO42" s="20">
        <v>1</v>
      </c>
      <c r="ZP42" s="20">
        <v>0</v>
      </c>
      <c r="ZQ42" s="20">
        <v>1</v>
      </c>
      <c r="ZR42" s="20">
        <v>0</v>
      </c>
      <c r="ZS42" s="20">
        <v>0</v>
      </c>
      <c r="ZT42" s="20">
        <v>1</v>
      </c>
      <c r="ZX42" s="20">
        <v>22.37</v>
      </c>
      <c r="ZY42" s="20">
        <v>2</v>
      </c>
      <c r="AAB42" s="20">
        <v>38</v>
      </c>
      <c r="AAC42" s="20" t="s">
        <v>14</v>
      </c>
      <c r="AAD42" s="20" t="s">
        <v>22</v>
      </c>
      <c r="AAE42" s="34">
        <v>1</v>
      </c>
      <c r="AAF42" s="20">
        <v>14</v>
      </c>
      <c r="AAG42" s="20">
        <v>5</v>
      </c>
      <c r="AAH42" s="20" t="s">
        <v>297</v>
      </c>
      <c r="AAI42" s="20" t="s">
        <v>161</v>
      </c>
      <c r="AAJ42" s="20">
        <v>17</v>
      </c>
      <c r="AAK42" s="20">
        <v>8</v>
      </c>
      <c r="AAL42" s="20">
        <v>15</v>
      </c>
      <c r="AAM42" s="20">
        <v>20</v>
      </c>
      <c r="AAN42" s="20" t="s">
        <v>187</v>
      </c>
      <c r="AAO42" s="33">
        <v>2</v>
      </c>
      <c r="AAP42" s="20">
        <v>7</v>
      </c>
      <c r="AAQ42" s="20">
        <v>4</v>
      </c>
      <c r="AAR42" s="20" t="s">
        <v>226</v>
      </c>
      <c r="AAS42" s="20" t="s">
        <v>120</v>
      </c>
      <c r="AAT42" s="20">
        <v>24</v>
      </c>
      <c r="AAU42" s="20">
        <v>14</v>
      </c>
      <c r="AAV42" s="20">
        <v>12</v>
      </c>
      <c r="AAW42" s="20">
        <v>10</v>
      </c>
      <c r="AAX42" s="20" t="s">
        <v>186</v>
      </c>
      <c r="AAZ42" s="20">
        <v>0</v>
      </c>
      <c r="ABA42" s="20">
        <v>1</v>
      </c>
      <c r="ABB42" s="20">
        <v>1</v>
      </c>
      <c r="ABC42" s="20">
        <v>1</v>
      </c>
      <c r="ABD42" s="20">
        <v>1</v>
      </c>
      <c r="ABE42" s="20">
        <v>0</v>
      </c>
      <c r="ABF42" s="20">
        <v>1</v>
      </c>
      <c r="ABG42" s="20">
        <v>1</v>
      </c>
      <c r="ABK42" s="20">
        <v>21.43</v>
      </c>
      <c r="ABL42" s="20">
        <v>7</v>
      </c>
      <c r="ABO42" s="20">
        <v>38</v>
      </c>
      <c r="ABP42" s="20" t="s">
        <v>21</v>
      </c>
      <c r="ABQ42" s="20" t="s">
        <v>23</v>
      </c>
      <c r="ABR42" s="34">
        <v>1</v>
      </c>
      <c r="ABS42" s="20">
        <v>8</v>
      </c>
      <c r="ABT42" s="20">
        <v>2</v>
      </c>
      <c r="ABU42" s="20" t="s">
        <v>131</v>
      </c>
      <c r="ABV42" s="20" t="s">
        <v>176</v>
      </c>
      <c r="ABW42" s="20">
        <v>22</v>
      </c>
      <c r="ABX42" s="20">
        <v>15</v>
      </c>
      <c r="ABY42" s="20">
        <v>7</v>
      </c>
      <c r="ABZ42" s="20">
        <v>10</v>
      </c>
      <c r="ACA42" s="20" t="s">
        <v>390</v>
      </c>
      <c r="ACB42" s="33">
        <v>3</v>
      </c>
      <c r="ACC42" s="20">
        <v>19</v>
      </c>
      <c r="ACD42" s="20">
        <v>9</v>
      </c>
      <c r="ACE42" s="20" t="s">
        <v>245</v>
      </c>
      <c r="ACF42" s="20" t="s">
        <v>120</v>
      </c>
      <c r="ACG42" s="20">
        <v>20</v>
      </c>
      <c r="ACH42" s="20">
        <v>21</v>
      </c>
      <c r="ACI42" s="20">
        <v>6</v>
      </c>
      <c r="ACJ42" s="20">
        <v>10</v>
      </c>
      <c r="ACK42" s="20" t="s">
        <v>391</v>
      </c>
      <c r="ACM42" s="20">
        <v>1</v>
      </c>
      <c r="ACN42" s="20">
        <v>1</v>
      </c>
      <c r="ACO42" s="20">
        <v>1</v>
      </c>
      <c r="ACP42" s="20">
        <v>0</v>
      </c>
      <c r="ACQ42" s="20">
        <v>1</v>
      </c>
      <c r="ACR42" s="20">
        <v>0</v>
      </c>
      <c r="ACS42" s="20">
        <v>0</v>
      </c>
      <c r="ACT42" s="20">
        <v>1</v>
      </c>
      <c r="ACX42" s="20">
        <v>22.37</v>
      </c>
      <c r="ACY42" s="20">
        <v>2</v>
      </c>
    </row>
    <row r="43" spans="1:781" x14ac:dyDescent="0.3">
      <c r="AK43" s="20"/>
      <c r="AM43" s="20"/>
      <c r="AN43" s="20"/>
      <c r="AU43" s="20"/>
      <c r="AW43" s="20"/>
      <c r="AX43" s="20"/>
      <c r="BO43" s="20"/>
      <c r="BP43" s="20"/>
      <c r="BQ43" s="20"/>
      <c r="BR43" s="20"/>
      <c r="BS43" s="20"/>
      <c r="BY43" s="20"/>
      <c r="BZ43" s="20"/>
      <c r="CA43" s="20"/>
      <c r="CB43" s="20"/>
      <c r="CC43" s="20"/>
      <c r="CP43" s="20"/>
      <c r="CS43" s="20"/>
      <c r="CT43" s="20"/>
      <c r="CU43" s="20"/>
      <c r="CV43" s="20"/>
      <c r="CZ43" s="20"/>
      <c r="DC43" s="20"/>
      <c r="DD43" s="20"/>
      <c r="DE43" s="20"/>
      <c r="DF43" s="20"/>
      <c r="JD43" s="36"/>
      <c r="JE43" s="36"/>
      <c r="KP43" s="36"/>
    </row>
    <row r="44" spans="1:781" x14ac:dyDescent="0.3">
      <c r="Y44" s="20" t="s">
        <v>578</v>
      </c>
      <c r="Z44" s="20">
        <v>26</v>
      </c>
      <c r="AA44" s="20">
        <v>22</v>
      </c>
      <c r="AB44" s="20">
        <v>28</v>
      </c>
      <c r="AC44" s="20">
        <v>15</v>
      </c>
      <c r="AD44" s="20">
        <v>22</v>
      </c>
      <c r="AE44" s="20">
        <v>30</v>
      </c>
      <c r="AF44" s="20">
        <v>18</v>
      </c>
      <c r="AG44" s="20">
        <v>28</v>
      </c>
      <c r="AH44" s="20" t="s">
        <v>579</v>
      </c>
      <c r="AI44" s="20">
        <v>34</v>
      </c>
      <c r="AJ44" s="20" t="s">
        <v>580</v>
      </c>
      <c r="AK44" s="36">
        <v>20.25</v>
      </c>
      <c r="AL44" s="20">
        <v>5.26</v>
      </c>
      <c r="AM44" s="20" t="s">
        <v>581</v>
      </c>
      <c r="AN44" s="20">
        <v>34</v>
      </c>
      <c r="AU44" s="20"/>
      <c r="AW44" s="20"/>
      <c r="AX44" s="20"/>
      <c r="BL44" s="20" t="s">
        <v>578</v>
      </c>
      <c r="BM44" s="20">
        <v>29</v>
      </c>
      <c r="BN44" s="20">
        <v>22</v>
      </c>
      <c r="BO44" s="20">
        <v>24</v>
      </c>
      <c r="BP44" s="20">
        <v>19</v>
      </c>
      <c r="BQ44" s="20">
        <v>20</v>
      </c>
      <c r="BR44" s="20">
        <v>23</v>
      </c>
      <c r="BS44" s="20">
        <v>20</v>
      </c>
      <c r="BT44" s="20">
        <v>23</v>
      </c>
      <c r="BU44" s="20" t="s">
        <v>579</v>
      </c>
      <c r="BV44" s="20">
        <v>32</v>
      </c>
      <c r="BW44" s="20" t="s">
        <v>580</v>
      </c>
      <c r="BX44" s="20">
        <v>15.58</v>
      </c>
      <c r="BY44" s="20">
        <v>6.24</v>
      </c>
      <c r="BZ44" s="20" t="s">
        <v>581</v>
      </c>
      <c r="CA44" s="20">
        <v>32</v>
      </c>
      <c r="CB44" s="20"/>
      <c r="CC44" s="20"/>
      <c r="CP44" s="20"/>
      <c r="CS44" s="20"/>
      <c r="CT44" s="20"/>
      <c r="CU44" s="20"/>
      <c r="CV44" s="20"/>
      <c r="CY44" s="20" t="s">
        <v>578</v>
      </c>
      <c r="CZ44" s="20">
        <v>28</v>
      </c>
      <c r="DA44" s="20">
        <v>19</v>
      </c>
      <c r="DB44" s="20">
        <v>17</v>
      </c>
      <c r="DC44" s="20">
        <v>21</v>
      </c>
      <c r="DD44" s="20">
        <v>14</v>
      </c>
      <c r="DE44" s="20">
        <v>23</v>
      </c>
      <c r="DF44" s="20">
        <v>24</v>
      </c>
      <c r="DG44" s="20">
        <v>18</v>
      </c>
      <c r="DH44" s="20" t="s">
        <v>579</v>
      </c>
      <c r="DI44" s="20">
        <v>34</v>
      </c>
      <c r="DJ44" s="20" t="s">
        <v>580</v>
      </c>
      <c r="DK44" s="20">
        <v>16.62</v>
      </c>
      <c r="DL44" s="20">
        <v>6.6</v>
      </c>
      <c r="DM44" s="20" t="s">
        <v>581</v>
      </c>
      <c r="DN44" s="20">
        <v>34</v>
      </c>
      <c r="EL44" s="20" t="s">
        <v>578</v>
      </c>
      <c r="EM44" s="20">
        <v>23</v>
      </c>
      <c r="EN44" s="20">
        <v>18</v>
      </c>
      <c r="EO44" s="20">
        <v>12</v>
      </c>
      <c r="EP44" s="20">
        <v>16</v>
      </c>
      <c r="EQ44" s="20">
        <v>12</v>
      </c>
      <c r="ER44" s="20">
        <v>12</v>
      </c>
      <c r="ES44" s="20">
        <v>17</v>
      </c>
      <c r="ET44" s="20">
        <v>13</v>
      </c>
      <c r="EU44" s="20" t="s">
        <v>579</v>
      </c>
      <c r="EV44" s="20">
        <v>28</v>
      </c>
      <c r="EW44" s="20" t="s">
        <v>580</v>
      </c>
      <c r="EX44" s="36">
        <f>AVERAGE(EX6:EX12,EX14:EX15,EX17:EX23,EX26,EX28,EX30,EX32:EX33,EX35:EX38,EX40:EX42)</f>
        <v>20.649285714285718</v>
      </c>
      <c r="EY44" s="36">
        <f>AVERAGE(EY6:EY12,EY14:EY15,EY17:EY23,EY26,EY28,EY30,EY32:EY33,EY35:EY38,EY40:EY42)</f>
        <v>4.7142857142857144</v>
      </c>
      <c r="EZ44" s="20" t="s">
        <v>590</v>
      </c>
      <c r="FA44" s="20">
        <v>28</v>
      </c>
      <c r="FY44" s="20" t="s">
        <v>578</v>
      </c>
      <c r="FZ44" s="20">
        <v>25</v>
      </c>
      <c r="GA44" s="20">
        <v>19</v>
      </c>
      <c r="GB44" s="20">
        <v>11</v>
      </c>
      <c r="GC44" s="20">
        <v>19</v>
      </c>
      <c r="GD44" s="20">
        <v>17</v>
      </c>
      <c r="GE44" s="20">
        <v>14</v>
      </c>
      <c r="GF44" s="20">
        <v>18</v>
      </c>
      <c r="GG44" s="20">
        <v>13</v>
      </c>
      <c r="GH44" s="20" t="s">
        <v>579</v>
      </c>
      <c r="GI44" s="20">
        <v>30</v>
      </c>
      <c r="GJ44" s="20" t="s">
        <v>580</v>
      </c>
      <c r="GK44" s="20">
        <v>19.72</v>
      </c>
      <c r="GL44" s="20">
        <v>5.88</v>
      </c>
      <c r="GM44" s="20" t="s">
        <v>581</v>
      </c>
      <c r="GN44" s="20">
        <v>30</v>
      </c>
      <c r="HL44" s="20" t="s">
        <v>578</v>
      </c>
      <c r="HM44" s="20">
        <v>22</v>
      </c>
      <c r="HN44" s="20">
        <v>18</v>
      </c>
      <c r="HO44" s="20">
        <v>18</v>
      </c>
      <c r="HP44" s="20">
        <v>20</v>
      </c>
      <c r="HQ44" s="20">
        <v>15</v>
      </c>
      <c r="HR44" s="20">
        <v>19</v>
      </c>
      <c r="HS44" s="20">
        <v>18</v>
      </c>
      <c r="HT44" s="20">
        <v>19</v>
      </c>
      <c r="HU44" s="20" t="s">
        <v>579</v>
      </c>
      <c r="HV44" s="20">
        <v>29</v>
      </c>
      <c r="HW44" s="20" t="s">
        <v>580</v>
      </c>
      <c r="HX44" s="20">
        <v>18.16</v>
      </c>
      <c r="HY44" s="20">
        <v>5.63</v>
      </c>
      <c r="HZ44" s="20" t="s">
        <v>581</v>
      </c>
      <c r="IA44" s="20">
        <v>29</v>
      </c>
      <c r="IY44" s="20" t="s">
        <v>578</v>
      </c>
      <c r="IZ44" s="20">
        <v>21</v>
      </c>
      <c r="JA44" s="20">
        <v>17</v>
      </c>
      <c r="JB44" s="20">
        <v>14</v>
      </c>
      <c r="JC44" s="20">
        <v>15</v>
      </c>
      <c r="JD44" s="36">
        <v>12</v>
      </c>
      <c r="JE44" s="36">
        <v>12</v>
      </c>
      <c r="JF44" s="20">
        <v>17</v>
      </c>
      <c r="JG44" s="20">
        <v>14</v>
      </c>
      <c r="JH44" s="20" t="s">
        <v>579</v>
      </c>
      <c r="JI44" s="20">
        <v>28</v>
      </c>
      <c r="JJ44" s="20" t="s">
        <v>580</v>
      </c>
      <c r="JK44" s="20">
        <v>22.58</v>
      </c>
      <c r="JL44" s="20">
        <v>5.9</v>
      </c>
      <c r="JM44" s="20" t="s">
        <v>581</v>
      </c>
      <c r="JN44" s="20">
        <v>28</v>
      </c>
      <c r="KL44" s="20" t="s">
        <v>578</v>
      </c>
      <c r="KM44" s="20">
        <v>17</v>
      </c>
      <c r="KN44" s="20">
        <v>19</v>
      </c>
      <c r="KO44" s="20">
        <v>12</v>
      </c>
      <c r="KP44" s="36">
        <v>18</v>
      </c>
      <c r="KQ44" s="36">
        <v>12</v>
      </c>
      <c r="KR44" s="20">
        <v>16</v>
      </c>
      <c r="KS44" s="20">
        <v>16</v>
      </c>
      <c r="KT44" s="20">
        <v>10</v>
      </c>
      <c r="KU44" s="20" t="s">
        <v>579</v>
      </c>
      <c r="KV44" s="20">
        <v>26</v>
      </c>
      <c r="KW44" s="20" t="s">
        <v>580</v>
      </c>
      <c r="KX44" s="20">
        <v>17.89</v>
      </c>
      <c r="KY44" s="20">
        <v>4.95</v>
      </c>
      <c r="KZ44" s="20" t="s">
        <v>581</v>
      </c>
      <c r="LA44" s="20">
        <v>26</v>
      </c>
      <c r="LY44" s="20" t="s">
        <v>578</v>
      </c>
      <c r="LZ44" s="20">
        <v>22</v>
      </c>
      <c r="MA44" s="20">
        <v>22</v>
      </c>
      <c r="MB44" s="20">
        <v>6</v>
      </c>
      <c r="MC44" s="20">
        <v>18</v>
      </c>
      <c r="MD44" s="20">
        <v>14</v>
      </c>
      <c r="ME44" s="20">
        <v>14</v>
      </c>
      <c r="MF44" s="20">
        <v>14</v>
      </c>
      <c r="MG44" s="20">
        <v>8</v>
      </c>
      <c r="MH44" s="20" t="s">
        <v>579</v>
      </c>
      <c r="MI44" s="20">
        <v>29</v>
      </c>
      <c r="MJ44" s="20" t="s">
        <v>580</v>
      </c>
      <c r="MK44" s="20">
        <v>25.31</v>
      </c>
      <c r="ML44" s="20">
        <v>4.99</v>
      </c>
      <c r="MM44" s="20" t="s">
        <v>581</v>
      </c>
      <c r="MN44" s="20">
        <v>29</v>
      </c>
      <c r="NL44" s="20" t="s">
        <v>578</v>
      </c>
      <c r="NM44" s="20">
        <v>16</v>
      </c>
      <c r="NN44" s="20">
        <v>18</v>
      </c>
      <c r="NO44" s="20">
        <v>10</v>
      </c>
      <c r="NP44" s="20">
        <v>15</v>
      </c>
      <c r="NQ44" s="20">
        <v>15</v>
      </c>
      <c r="NR44" s="20">
        <v>13</v>
      </c>
      <c r="NS44" s="20">
        <v>13</v>
      </c>
      <c r="NT44" s="20">
        <v>10</v>
      </c>
      <c r="NU44" s="20" t="s">
        <v>579</v>
      </c>
      <c r="NV44" s="20">
        <v>26</v>
      </c>
      <c r="NW44" s="20" t="s">
        <v>580</v>
      </c>
      <c r="NX44" s="20">
        <v>15.11</v>
      </c>
      <c r="NY44" s="20">
        <v>7.53</v>
      </c>
      <c r="NZ44" s="20" t="s">
        <v>581</v>
      </c>
      <c r="OA44" s="20">
        <v>26</v>
      </c>
      <c r="OY44" s="20" t="s">
        <v>578</v>
      </c>
      <c r="OZ44" s="20">
        <v>24</v>
      </c>
      <c r="PA44" s="20">
        <v>17</v>
      </c>
      <c r="PB44" s="20">
        <v>15</v>
      </c>
      <c r="PC44" s="20">
        <v>18</v>
      </c>
      <c r="PD44" s="20">
        <v>15</v>
      </c>
      <c r="PE44" s="20">
        <v>21</v>
      </c>
      <c r="PF44" s="20">
        <v>15</v>
      </c>
      <c r="PG44" s="20">
        <v>14</v>
      </c>
      <c r="PH44" s="20" t="s">
        <v>579</v>
      </c>
      <c r="PI44" s="20">
        <v>30</v>
      </c>
      <c r="PJ44" s="20" t="s">
        <v>580</v>
      </c>
      <c r="PK44" s="20">
        <v>16.829999999999998</v>
      </c>
      <c r="PL44" s="20">
        <v>6.51</v>
      </c>
      <c r="PM44" s="20" t="s">
        <v>581</v>
      </c>
      <c r="PN44" s="20">
        <v>30</v>
      </c>
      <c r="QL44" s="20" t="s">
        <v>578</v>
      </c>
      <c r="QM44" s="20">
        <v>21</v>
      </c>
      <c r="QN44" s="20">
        <v>15</v>
      </c>
      <c r="QO44" s="20">
        <v>11</v>
      </c>
      <c r="QP44" s="20">
        <v>15</v>
      </c>
      <c r="QQ44" s="20">
        <v>13</v>
      </c>
      <c r="QR44" s="20">
        <v>15</v>
      </c>
      <c r="QS44" s="20">
        <v>15</v>
      </c>
      <c r="QT44" s="20">
        <v>12</v>
      </c>
      <c r="QU44" s="20" t="s">
        <v>579</v>
      </c>
      <c r="QV44" s="20">
        <v>27</v>
      </c>
      <c r="QW44" s="20" t="s">
        <v>580</v>
      </c>
      <c r="QX44" s="20">
        <v>18.32</v>
      </c>
      <c r="QY44" s="20">
        <v>6.08</v>
      </c>
      <c r="QZ44" s="20" t="s">
        <v>581</v>
      </c>
      <c r="RA44" s="20">
        <v>27</v>
      </c>
      <c r="RY44" s="20" t="s">
        <v>578</v>
      </c>
      <c r="RZ44" s="20">
        <v>23</v>
      </c>
      <c r="SA44" s="20">
        <v>21</v>
      </c>
      <c r="SB44" s="20">
        <v>12</v>
      </c>
      <c r="SC44" s="20">
        <v>14</v>
      </c>
      <c r="SD44" s="20">
        <v>14</v>
      </c>
      <c r="SE44" s="20">
        <v>20</v>
      </c>
      <c r="SF44" s="20">
        <v>15</v>
      </c>
      <c r="SG44" s="20">
        <v>10</v>
      </c>
      <c r="SH44" s="20" t="s">
        <v>579</v>
      </c>
      <c r="SI44" s="20">
        <v>31</v>
      </c>
      <c r="SJ44" s="20" t="s">
        <v>580</v>
      </c>
      <c r="SK44" s="20">
        <v>22.71</v>
      </c>
      <c r="SL44" s="20">
        <v>6.62</v>
      </c>
      <c r="SM44" s="20" t="s">
        <v>581</v>
      </c>
      <c r="SN44" s="20">
        <v>31</v>
      </c>
      <c r="TL44" s="20" t="s">
        <v>578</v>
      </c>
      <c r="TM44" s="20">
        <v>20</v>
      </c>
      <c r="TN44" s="20">
        <v>19</v>
      </c>
      <c r="TO44" s="20">
        <v>16</v>
      </c>
      <c r="TP44" s="20">
        <v>19</v>
      </c>
      <c r="TQ44" s="20">
        <v>21</v>
      </c>
      <c r="TR44" s="20">
        <v>17</v>
      </c>
      <c r="TS44" s="20">
        <v>18</v>
      </c>
      <c r="TT44" s="20">
        <v>14</v>
      </c>
      <c r="TU44" s="20" t="s">
        <v>579</v>
      </c>
      <c r="TV44" s="20">
        <v>28</v>
      </c>
      <c r="TW44" s="20" t="s">
        <v>580</v>
      </c>
      <c r="TX44" s="20">
        <v>25.43</v>
      </c>
      <c r="TY44" s="20">
        <v>5.62</v>
      </c>
      <c r="TZ44" s="20" t="s">
        <v>581</v>
      </c>
      <c r="UA44" s="20">
        <v>28</v>
      </c>
      <c r="UY44" s="20" t="s">
        <v>578</v>
      </c>
      <c r="UZ44" s="20">
        <v>18</v>
      </c>
      <c r="VA44" s="20">
        <v>16</v>
      </c>
      <c r="VB44" s="20">
        <v>8</v>
      </c>
      <c r="VC44" s="20">
        <v>11</v>
      </c>
      <c r="VD44" s="20">
        <v>10</v>
      </c>
      <c r="VE44" s="20">
        <v>15</v>
      </c>
      <c r="VF44" s="20">
        <v>13</v>
      </c>
      <c r="VG44" s="20">
        <v>7</v>
      </c>
      <c r="VH44" s="20" t="s">
        <v>579</v>
      </c>
      <c r="VI44" s="20">
        <v>20</v>
      </c>
      <c r="VJ44" s="20" t="s">
        <v>580</v>
      </c>
      <c r="VK44" s="20">
        <v>20.62</v>
      </c>
      <c r="VL44" s="20">
        <v>6.79</v>
      </c>
      <c r="VM44" s="20" t="s">
        <v>581</v>
      </c>
      <c r="VN44" s="20">
        <v>20</v>
      </c>
      <c r="WL44" s="20" t="s">
        <v>578</v>
      </c>
      <c r="WM44" s="20">
        <v>21</v>
      </c>
      <c r="WN44" s="20">
        <v>23</v>
      </c>
      <c r="WO44" s="20">
        <v>13</v>
      </c>
      <c r="WP44" s="20">
        <v>22</v>
      </c>
      <c r="WQ44" s="20">
        <v>16</v>
      </c>
      <c r="WR44" s="20">
        <v>14</v>
      </c>
      <c r="WS44" s="20">
        <v>20</v>
      </c>
      <c r="WT44" s="20">
        <v>12</v>
      </c>
      <c r="WU44" s="20" t="s">
        <v>579</v>
      </c>
      <c r="WV44" s="20">
        <v>29</v>
      </c>
      <c r="WW44" s="20" t="s">
        <v>580</v>
      </c>
      <c r="WX44" s="36">
        <f>AVERAGE(WX5:WX10,WX15:WX16,WX18:WX32,WX37:WX42)</f>
        <v>24.964827586206898</v>
      </c>
      <c r="WY44" s="20">
        <f>AVERAGE(WY5:WY10,WY15:WY16,WY18:WY32,WY37:WY42)</f>
        <v>5</v>
      </c>
      <c r="WZ44" s="20" t="s">
        <v>581</v>
      </c>
      <c r="XA44" s="20">
        <v>29</v>
      </c>
      <c r="XY44" s="20" t="s">
        <v>578</v>
      </c>
      <c r="XZ44" s="20">
        <v>21</v>
      </c>
      <c r="YA44" s="20">
        <v>17</v>
      </c>
      <c r="YB44" s="20">
        <v>15</v>
      </c>
      <c r="YC44" s="20">
        <v>20</v>
      </c>
      <c r="YD44" s="20">
        <v>19</v>
      </c>
      <c r="YE44" s="20">
        <v>15</v>
      </c>
      <c r="YF44" s="20">
        <v>19</v>
      </c>
      <c r="YG44" s="20">
        <v>16</v>
      </c>
      <c r="YH44" s="20" t="s">
        <v>579</v>
      </c>
      <c r="YI44" s="20">
        <v>29</v>
      </c>
      <c r="YJ44" s="20" t="s">
        <v>580</v>
      </c>
      <c r="YK44" s="20">
        <v>26.18</v>
      </c>
      <c r="YL44" s="20">
        <v>5.57</v>
      </c>
      <c r="YM44" s="20" t="s">
        <v>581</v>
      </c>
      <c r="YN44" s="20">
        <v>29</v>
      </c>
      <c r="ZL44" s="20" t="s">
        <v>578</v>
      </c>
      <c r="ZM44" s="20">
        <v>23</v>
      </c>
      <c r="ZN44" s="20">
        <v>20</v>
      </c>
      <c r="ZO44" s="20">
        <v>11</v>
      </c>
      <c r="ZP44" s="20">
        <v>17</v>
      </c>
      <c r="ZQ44" s="20">
        <v>16</v>
      </c>
      <c r="ZR44" s="20">
        <v>14</v>
      </c>
      <c r="ZS44" s="20">
        <v>11</v>
      </c>
      <c r="ZT44" s="20">
        <v>11</v>
      </c>
      <c r="ZU44" s="20" t="s">
        <v>579</v>
      </c>
      <c r="ZV44" s="20">
        <v>27</v>
      </c>
      <c r="ZW44" s="20" t="s">
        <v>580</v>
      </c>
      <c r="ZX44" s="20">
        <v>19.41</v>
      </c>
      <c r="ZY44" s="20">
        <v>6.04</v>
      </c>
      <c r="ZZ44" s="20" t="s">
        <v>581</v>
      </c>
      <c r="AAA44" s="20">
        <v>27</v>
      </c>
      <c r="AAY44" s="20" t="s">
        <v>578</v>
      </c>
      <c r="AAZ44" s="20">
        <v>22</v>
      </c>
      <c r="ABA44" s="20">
        <v>25</v>
      </c>
      <c r="ABB44" s="20">
        <v>15</v>
      </c>
      <c r="ABC44" s="20">
        <v>16</v>
      </c>
      <c r="ABD44" s="20">
        <v>22</v>
      </c>
      <c r="ABE44" s="20">
        <v>17</v>
      </c>
      <c r="ABF44" s="20">
        <v>14</v>
      </c>
      <c r="ABG44" s="20">
        <v>14</v>
      </c>
      <c r="ABH44" s="20" t="s">
        <v>579</v>
      </c>
      <c r="ABI44" s="20">
        <v>29</v>
      </c>
      <c r="ABJ44" s="20" t="s">
        <v>580</v>
      </c>
      <c r="ABK44" s="20">
        <v>20.59</v>
      </c>
      <c r="ABL44" s="20">
        <v>5.96</v>
      </c>
      <c r="ABM44" s="20" t="s">
        <v>581</v>
      </c>
      <c r="ABN44" s="20">
        <v>29</v>
      </c>
      <c r="ACL44" s="20" t="s">
        <v>578</v>
      </c>
      <c r="ACM44" s="20">
        <v>24</v>
      </c>
      <c r="ACN44" s="20">
        <v>25</v>
      </c>
      <c r="ACO44" s="20">
        <v>16</v>
      </c>
      <c r="ACP44" s="20">
        <v>16</v>
      </c>
      <c r="ACQ44" s="20">
        <v>19</v>
      </c>
      <c r="ACR44" s="20">
        <v>14</v>
      </c>
      <c r="ACS44" s="20">
        <v>15</v>
      </c>
      <c r="ACT44" s="20">
        <v>18</v>
      </c>
      <c r="ACU44" s="20" t="s">
        <v>579</v>
      </c>
      <c r="ACV44" s="20">
        <v>30</v>
      </c>
      <c r="ACW44" s="20" t="s">
        <v>580</v>
      </c>
      <c r="ACX44" s="20">
        <v>18.149999999999999</v>
      </c>
      <c r="ACY44" s="20">
        <v>8.07</v>
      </c>
      <c r="ACZ44" s="20" t="s">
        <v>581</v>
      </c>
      <c r="ADA44" s="20">
        <v>30</v>
      </c>
    </row>
    <row r="45" spans="1:781" x14ac:dyDescent="0.3">
      <c r="Y45" s="20" t="s">
        <v>582</v>
      </c>
      <c r="Z45" s="20">
        <v>30</v>
      </c>
      <c r="AA45" s="20">
        <v>24</v>
      </c>
      <c r="AB45" s="20">
        <v>32</v>
      </c>
      <c r="AC45" s="20">
        <v>15</v>
      </c>
      <c r="AD45" s="20">
        <v>25</v>
      </c>
      <c r="AE45" s="20">
        <v>33</v>
      </c>
      <c r="AF45" s="20">
        <v>19</v>
      </c>
      <c r="AG45" s="20">
        <v>32</v>
      </c>
      <c r="AH45" s="20" t="s">
        <v>583</v>
      </c>
      <c r="AI45" s="20">
        <v>38</v>
      </c>
      <c r="AJ45" s="20" t="s">
        <v>584</v>
      </c>
      <c r="AK45" s="20">
        <v>4.88</v>
      </c>
      <c r="AL45" s="20">
        <v>9</v>
      </c>
      <c r="AM45" s="20" t="s">
        <v>585</v>
      </c>
      <c r="AN45" s="20">
        <v>4</v>
      </c>
      <c r="AU45" s="20"/>
      <c r="AW45" s="20"/>
      <c r="AX45" s="20"/>
      <c r="BL45" s="20" t="s">
        <v>582</v>
      </c>
      <c r="BM45" s="20">
        <v>35</v>
      </c>
      <c r="BN45" s="20">
        <v>25</v>
      </c>
      <c r="BO45" s="20">
        <v>29</v>
      </c>
      <c r="BP45" s="20">
        <v>21</v>
      </c>
      <c r="BQ45" s="20">
        <v>26</v>
      </c>
      <c r="BR45" s="20">
        <v>29</v>
      </c>
      <c r="BS45" s="20">
        <v>23</v>
      </c>
      <c r="BT45" s="20">
        <v>28</v>
      </c>
      <c r="BU45" s="20" t="s">
        <v>583</v>
      </c>
      <c r="BV45" s="20">
        <v>38</v>
      </c>
      <c r="BW45" s="20" t="s">
        <v>584</v>
      </c>
      <c r="BX45" s="20">
        <v>8.93</v>
      </c>
      <c r="BY45" s="20">
        <v>4.5</v>
      </c>
      <c r="BZ45" s="20" t="s">
        <v>585</v>
      </c>
      <c r="CA45" s="20">
        <v>6</v>
      </c>
      <c r="CB45" s="20"/>
      <c r="CC45" s="20"/>
      <c r="CP45" s="20"/>
      <c r="CS45" s="20"/>
      <c r="CT45" s="20"/>
      <c r="CU45" s="20"/>
      <c r="CV45" s="20"/>
      <c r="CY45" s="20" t="s">
        <v>582</v>
      </c>
      <c r="CZ45" s="20">
        <v>32</v>
      </c>
      <c r="DA45" s="20">
        <v>21</v>
      </c>
      <c r="DB45" s="20">
        <v>20</v>
      </c>
      <c r="DC45" s="20">
        <v>23</v>
      </c>
      <c r="DD45" s="20">
        <v>15</v>
      </c>
      <c r="DE45" s="20">
        <v>27</v>
      </c>
      <c r="DF45" s="20">
        <v>26</v>
      </c>
      <c r="DG45" s="20">
        <v>21</v>
      </c>
      <c r="DH45" s="20" t="s">
        <v>583</v>
      </c>
      <c r="DI45" s="20">
        <v>38</v>
      </c>
      <c r="DJ45" s="20" t="s">
        <v>584</v>
      </c>
      <c r="DK45" s="20">
        <v>12.34</v>
      </c>
      <c r="DL45" s="20">
        <v>2.5</v>
      </c>
      <c r="DM45" s="20" t="s">
        <v>585</v>
      </c>
      <c r="DN45" s="20">
        <v>4</v>
      </c>
      <c r="EL45" s="20" t="s">
        <v>582</v>
      </c>
      <c r="EM45" s="20">
        <v>32</v>
      </c>
      <c r="EN45" s="20">
        <v>21</v>
      </c>
      <c r="EO45" s="20">
        <v>20</v>
      </c>
      <c r="EP45" s="20">
        <v>20</v>
      </c>
      <c r="EQ45" s="20">
        <v>16</v>
      </c>
      <c r="ER45" s="20">
        <v>19</v>
      </c>
      <c r="ES45" s="20">
        <v>24</v>
      </c>
      <c r="ET45" s="20">
        <v>20</v>
      </c>
      <c r="EU45" s="20" t="s">
        <v>583</v>
      </c>
      <c r="EV45" s="20">
        <v>38</v>
      </c>
      <c r="EW45" s="20" t="s">
        <v>584</v>
      </c>
      <c r="EX45" s="36">
        <f>AVERAGE(EX39,EX34,EX31,EX29,EX27,EX25,EX24,EX16,EX13,EX5)</f>
        <v>22.137999999999998</v>
      </c>
      <c r="EY45" s="36">
        <f>AVERAGE(EY39,EY34,EY31,EY29,EY27,EY25,EY24,EY16,EY13,EY5)</f>
        <v>3.9</v>
      </c>
      <c r="EZ45" s="20" t="s">
        <v>585</v>
      </c>
      <c r="FA45" s="20">
        <v>10</v>
      </c>
      <c r="FY45" s="20" t="s">
        <v>582</v>
      </c>
      <c r="FZ45" s="20">
        <v>30</v>
      </c>
      <c r="GA45" s="20">
        <v>21</v>
      </c>
      <c r="GB45" s="20">
        <v>14</v>
      </c>
      <c r="GC45" s="20">
        <v>25</v>
      </c>
      <c r="GD45" s="20">
        <v>20</v>
      </c>
      <c r="GE45" s="20">
        <v>19</v>
      </c>
      <c r="GF45" s="20">
        <v>25</v>
      </c>
      <c r="GG45" s="20">
        <v>16</v>
      </c>
      <c r="GH45" s="20" t="s">
        <v>583</v>
      </c>
      <c r="GI45" s="20">
        <v>38</v>
      </c>
      <c r="GJ45" s="20" t="s">
        <v>584</v>
      </c>
      <c r="GK45" s="20">
        <v>20.07</v>
      </c>
      <c r="GL45" s="20">
        <v>9</v>
      </c>
      <c r="GM45" s="20" t="s">
        <v>585</v>
      </c>
      <c r="GN45" s="20">
        <v>8</v>
      </c>
      <c r="HL45" s="20" t="s">
        <v>582</v>
      </c>
      <c r="HM45" s="20">
        <v>30</v>
      </c>
      <c r="HN45" s="20">
        <v>23</v>
      </c>
      <c r="HO45" s="20">
        <v>25</v>
      </c>
      <c r="HP45" s="20">
        <v>24</v>
      </c>
      <c r="HQ45" s="20">
        <v>19</v>
      </c>
      <c r="HR45" s="20">
        <v>26</v>
      </c>
      <c r="HS45" s="20">
        <v>25</v>
      </c>
      <c r="HT45" s="20">
        <v>26</v>
      </c>
      <c r="HU45" s="20" t="s">
        <v>583</v>
      </c>
      <c r="HV45" s="20">
        <v>38</v>
      </c>
      <c r="HW45" s="20" t="s">
        <v>584</v>
      </c>
      <c r="HX45" s="20">
        <v>8.41</v>
      </c>
      <c r="HY45" s="20">
        <v>7.89</v>
      </c>
      <c r="HZ45" s="20" t="s">
        <v>585</v>
      </c>
      <c r="IA45" s="20">
        <v>9</v>
      </c>
      <c r="IY45" s="20" t="s">
        <v>582</v>
      </c>
      <c r="IZ45" s="20">
        <v>27</v>
      </c>
      <c r="JA45" s="20">
        <v>20</v>
      </c>
      <c r="JB45" s="20">
        <v>22</v>
      </c>
      <c r="JC45" s="20">
        <v>18</v>
      </c>
      <c r="JD45" s="20">
        <v>15</v>
      </c>
      <c r="JE45" s="20">
        <v>20</v>
      </c>
      <c r="JF45" s="20">
        <v>22</v>
      </c>
      <c r="JG45" s="20">
        <v>21</v>
      </c>
      <c r="JH45" s="20" t="s">
        <v>583</v>
      </c>
      <c r="JI45" s="20">
        <v>38</v>
      </c>
      <c r="JJ45" s="20" t="s">
        <v>584</v>
      </c>
      <c r="JK45" s="20">
        <v>16.22</v>
      </c>
      <c r="JL45" s="20">
        <v>2.79</v>
      </c>
      <c r="JM45" s="20" t="s">
        <v>585</v>
      </c>
      <c r="JN45" s="20">
        <v>10</v>
      </c>
      <c r="KL45" s="20" t="s">
        <v>582</v>
      </c>
      <c r="KM45" s="20">
        <v>26</v>
      </c>
      <c r="KN45" s="20">
        <v>26</v>
      </c>
      <c r="KO45" s="20">
        <v>20</v>
      </c>
      <c r="KP45" s="20">
        <v>23</v>
      </c>
      <c r="KQ45" s="20">
        <v>20</v>
      </c>
      <c r="KR45" s="20">
        <v>23</v>
      </c>
      <c r="KS45" s="20">
        <v>24</v>
      </c>
      <c r="KT45" s="20">
        <v>19</v>
      </c>
      <c r="KU45" s="20" t="s">
        <v>583</v>
      </c>
      <c r="KV45" s="20">
        <v>38</v>
      </c>
      <c r="KW45" s="20" t="s">
        <v>584</v>
      </c>
      <c r="KX45" s="20">
        <v>14.12</v>
      </c>
      <c r="KY45" s="20">
        <v>4.59</v>
      </c>
      <c r="KZ45" s="20" t="s">
        <v>585</v>
      </c>
      <c r="LA45" s="20">
        <v>12</v>
      </c>
      <c r="LY45" s="20" t="s">
        <v>582</v>
      </c>
      <c r="LZ45" s="20">
        <v>28</v>
      </c>
      <c r="MA45" s="20">
        <v>27</v>
      </c>
      <c r="MB45" s="20">
        <v>13</v>
      </c>
      <c r="MC45" s="20">
        <v>21</v>
      </c>
      <c r="MD45" s="20">
        <v>18</v>
      </c>
      <c r="ME45" s="20">
        <v>19</v>
      </c>
      <c r="MF45" s="20">
        <v>19</v>
      </c>
      <c r="MG45" s="20">
        <v>15</v>
      </c>
      <c r="MH45" s="20" t="s">
        <v>583</v>
      </c>
      <c r="MI45" s="20">
        <v>38</v>
      </c>
      <c r="MJ45" s="20" t="s">
        <v>584</v>
      </c>
      <c r="MK45" s="20">
        <v>10.81</v>
      </c>
      <c r="ML45" s="20">
        <v>4.8899999999999997</v>
      </c>
      <c r="MM45" s="20" t="s">
        <v>585</v>
      </c>
      <c r="MN45" s="20">
        <v>9</v>
      </c>
      <c r="NL45" s="20" t="s">
        <v>582</v>
      </c>
      <c r="NM45" s="20">
        <v>26</v>
      </c>
      <c r="NN45" s="20">
        <v>20</v>
      </c>
      <c r="NO45" s="20">
        <v>20</v>
      </c>
      <c r="NP45" s="20">
        <v>21</v>
      </c>
      <c r="NQ45" s="20">
        <v>21</v>
      </c>
      <c r="NR45" s="20">
        <v>21</v>
      </c>
      <c r="NS45" s="20">
        <v>21</v>
      </c>
      <c r="NT45" s="20">
        <v>18</v>
      </c>
      <c r="NU45" s="20" t="s">
        <v>583</v>
      </c>
      <c r="NV45" s="20">
        <v>38</v>
      </c>
      <c r="NW45" s="20" t="s">
        <v>584</v>
      </c>
      <c r="NX45" s="20">
        <v>14.36</v>
      </c>
      <c r="NY45" s="20">
        <v>5.58</v>
      </c>
      <c r="NZ45" s="20" t="s">
        <v>585</v>
      </c>
      <c r="OA45" s="20">
        <v>12</v>
      </c>
      <c r="OY45" s="20" t="s">
        <v>582</v>
      </c>
      <c r="OZ45" s="20">
        <v>29</v>
      </c>
      <c r="PA45" s="20">
        <v>20</v>
      </c>
      <c r="PB45" s="20">
        <v>19</v>
      </c>
      <c r="PC45" s="20">
        <v>22</v>
      </c>
      <c r="PD45" s="20">
        <v>18</v>
      </c>
      <c r="PE45" s="20">
        <v>24</v>
      </c>
      <c r="PF45" s="20">
        <v>19</v>
      </c>
      <c r="PG45" s="20">
        <v>18</v>
      </c>
      <c r="PH45" s="20" t="s">
        <v>583</v>
      </c>
      <c r="PI45" s="20">
        <v>38</v>
      </c>
      <c r="PJ45" s="20" t="s">
        <v>584</v>
      </c>
      <c r="PK45" s="20">
        <v>22.21</v>
      </c>
      <c r="PL45" s="20">
        <v>4.88</v>
      </c>
      <c r="PM45" s="20" t="s">
        <v>585</v>
      </c>
      <c r="PN45" s="20">
        <v>8</v>
      </c>
      <c r="QL45" s="20" t="s">
        <v>582</v>
      </c>
      <c r="QM45" s="20">
        <v>31</v>
      </c>
      <c r="QN45" s="20">
        <v>22</v>
      </c>
      <c r="QO45" s="20">
        <v>19</v>
      </c>
      <c r="QP45" s="20">
        <v>19</v>
      </c>
      <c r="QQ45" s="20">
        <v>18</v>
      </c>
      <c r="QR45" s="20">
        <v>23</v>
      </c>
      <c r="QS45" s="20">
        <v>19</v>
      </c>
      <c r="QT45" s="20">
        <v>19</v>
      </c>
      <c r="QU45" s="20" t="s">
        <v>583</v>
      </c>
      <c r="QV45" s="20">
        <v>38</v>
      </c>
      <c r="QW45" s="20" t="s">
        <v>584</v>
      </c>
      <c r="QX45" s="20">
        <v>12.15</v>
      </c>
      <c r="QY45" s="20">
        <v>7.08</v>
      </c>
      <c r="QZ45" s="20" t="s">
        <v>585</v>
      </c>
      <c r="RA45" s="20">
        <v>11</v>
      </c>
      <c r="RY45" s="20" t="s">
        <v>582</v>
      </c>
      <c r="RZ45" s="20">
        <v>29</v>
      </c>
      <c r="SA45" s="20">
        <v>25</v>
      </c>
      <c r="SB45" s="20">
        <v>17</v>
      </c>
      <c r="SC45" s="20">
        <v>17</v>
      </c>
      <c r="SD45" s="20">
        <v>19</v>
      </c>
      <c r="SE45" s="20">
        <v>23</v>
      </c>
      <c r="SF45" s="20">
        <v>19</v>
      </c>
      <c r="SG45" s="20">
        <v>15</v>
      </c>
      <c r="SH45" s="20" t="s">
        <v>583</v>
      </c>
      <c r="SI45" s="20">
        <v>38</v>
      </c>
      <c r="SJ45" s="20" t="s">
        <v>584</v>
      </c>
      <c r="SK45" s="20">
        <v>13.99</v>
      </c>
      <c r="SL45" s="20">
        <v>2.57</v>
      </c>
      <c r="SM45" s="20" t="s">
        <v>585</v>
      </c>
      <c r="SN45" s="20">
        <v>7</v>
      </c>
      <c r="TL45" s="20" t="s">
        <v>582</v>
      </c>
      <c r="TM45" s="20">
        <v>28</v>
      </c>
      <c r="TN45" s="20">
        <v>24</v>
      </c>
      <c r="TO45" s="20">
        <v>24</v>
      </c>
      <c r="TP45" s="20">
        <v>22</v>
      </c>
      <c r="TQ45" s="20">
        <v>27</v>
      </c>
      <c r="TR45" s="20">
        <v>21</v>
      </c>
      <c r="TS45" s="20">
        <v>23</v>
      </c>
      <c r="TT45" s="20">
        <v>22</v>
      </c>
      <c r="TU45" s="20" t="s">
        <v>583</v>
      </c>
      <c r="TV45" s="20">
        <v>38</v>
      </c>
      <c r="TW45" s="20" t="s">
        <v>584</v>
      </c>
      <c r="TX45" s="20">
        <v>14.44</v>
      </c>
      <c r="TY45" s="20">
        <v>7.2</v>
      </c>
      <c r="TZ45" s="20" t="s">
        <v>585</v>
      </c>
      <c r="UA45" s="20">
        <v>10</v>
      </c>
      <c r="UY45" s="20" t="s">
        <v>582</v>
      </c>
      <c r="UZ45" s="20">
        <v>29</v>
      </c>
      <c r="VA45" s="20">
        <v>21</v>
      </c>
      <c r="VB45" s="20">
        <v>22</v>
      </c>
      <c r="VC45" s="20">
        <v>15</v>
      </c>
      <c r="VD45" s="20">
        <v>18</v>
      </c>
      <c r="VE45" s="20">
        <v>28</v>
      </c>
      <c r="VF45" s="20">
        <v>20</v>
      </c>
      <c r="VG45" s="20">
        <v>22</v>
      </c>
      <c r="VH45" s="20" t="s">
        <v>583</v>
      </c>
      <c r="VI45" s="20">
        <v>38</v>
      </c>
      <c r="VJ45" s="20" t="s">
        <v>584</v>
      </c>
      <c r="VK45" s="20">
        <v>18.760000000000002</v>
      </c>
      <c r="VL45" s="20">
        <v>5.56</v>
      </c>
      <c r="VM45" s="20" t="s">
        <v>585</v>
      </c>
      <c r="VN45" s="20">
        <v>18</v>
      </c>
      <c r="WL45" s="20" t="s">
        <v>582</v>
      </c>
      <c r="WM45" s="20">
        <v>28</v>
      </c>
      <c r="WN45" s="20">
        <v>29</v>
      </c>
      <c r="WO45" s="20">
        <v>18</v>
      </c>
      <c r="WP45" s="20">
        <v>28</v>
      </c>
      <c r="WQ45" s="20">
        <v>24</v>
      </c>
      <c r="WR45" s="20">
        <v>18</v>
      </c>
      <c r="WS45" s="20">
        <v>27</v>
      </c>
      <c r="WT45" s="20">
        <v>17</v>
      </c>
      <c r="WU45" s="20" t="s">
        <v>583</v>
      </c>
      <c r="WV45" s="20">
        <v>38</v>
      </c>
      <c r="WW45" s="20" t="s">
        <v>584</v>
      </c>
      <c r="WX45" s="36">
        <f>AVERAGE(WX11:WX14,WX17,WX33:WX36)</f>
        <v>11.657777777777778</v>
      </c>
      <c r="WY45" s="36">
        <f>AVERAGE(WY11:WY14,WY17,WY33:WY36)</f>
        <v>8.2222222222222214</v>
      </c>
      <c r="WZ45" s="20" t="s">
        <v>585</v>
      </c>
      <c r="XA45" s="20">
        <v>9</v>
      </c>
      <c r="XY45" s="20" t="s">
        <v>582</v>
      </c>
      <c r="XZ45" s="20">
        <v>25</v>
      </c>
      <c r="YA45" s="20">
        <v>20</v>
      </c>
      <c r="YB45" s="20">
        <v>22</v>
      </c>
      <c r="YC45" s="20">
        <v>22</v>
      </c>
      <c r="YD45" s="20">
        <v>26</v>
      </c>
      <c r="YE45" s="20">
        <v>21</v>
      </c>
      <c r="YF45" s="20">
        <v>22</v>
      </c>
      <c r="YG45" s="20">
        <v>23</v>
      </c>
      <c r="YH45" s="20" t="s">
        <v>583</v>
      </c>
      <c r="YI45" s="20">
        <v>38</v>
      </c>
      <c r="YJ45" s="20" t="s">
        <v>584</v>
      </c>
      <c r="YK45" s="20">
        <v>26.44</v>
      </c>
      <c r="YL45" s="20">
        <v>6.11</v>
      </c>
      <c r="YM45" s="20" t="s">
        <v>585</v>
      </c>
      <c r="YN45" s="20">
        <v>9</v>
      </c>
      <c r="ZL45" s="20" t="s">
        <v>582</v>
      </c>
      <c r="ZM45" s="20">
        <v>31</v>
      </c>
      <c r="ZN45" s="20">
        <v>27</v>
      </c>
      <c r="ZO45" s="20">
        <v>17</v>
      </c>
      <c r="ZP45" s="20">
        <v>21</v>
      </c>
      <c r="ZQ45" s="20">
        <v>23</v>
      </c>
      <c r="ZR45" s="20">
        <v>22</v>
      </c>
      <c r="ZS45" s="20">
        <v>18</v>
      </c>
      <c r="ZT45" s="20">
        <v>17</v>
      </c>
      <c r="ZU45" s="20" t="s">
        <v>583</v>
      </c>
      <c r="ZV45" s="20">
        <v>38</v>
      </c>
      <c r="ZW45" s="20" t="s">
        <v>584</v>
      </c>
      <c r="ZX45" s="20">
        <v>9.8699999999999992</v>
      </c>
      <c r="ZY45" s="20">
        <v>4.99</v>
      </c>
      <c r="ZZ45" s="20" t="s">
        <v>585</v>
      </c>
      <c r="AAA45" s="20">
        <v>11</v>
      </c>
      <c r="AAY45" s="20" t="s">
        <v>582</v>
      </c>
      <c r="AAZ45" s="20">
        <v>30</v>
      </c>
      <c r="ABA45" s="20">
        <v>31</v>
      </c>
      <c r="ABB45" s="20">
        <v>20</v>
      </c>
      <c r="ABC45" s="20">
        <v>21</v>
      </c>
      <c r="ABD45" s="20">
        <v>27</v>
      </c>
      <c r="ABE45" s="20">
        <v>25</v>
      </c>
      <c r="ABF45" s="20">
        <v>18</v>
      </c>
      <c r="ABG45" s="20">
        <v>20</v>
      </c>
      <c r="ABH45" s="20" t="s">
        <v>583</v>
      </c>
      <c r="ABI45" s="20">
        <v>38</v>
      </c>
      <c r="ABJ45" s="20" t="s">
        <v>584</v>
      </c>
      <c r="ABK45" s="20">
        <v>13.68</v>
      </c>
      <c r="ABL45" s="20">
        <v>8.7799999999999994</v>
      </c>
      <c r="ABM45" s="20" t="s">
        <v>585</v>
      </c>
      <c r="ABN45" s="20">
        <v>9</v>
      </c>
      <c r="ACL45" s="20" t="s">
        <v>582</v>
      </c>
      <c r="ACM45" s="20">
        <v>28</v>
      </c>
      <c r="ACN45" s="20">
        <v>27</v>
      </c>
      <c r="ACO45" s="20">
        <v>23</v>
      </c>
      <c r="ACP45" s="20">
        <v>18</v>
      </c>
      <c r="ACQ45" s="20">
        <v>23</v>
      </c>
      <c r="ACR45" s="20">
        <v>15</v>
      </c>
      <c r="ACS45" s="20">
        <v>19</v>
      </c>
      <c r="ACT45" s="20">
        <v>25</v>
      </c>
      <c r="ACU45" s="20" t="s">
        <v>583</v>
      </c>
      <c r="ACV45" s="20">
        <v>38</v>
      </c>
      <c r="ACW45" s="20" t="s">
        <v>584</v>
      </c>
      <c r="ACX45" s="20">
        <v>21.63</v>
      </c>
      <c r="ACY45" s="20">
        <v>4.88</v>
      </c>
      <c r="ACZ45" s="20" t="s">
        <v>585</v>
      </c>
      <c r="ADA45" s="20">
        <v>8</v>
      </c>
    </row>
    <row r="46" spans="1:781" x14ac:dyDescent="0.3">
      <c r="AK46" s="20"/>
      <c r="AM46" s="20"/>
      <c r="AN46" s="20"/>
      <c r="AU46" s="20"/>
      <c r="AW46" s="20"/>
      <c r="AX46" s="20"/>
      <c r="BO46" s="20"/>
      <c r="BP46" s="20"/>
      <c r="BQ46" s="20"/>
      <c r="BR46" s="20"/>
      <c r="BS46" s="20"/>
      <c r="BY46" s="20"/>
      <c r="BZ46" s="20"/>
      <c r="CA46" s="20"/>
      <c r="CB46" s="20"/>
      <c r="CC46" s="20"/>
      <c r="CP46" s="20"/>
      <c r="CS46" s="20"/>
      <c r="CT46" s="20"/>
      <c r="CU46" s="20"/>
      <c r="CV46" s="20"/>
      <c r="CZ46" s="20"/>
      <c r="DC46" s="20"/>
      <c r="DD46" s="20"/>
      <c r="DE46" s="20"/>
      <c r="DF46" s="20"/>
    </row>
    <row r="47" spans="1:781" x14ac:dyDescent="0.3">
      <c r="AK47" s="20"/>
      <c r="AM47" s="20"/>
      <c r="AN47" s="20"/>
      <c r="AU47" s="20"/>
      <c r="AW47" s="20"/>
      <c r="AX47" s="20"/>
      <c r="BO47" s="20"/>
      <c r="BP47" s="20"/>
      <c r="BQ47" s="20"/>
      <c r="BR47" s="20"/>
      <c r="BS47" s="20"/>
      <c r="BY47" s="20"/>
      <c r="BZ47" s="20"/>
      <c r="CA47" s="20"/>
      <c r="CB47" s="20"/>
      <c r="CC47" s="20"/>
      <c r="CP47" s="20"/>
      <c r="CS47" s="20"/>
      <c r="CT47" s="20"/>
      <c r="CU47" s="20"/>
      <c r="CV47" s="20"/>
      <c r="CZ47" s="20"/>
      <c r="DC47" s="20"/>
      <c r="DD47" s="20"/>
      <c r="DE47" s="20"/>
      <c r="DF47" s="20"/>
      <c r="ACK47" s="37"/>
      <c r="ACL47" s="38"/>
      <c r="ACM47" s="38" t="s">
        <v>61</v>
      </c>
      <c r="ACN47" s="38" t="s">
        <v>82</v>
      </c>
      <c r="ACO47" s="38" t="s">
        <v>28</v>
      </c>
      <c r="ACP47" s="38" t="s">
        <v>46</v>
      </c>
      <c r="ACQ47" s="38" t="s">
        <v>57</v>
      </c>
      <c r="ACR47" s="38" t="s">
        <v>58</v>
      </c>
      <c r="ACS47" s="38" t="s">
        <v>60</v>
      </c>
      <c r="ACT47" s="38" t="s">
        <v>35</v>
      </c>
      <c r="ACU47" s="38"/>
      <c r="ACV47" s="38"/>
      <c r="ACW47" s="38"/>
      <c r="ACX47" s="38"/>
      <c r="ACY47" s="38"/>
      <c r="ACZ47" s="38"/>
      <c r="ADA47" s="39"/>
    </row>
    <row r="48" spans="1:781" x14ac:dyDescent="0.3">
      <c r="AK48" s="20"/>
      <c r="AM48" s="20"/>
      <c r="AN48" s="20"/>
      <c r="AU48" s="20"/>
      <c r="AW48" s="20"/>
      <c r="AX48" s="20"/>
      <c r="BO48" s="20"/>
      <c r="BP48" s="20"/>
      <c r="BQ48" s="20"/>
      <c r="BR48" s="20"/>
      <c r="BS48" s="20"/>
      <c r="BY48" s="20"/>
      <c r="BZ48" s="20"/>
      <c r="CA48" s="20"/>
      <c r="CB48" s="20"/>
      <c r="CC48" s="20"/>
      <c r="CP48" s="20"/>
      <c r="CS48" s="20"/>
      <c r="CT48" s="20"/>
      <c r="CU48" s="20"/>
      <c r="CV48" s="20"/>
      <c r="CZ48" s="20"/>
      <c r="DC48" s="20"/>
      <c r="DD48" s="20"/>
      <c r="DE48" s="20"/>
      <c r="DF48" s="20"/>
      <c r="ACK48" s="40" t="s">
        <v>586</v>
      </c>
      <c r="ACL48" s="23" t="s">
        <v>578</v>
      </c>
      <c r="ACM48" s="23">
        <f t="shared" ref="ACM48:ACT49" si="0">SUM(Z44,BM44,CZ44,EM44,FZ44,HM44,IZ44,KM44,LZ44,NM44,OZ44,QM44,RZ44,TM44,UZ44,WM44,XZ44,ZM44,AAZ44,ACM44)</f>
        <v>446</v>
      </c>
      <c r="ACN48" s="23">
        <f t="shared" si="0"/>
        <v>392</v>
      </c>
      <c r="ACO48" s="23">
        <f t="shared" si="0"/>
        <v>284</v>
      </c>
      <c r="ACP48" s="23">
        <f t="shared" si="0"/>
        <v>344</v>
      </c>
      <c r="ACQ48" s="23">
        <f t="shared" si="0"/>
        <v>318</v>
      </c>
      <c r="ACR48" s="23">
        <f t="shared" si="0"/>
        <v>338</v>
      </c>
      <c r="ACS48" s="23">
        <f t="shared" si="0"/>
        <v>330</v>
      </c>
      <c r="ACT48" s="23">
        <f t="shared" si="0"/>
        <v>284</v>
      </c>
      <c r="ACU48" s="23" t="s">
        <v>579</v>
      </c>
      <c r="ACV48" s="23">
        <f>SUM(AI44,BV44,DI44,EV44,GI44,HV44,JI44,KV44,MI44,NV44,PI44,QV44,SI44,TV44,VI44,WV44,YI44,ZV44,ABI44,ACV44)</f>
        <v>576</v>
      </c>
      <c r="ACW48" s="23" t="s">
        <v>580</v>
      </c>
      <c r="ACX48" s="41">
        <f>AVERAGE(AK44,BX44,DK44,EX44,GK44,HX44,JK44,KX44,MK44,NX44,PK44,QX44,SK44,TX44,VK44,WX44,YK44,ZX44,ABK44,ACX44)</f>
        <v>20.253705665024629</v>
      </c>
      <c r="ACY48" s="41">
        <f>AVERAGE(AL44,BY44,DL44,EY44,GL44,HY44,JL44,KY44,ML44,NY44,PL44,QY44,SL44,TY44,VL44,WY44,YL44,ZY44,ABL44,ACY44)</f>
        <v>5.9977142857142862</v>
      </c>
      <c r="ACZ48" s="23" t="s">
        <v>581</v>
      </c>
      <c r="ADA48" s="42">
        <f>SUM(AN44,CA44,DN44,FA44,GN44,IA44,JN44,LA44,MN44,OA44,PN44,RA44,SN44,UA44,VN44,XA44,YN44,AAA44,ABN44,ADA44)</f>
        <v>576</v>
      </c>
    </row>
    <row r="49" spans="37:781" x14ac:dyDescent="0.3">
      <c r="AK49" s="20"/>
      <c r="AM49" s="20"/>
      <c r="AN49" s="20"/>
      <c r="AU49" s="20"/>
      <c r="AW49" s="20"/>
      <c r="AX49" s="20"/>
      <c r="BO49" s="20"/>
      <c r="BP49" s="20"/>
      <c r="BQ49" s="20"/>
      <c r="BR49" s="20"/>
      <c r="BS49" s="20"/>
      <c r="BY49" s="20"/>
      <c r="BZ49" s="20"/>
      <c r="CA49" s="20"/>
      <c r="CB49" s="20"/>
      <c r="CC49" s="20"/>
      <c r="CP49" s="20"/>
      <c r="CS49" s="20"/>
      <c r="CT49" s="20"/>
      <c r="CU49" s="20"/>
      <c r="CV49" s="20"/>
      <c r="CZ49" s="20"/>
      <c r="DC49" s="20"/>
      <c r="DD49" s="20"/>
      <c r="DE49" s="20"/>
      <c r="DF49" s="20"/>
      <c r="ACK49" s="43"/>
      <c r="ACL49" s="44" t="s">
        <v>582</v>
      </c>
      <c r="ACM49" s="44">
        <f t="shared" si="0"/>
        <v>584</v>
      </c>
      <c r="ACN49" s="44">
        <f t="shared" si="0"/>
        <v>474</v>
      </c>
      <c r="ACO49" s="44">
        <f t="shared" si="0"/>
        <v>416</v>
      </c>
      <c r="ACP49" s="44">
        <f t="shared" si="0"/>
        <v>416</v>
      </c>
      <c r="ACQ49" s="44">
        <f t="shared" si="0"/>
        <v>418</v>
      </c>
      <c r="ACR49" s="44">
        <f t="shared" si="0"/>
        <v>456</v>
      </c>
      <c r="ACS49" s="44">
        <f t="shared" si="0"/>
        <v>432</v>
      </c>
      <c r="ACT49" s="44">
        <f t="shared" si="0"/>
        <v>414</v>
      </c>
      <c r="ACU49" s="44" t="s">
        <v>583</v>
      </c>
      <c r="ACV49" s="44">
        <f>SUM(AI45,BV45,DI45,EV45,GI45,HV45,JI45,KV45,MI45,NV45,PI45,QV45,SI45,TV45,VI45,WV45,YI45,ZV45,ABI45,ACV45)</f>
        <v>760</v>
      </c>
      <c r="ACW49" s="44" t="s">
        <v>584</v>
      </c>
      <c r="ACX49" s="45">
        <f>AVERAGE(AK45,BX45,DK45,EX45,GK45,HX45,JK45,KX45,MK45,NX45,PK45,QX45,SK45,TX45,VK45,WX45,YK45,ZX45,ABK45,ACX45)</f>
        <v>14.855288888888889</v>
      </c>
      <c r="ACY49" s="45">
        <f>AVERAGE(AL45,BY45,DL45,EY45,GL45,HY45,JL45,KY45,ML45,NY45,PL45,QY45,SL45,TY45,VL45,WY45,YL45,ZY45,ABL45,ACY45)</f>
        <v>5.7456111111111117</v>
      </c>
      <c r="ACZ49" s="44" t="s">
        <v>585</v>
      </c>
      <c r="ADA49" s="46">
        <f>SUM(AN45,CA45,DN45,FA45,GN45,IA45,JN45,LA45,MN45,OA45,PN45,RA45,SN45,UA45,VN45,XA45,YN45,AAA45,ABN45,ADA45)</f>
        <v>184</v>
      </c>
    </row>
    <row r="50" spans="37:781" x14ac:dyDescent="0.3">
      <c r="AK50" s="20"/>
      <c r="AM50" s="20"/>
      <c r="AN50" s="20"/>
      <c r="AU50" s="20"/>
      <c r="AW50" s="20"/>
      <c r="AX50" s="20"/>
      <c r="BO50" s="20"/>
      <c r="BP50" s="20"/>
      <c r="BQ50" s="20"/>
      <c r="BR50" s="20"/>
      <c r="BS50" s="20"/>
      <c r="BY50" s="20"/>
      <c r="BZ50" s="20"/>
      <c r="CA50" s="20"/>
      <c r="CB50" s="20"/>
      <c r="CC50" s="20"/>
      <c r="CP50" s="20"/>
      <c r="CS50" s="20"/>
      <c r="CT50" s="20"/>
      <c r="CU50" s="20"/>
      <c r="CV50" s="20"/>
      <c r="CZ50" s="20"/>
      <c r="DC50" s="20"/>
      <c r="DD50" s="20"/>
      <c r="DE50" s="20"/>
      <c r="DF50" s="20"/>
    </row>
    <row r="51" spans="37:781" x14ac:dyDescent="0.3">
      <c r="AK51" s="20"/>
      <c r="AM51" s="20"/>
      <c r="AN51" s="20"/>
      <c r="AU51" s="20"/>
      <c r="AW51" s="20"/>
      <c r="AX51" s="20"/>
      <c r="BO51" s="20"/>
      <c r="BP51" s="20"/>
      <c r="BQ51" s="20"/>
      <c r="BR51" s="20"/>
      <c r="BS51" s="20"/>
      <c r="BY51" s="20"/>
      <c r="BZ51" s="20"/>
      <c r="CA51" s="20"/>
      <c r="CB51" s="20"/>
      <c r="CC51" s="20"/>
      <c r="CP51" s="20"/>
      <c r="CS51" s="20"/>
      <c r="CT51" s="20"/>
      <c r="CU51" s="20"/>
      <c r="CV51" s="20"/>
      <c r="CZ51" s="20"/>
      <c r="DC51" s="20"/>
      <c r="DD51" s="20"/>
      <c r="DE51" s="20"/>
      <c r="DF51" s="20"/>
    </row>
    <row r="52" spans="37:781" x14ac:dyDescent="0.3">
      <c r="AK52" s="20"/>
      <c r="AM52" s="20"/>
      <c r="AN52" s="20"/>
      <c r="AU52" s="20"/>
      <c r="AW52" s="20"/>
      <c r="AX52" s="20"/>
      <c r="BO52" s="20"/>
      <c r="BP52" s="20"/>
      <c r="BQ52" s="20"/>
      <c r="BR52" s="20"/>
      <c r="BS52" s="20"/>
      <c r="BY52" s="20"/>
      <c r="BZ52" s="20"/>
      <c r="CA52" s="20"/>
      <c r="CB52" s="20"/>
      <c r="CC52" s="20"/>
      <c r="CP52" s="20"/>
      <c r="CS52" s="20"/>
      <c r="CT52" s="20"/>
      <c r="CU52" s="20"/>
      <c r="CV52" s="20"/>
      <c r="CZ52" s="20"/>
      <c r="DC52" s="20"/>
      <c r="DD52" s="20"/>
      <c r="DE52" s="20"/>
      <c r="DF52" s="20"/>
    </row>
    <row r="53" spans="37:781" x14ac:dyDescent="0.3">
      <c r="AK53" s="20"/>
      <c r="AM53" s="20"/>
      <c r="AN53" s="20"/>
      <c r="AU53" s="20"/>
      <c r="AW53" s="20"/>
      <c r="AX53" s="20"/>
      <c r="BO53" s="20"/>
      <c r="BP53" s="20"/>
      <c r="BQ53" s="20"/>
      <c r="BR53" s="20"/>
      <c r="BS53" s="20"/>
      <c r="BY53" s="20"/>
      <c r="BZ53" s="20"/>
      <c r="CA53" s="20"/>
      <c r="CB53" s="20"/>
      <c r="CC53" s="20"/>
      <c r="CP53" s="20"/>
      <c r="CS53" s="20"/>
      <c r="CT53" s="20"/>
      <c r="CU53" s="20"/>
      <c r="CV53" s="20"/>
      <c r="CZ53" s="20"/>
      <c r="DC53" s="20"/>
      <c r="DD53" s="20"/>
      <c r="DE53" s="20"/>
      <c r="DF53" s="20"/>
    </row>
    <row r="54" spans="37:781" x14ac:dyDescent="0.3">
      <c r="AK54" s="20"/>
      <c r="AM54" s="20"/>
      <c r="AN54" s="20"/>
      <c r="AU54" s="20"/>
      <c r="AW54" s="20"/>
      <c r="AX54" s="20"/>
      <c r="BO54" s="20"/>
      <c r="BP54" s="20"/>
      <c r="BQ54" s="20"/>
      <c r="BR54" s="20"/>
      <c r="BS54" s="20"/>
      <c r="BY54" s="20"/>
      <c r="BZ54" s="20"/>
      <c r="CA54" s="20"/>
      <c r="CB54" s="20"/>
      <c r="CC54" s="20"/>
      <c r="CP54" s="20"/>
      <c r="CS54" s="20"/>
      <c r="CT54" s="20"/>
      <c r="CU54" s="20"/>
      <c r="CV54" s="20"/>
      <c r="CZ54" s="20"/>
      <c r="DC54" s="20"/>
      <c r="DD54" s="20"/>
      <c r="DE54" s="20"/>
      <c r="DF54" s="20"/>
    </row>
    <row r="72" spans="2:76" x14ac:dyDescent="0.3">
      <c r="H72" s="20">
        <v>22</v>
      </c>
    </row>
    <row r="73" spans="2:76" x14ac:dyDescent="0.3">
      <c r="B73" s="47"/>
      <c r="C73" s="47"/>
      <c r="G73" s="47"/>
      <c r="H73" s="47"/>
      <c r="M73" s="47"/>
      <c r="N73" s="47"/>
      <c r="S73" s="47"/>
      <c r="T73" s="47"/>
    </row>
    <row r="74" spans="2:76" x14ac:dyDescent="0.3">
      <c r="H74" s="20">
        <v>27</v>
      </c>
    </row>
    <row r="75" spans="2:76" x14ac:dyDescent="0.3">
      <c r="I75" s="20" t="s">
        <v>52</v>
      </c>
      <c r="K75" s="20" t="s">
        <v>53</v>
      </c>
      <c r="O75" s="20" t="s">
        <v>54</v>
      </c>
      <c r="Q75" s="20" t="s">
        <v>55</v>
      </c>
      <c r="AL75" s="21"/>
      <c r="AN75" s="20"/>
      <c r="AV75" s="21"/>
      <c r="AX75" s="20"/>
      <c r="BN75" s="47"/>
      <c r="BX75" s="47"/>
    </row>
    <row r="76" spans="2:76" x14ac:dyDescent="0.3">
      <c r="H76" s="20">
        <v>29</v>
      </c>
      <c r="I76" s="40"/>
      <c r="J76" s="42"/>
      <c r="M76" s="40"/>
      <c r="N76" s="42"/>
      <c r="P76" s="42"/>
      <c r="R76" s="42"/>
      <c r="T76" s="23"/>
      <c r="AL76" s="21"/>
      <c r="AN76" s="20"/>
      <c r="AV76" s="21"/>
      <c r="AX76" s="20"/>
      <c r="BN76" s="47"/>
      <c r="BX76" s="47"/>
    </row>
    <row r="77" spans="2:76" x14ac:dyDescent="0.3">
      <c r="H77" s="20">
        <v>29</v>
      </c>
      <c r="I77" s="40"/>
      <c r="J77" s="42"/>
      <c r="M77" s="40"/>
      <c r="N77" s="42"/>
      <c r="P77" s="42"/>
      <c r="R77" s="42"/>
      <c r="T77" s="23"/>
      <c r="AL77" s="21"/>
      <c r="AN77" s="20"/>
      <c r="AV77" s="21"/>
      <c r="AX77" s="20"/>
      <c r="BN77" s="47"/>
      <c r="BX77" s="47"/>
    </row>
    <row r="78" spans="2:76" x14ac:dyDescent="0.3">
      <c r="H78" s="20">
        <v>27</v>
      </c>
      <c r="I78" s="40"/>
      <c r="J78" s="42"/>
      <c r="M78" s="40"/>
      <c r="N78" s="42"/>
      <c r="P78" s="42"/>
      <c r="R78" s="42"/>
      <c r="T78" s="23"/>
      <c r="AL78" s="21"/>
      <c r="AN78" s="20"/>
      <c r="AV78" s="21"/>
      <c r="AX78" s="20"/>
      <c r="BN78" s="47"/>
      <c r="BX78" s="47"/>
    </row>
    <row r="79" spans="2:76" x14ac:dyDescent="0.3">
      <c r="H79" s="20">
        <v>17</v>
      </c>
      <c r="I79" s="40"/>
      <c r="J79" s="42"/>
      <c r="M79" s="48"/>
      <c r="N79" s="49"/>
      <c r="O79" s="36"/>
      <c r="P79" s="49"/>
      <c r="R79" s="42"/>
      <c r="T79" s="23"/>
      <c r="AL79" s="21"/>
      <c r="AN79" s="20"/>
      <c r="AV79" s="21"/>
      <c r="AX79" s="20"/>
      <c r="BN79" s="47"/>
      <c r="BX79" s="47"/>
    </row>
    <row r="80" spans="2:76" x14ac:dyDescent="0.3">
      <c r="H80" s="20">
        <v>12</v>
      </c>
      <c r="I80" s="40">
        <f>AVERAGE(H76:H79)</f>
        <v>25.5</v>
      </c>
      <c r="J80" s="42">
        <f>ABS(H80-I80)</f>
        <v>13.5</v>
      </c>
      <c r="K80" s="20">
        <f t="shared" ref="K80:K91" si="1">AVERAGE(H75:H79)</f>
        <v>25.5</v>
      </c>
      <c r="L80" s="20">
        <f>ABS(H80-K80)</f>
        <v>13.5</v>
      </c>
      <c r="M80" s="40">
        <f t="shared" ref="M80:M91" si="2">AVERAGE(H74:H79)</f>
        <v>25.8</v>
      </c>
      <c r="N80" s="42">
        <f t="shared" ref="N80:N91" si="3">ABS(H80-M80)</f>
        <v>13.8</v>
      </c>
      <c r="O80" s="36">
        <f>AVERAGE(H73:H79)</f>
        <v>25.8</v>
      </c>
      <c r="P80" s="49">
        <f>ABS(H80-O80)</f>
        <v>13.8</v>
      </c>
      <c r="Q80" s="20">
        <f>AVERAGE(H72:H79)</f>
        <v>25.166666666666668</v>
      </c>
      <c r="R80" s="42">
        <f t="shared" ref="R80:R91" si="4">ABS(H80-Q80)</f>
        <v>13.166666666666668</v>
      </c>
      <c r="T80" s="23"/>
      <c r="AL80" s="21"/>
      <c r="AN80" s="20"/>
      <c r="AV80" s="21"/>
      <c r="AX80" s="20"/>
      <c r="BN80" s="47"/>
      <c r="BX80" s="47"/>
    </row>
    <row r="81" spans="8:76" x14ac:dyDescent="0.3">
      <c r="H81" s="20">
        <v>16</v>
      </c>
      <c r="I81" s="40">
        <f>AVERAGE(H77:H80)</f>
        <v>21.25</v>
      </c>
      <c r="J81" s="42">
        <f t="shared" ref="J81:J91" si="5">ABS(H81-I81)</f>
        <v>5.25</v>
      </c>
      <c r="K81" s="20">
        <f t="shared" si="1"/>
        <v>22.8</v>
      </c>
      <c r="L81" s="20">
        <f t="shared" ref="L81:L91" si="6">ABS(H81-K81)</f>
        <v>6.8000000000000007</v>
      </c>
      <c r="M81" s="40">
        <f t="shared" si="2"/>
        <v>22.8</v>
      </c>
      <c r="N81" s="42">
        <f t="shared" si="3"/>
        <v>6.8000000000000007</v>
      </c>
      <c r="O81" s="36">
        <f t="shared" ref="O81:O91" si="7">AVERAGE(H74:H80)</f>
        <v>23.5</v>
      </c>
      <c r="P81" s="49">
        <f t="shared" ref="P81:P91" si="8">ABS(H81-O81)</f>
        <v>7.5</v>
      </c>
      <c r="Q81" s="20">
        <f t="shared" ref="Q81:Q91" si="9">AVERAGE(H73:H80)</f>
        <v>23.5</v>
      </c>
      <c r="R81" s="42">
        <f t="shared" si="4"/>
        <v>7.5</v>
      </c>
      <c r="T81" s="23"/>
      <c r="AL81" s="21"/>
      <c r="AN81" s="20"/>
      <c r="AV81" s="21"/>
      <c r="AX81" s="20"/>
      <c r="BN81" s="47"/>
      <c r="BX81" s="47"/>
    </row>
    <row r="82" spans="8:76" x14ac:dyDescent="0.3">
      <c r="H82" s="20">
        <v>18</v>
      </c>
      <c r="I82" s="40">
        <f t="shared" ref="I82:I91" si="10">AVERAGE(H78:H81)</f>
        <v>18</v>
      </c>
      <c r="J82" s="42">
        <f t="shared" si="5"/>
        <v>0</v>
      </c>
      <c r="K82" s="20">
        <f t="shared" si="1"/>
        <v>20.2</v>
      </c>
      <c r="L82" s="20">
        <f t="shared" si="6"/>
        <v>2.1999999999999993</v>
      </c>
      <c r="M82" s="48">
        <f t="shared" si="2"/>
        <v>21.666666666666668</v>
      </c>
      <c r="N82" s="49">
        <f t="shared" si="3"/>
        <v>3.6666666666666679</v>
      </c>
      <c r="O82" s="36">
        <f t="shared" si="7"/>
        <v>21.666666666666668</v>
      </c>
      <c r="P82" s="49">
        <f t="shared" si="8"/>
        <v>3.6666666666666679</v>
      </c>
      <c r="Q82" s="20">
        <f t="shared" si="9"/>
        <v>22.428571428571427</v>
      </c>
      <c r="R82" s="42">
        <f t="shared" si="4"/>
        <v>4.428571428571427</v>
      </c>
      <c r="T82" s="23"/>
      <c r="AL82" s="21"/>
      <c r="AN82" s="20"/>
      <c r="AV82" s="21"/>
      <c r="AX82" s="20"/>
      <c r="BN82" s="47"/>
      <c r="BX82" s="47"/>
    </row>
    <row r="83" spans="8:76" x14ac:dyDescent="0.3">
      <c r="H83" s="20">
        <v>22</v>
      </c>
      <c r="I83" s="40">
        <f t="shared" si="10"/>
        <v>15.75</v>
      </c>
      <c r="J83" s="42">
        <f t="shared" si="5"/>
        <v>6.25</v>
      </c>
      <c r="K83" s="20">
        <f t="shared" si="1"/>
        <v>18</v>
      </c>
      <c r="L83" s="20">
        <f t="shared" si="6"/>
        <v>4</v>
      </c>
      <c r="M83" s="48">
        <f t="shared" si="2"/>
        <v>19.833333333333332</v>
      </c>
      <c r="N83" s="49">
        <f t="shared" si="3"/>
        <v>2.1666666666666679</v>
      </c>
      <c r="O83" s="36">
        <f t="shared" si="7"/>
        <v>21.142857142857142</v>
      </c>
      <c r="P83" s="49">
        <f t="shared" si="8"/>
        <v>0.85714285714285765</v>
      </c>
      <c r="Q83" s="20">
        <f t="shared" si="9"/>
        <v>21.142857142857142</v>
      </c>
      <c r="R83" s="42">
        <f t="shared" si="4"/>
        <v>0.85714285714285765</v>
      </c>
      <c r="T83" s="23"/>
      <c r="AL83" s="21"/>
      <c r="AN83" s="20"/>
      <c r="AV83" s="21"/>
      <c r="AX83" s="20"/>
      <c r="BN83" s="47"/>
      <c r="BX83" s="47"/>
    </row>
    <row r="84" spans="8:76" x14ac:dyDescent="0.3">
      <c r="H84" s="20">
        <v>19</v>
      </c>
      <c r="I84" s="40">
        <f t="shared" si="10"/>
        <v>17</v>
      </c>
      <c r="J84" s="42">
        <f t="shared" si="5"/>
        <v>2</v>
      </c>
      <c r="K84" s="20">
        <f t="shared" si="1"/>
        <v>17</v>
      </c>
      <c r="L84" s="20">
        <f t="shared" si="6"/>
        <v>2</v>
      </c>
      <c r="M84" s="48">
        <f t="shared" si="2"/>
        <v>18.666666666666668</v>
      </c>
      <c r="N84" s="49">
        <f t="shared" si="3"/>
        <v>0.33333333333333215</v>
      </c>
      <c r="O84" s="36">
        <f t="shared" si="7"/>
        <v>20.142857142857142</v>
      </c>
      <c r="P84" s="49">
        <f t="shared" si="8"/>
        <v>1.1428571428571423</v>
      </c>
      <c r="Q84" s="20">
        <f t="shared" si="9"/>
        <v>21.25</v>
      </c>
      <c r="R84" s="42">
        <f t="shared" si="4"/>
        <v>2.25</v>
      </c>
      <c r="T84" s="23"/>
      <c r="AL84" s="21"/>
      <c r="AN84" s="20"/>
      <c r="AV84" s="21"/>
      <c r="AX84" s="20"/>
      <c r="BN84" s="47"/>
      <c r="BX84" s="47"/>
    </row>
    <row r="85" spans="8:76" x14ac:dyDescent="0.3">
      <c r="H85" s="20">
        <v>19</v>
      </c>
      <c r="I85" s="40">
        <f t="shared" si="10"/>
        <v>18.75</v>
      </c>
      <c r="J85" s="42">
        <f t="shared" si="5"/>
        <v>0.25</v>
      </c>
      <c r="K85" s="20">
        <f t="shared" si="1"/>
        <v>17.399999999999999</v>
      </c>
      <c r="L85" s="20">
        <f t="shared" si="6"/>
        <v>1.6000000000000014</v>
      </c>
      <c r="M85" s="48">
        <f t="shared" si="2"/>
        <v>17.333333333333332</v>
      </c>
      <c r="N85" s="49">
        <f t="shared" si="3"/>
        <v>1.6666666666666679</v>
      </c>
      <c r="O85" s="36">
        <f t="shared" si="7"/>
        <v>18.714285714285715</v>
      </c>
      <c r="P85" s="49">
        <f t="shared" si="8"/>
        <v>0.2857142857142847</v>
      </c>
      <c r="Q85" s="20">
        <f t="shared" si="9"/>
        <v>20</v>
      </c>
      <c r="R85" s="42">
        <f t="shared" si="4"/>
        <v>1</v>
      </c>
      <c r="T85" s="23"/>
      <c r="AL85" s="21"/>
      <c r="AN85" s="20"/>
      <c r="AV85" s="21"/>
      <c r="AX85" s="20"/>
      <c r="BN85" s="47"/>
      <c r="BX85" s="47"/>
    </row>
    <row r="86" spans="8:76" x14ac:dyDescent="0.3">
      <c r="H86" s="20">
        <v>18</v>
      </c>
      <c r="I86" s="40">
        <f t="shared" si="10"/>
        <v>19.5</v>
      </c>
      <c r="J86" s="42">
        <f t="shared" si="5"/>
        <v>1.5</v>
      </c>
      <c r="K86" s="20">
        <f t="shared" si="1"/>
        <v>18.8</v>
      </c>
      <c r="L86" s="20">
        <f t="shared" si="6"/>
        <v>0.80000000000000071</v>
      </c>
      <c r="M86" s="48">
        <f t="shared" si="2"/>
        <v>17.666666666666668</v>
      </c>
      <c r="N86" s="49">
        <f t="shared" si="3"/>
        <v>0.33333333333333215</v>
      </c>
      <c r="O86" s="36">
        <f t="shared" si="7"/>
        <v>17.571428571428573</v>
      </c>
      <c r="P86" s="49">
        <f t="shared" si="8"/>
        <v>0.42857142857142705</v>
      </c>
      <c r="Q86" s="20">
        <f t="shared" si="9"/>
        <v>18.75</v>
      </c>
      <c r="R86" s="42">
        <f t="shared" si="4"/>
        <v>0.75</v>
      </c>
      <c r="T86" s="23"/>
      <c r="AL86" s="21"/>
      <c r="AN86" s="20"/>
      <c r="AV86" s="21"/>
      <c r="AX86" s="20"/>
      <c r="BN86" s="47"/>
      <c r="BX86" s="47"/>
    </row>
    <row r="87" spans="8:76" x14ac:dyDescent="0.3">
      <c r="H87" s="20">
        <v>29</v>
      </c>
      <c r="I87" s="40">
        <f t="shared" si="10"/>
        <v>19.5</v>
      </c>
      <c r="J87" s="42">
        <f t="shared" si="5"/>
        <v>9.5</v>
      </c>
      <c r="K87" s="20">
        <f t="shared" si="1"/>
        <v>19.2</v>
      </c>
      <c r="L87" s="20">
        <f t="shared" si="6"/>
        <v>9.8000000000000007</v>
      </c>
      <c r="M87" s="48">
        <f t="shared" si="2"/>
        <v>18.666666666666668</v>
      </c>
      <c r="N87" s="49">
        <f t="shared" si="3"/>
        <v>10.333333333333332</v>
      </c>
      <c r="O87" s="36">
        <f t="shared" si="7"/>
        <v>17.714285714285715</v>
      </c>
      <c r="P87" s="49">
        <f t="shared" si="8"/>
        <v>11.285714285714285</v>
      </c>
      <c r="Q87" s="20">
        <f t="shared" si="9"/>
        <v>17.625</v>
      </c>
      <c r="R87" s="42">
        <f t="shared" si="4"/>
        <v>11.375</v>
      </c>
      <c r="T87" s="23"/>
      <c r="AL87" s="21"/>
      <c r="AN87" s="20"/>
      <c r="AV87" s="21"/>
      <c r="AX87" s="20"/>
      <c r="BN87" s="47"/>
      <c r="BX87" s="47"/>
    </row>
    <row r="88" spans="8:76" x14ac:dyDescent="0.3">
      <c r="H88" s="20">
        <v>26</v>
      </c>
      <c r="I88" s="40">
        <f t="shared" si="10"/>
        <v>21.25</v>
      </c>
      <c r="J88" s="42">
        <f t="shared" si="5"/>
        <v>4.75</v>
      </c>
      <c r="K88" s="20">
        <f t="shared" si="1"/>
        <v>21.4</v>
      </c>
      <c r="L88" s="20">
        <f t="shared" si="6"/>
        <v>4.6000000000000014</v>
      </c>
      <c r="M88" s="48">
        <f t="shared" si="2"/>
        <v>20.833333333333332</v>
      </c>
      <c r="N88" s="49">
        <f t="shared" si="3"/>
        <v>5.1666666666666679</v>
      </c>
      <c r="O88" s="36">
        <f t="shared" si="7"/>
        <v>20.142857142857142</v>
      </c>
      <c r="P88" s="49">
        <f t="shared" si="8"/>
        <v>5.8571428571428577</v>
      </c>
      <c r="Q88" s="20">
        <f t="shared" si="9"/>
        <v>19.125</v>
      </c>
      <c r="R88" s="42">
        <f t="shared" si="4"/>
        <v>6.875</v>
      </c>
      <c r="T88" s="23"/>
      <c r="AL88" s="21"/>
      <c r="AN88" s="20"/>
      <c r="AV88" s="21"/>
      <c r="AX88" s="20"/>
      <c r="BN88" s="47"/>
      <c r="BX88" s="47"/>
    </row>
    <row r="89" spans="8:76" x14ac:dyDescent="0.3">
      <c r="H89" s="20">
        <v>19</v>
      </c>
      <c r="I89" s="40">
        <f t="shared" si="10"/>
        <v>23</v>
      </c>
      <c r="J89" s="42">
        <f t="shared" si="5"/>
        <v>4</v>
      </c>
      <c r="K89" s="20">
        <f t="shared" si="1"/>
        <v>22.2</v>
      </c>
      <c r="L89" s="20">
        <f t="shared" si="6"/>
        <v>3.1999999999999993</v>
      </c>
      <c r="M89" s="48">
        <f t="shared" si="2"/>
        <v>22.166666666666668</v>
      </c>
      <c r="N89" s="49">
        <f>ABS(H89-M89)</f>
        <v>3.1666666666666679</v>
      </c>
      <c r="O89" s="36">
        <f t="shared" si="7"/>
        <v>21.571428571428573</v>
      </c>
      <c r="P89" s="49">
        <f t="shared" si="8"/>
        <v>2.571428571428573</v>
      </c>
      <c r="Q89" s="20">
        <f t="shared" si="9"/>
        <v>20.875</v>
      </c>
      <c r="R89" s="42">
        <f t="shared" si="4"/>
        <v>1.875</v>
      </c>
      <c r="T89" s="23"/>
      <c r="AL89" s="21"/>
      <c r="AN89" s="20"/>
      <c r="AV89" s="21"/>
      <c r="AX89" s="20"/>
      <c r="BN89" s="47"/>
      <c r="BX89" s="47"/>
    </row>
    <row r="90" spans="8:76" x14ac:dyDescent="0.3">
      <c r="H90" s="20">
        <v>20</v>
      </c>
      <c r="I90" s="40">
        <f t="shared" si="10"/>
        <v>23</v>
      </c>
      <c r="J90" s="42">
        <f t="shared" si="5"/>
        <v>3</v>
      </c>
      <c r="K90" s="20">
        <f t="shared" si="1"/>
        <v>22.2</v>
      </c>
      <c r="L90" s="20">
        <f t="shared" si="6"/>
        <v>2.1999999999999993</v>
      </c>
      <c r="M90" s="48">
        <f t="shared" si="2"/>
        <v>21.666666666666668</v>
      </c>
      <c r="N90" s="49">
        <f t="shared" si="3"/>
        <v>1.6666666666666679</v>
      </c>
      <c r="O90" s="36">
        <f t="shared" si="7"/>
        <v>21.714285714285715</v>
      </c>
      <c r="P90" s="49">
        <f t="shared" si="8"/>
        <v>1.7142857142857153</v>
      </c>
      <c r="Q90" s="20">
        <f t="shared" si="9"/>
        <v>21.25</v>
      </c>
      <c r="R90" s="42">
        <f t="shared" si="4"/>
        <v>1.25</v>
      </c>
      <c r="T90" s="23"/>
      <c r="AL90" s="21"/>
      <c r="AN90" s="20"/>
      <c r="AV90" s="21"/>
      <c r="AX90" s="20"/>
      <c r="BN90" s="47"/>
      <c r="BX90" s="47"/>
    </row>
    <row r="91" spans="8:76" x14ac:dyDescent="0.3">
      <c r="H91" s="20">
        <v>17</v>
      </c>
      <c r="I91" s="40">
        <f t="shared" si="10"/>
        <v>23.5</v>
      </c>
      <c r="J91" s="42">
        <f t="shared" si="5"/>
        <v>6.5</v>
      </c>
      <c r="K91" s="20">
        <f t="shared" si="1"/>
        <v>22.4</v>
      </c>
      <c r="L91" s="20">
        <f t="shared" si="6"/>
        <v>5.3999999999999986</v>
      </c>
      <c r="M91" s="48">
        <f t="shared" si="2"/>
        <v>21.833333333333332</v>
      </c>
      <c r="N91" s="49">
        <f t="shared" si="3"/>
        <v>4.8333333333333321</v>
      </c>
      <c r="O91" s="36">
        <f t="shared" si="7"/>
        <v>21.428571428571427</v>
      </c>
      <c r="P91" s="49">
        <f t="shared" si="8"/>
        <v>4.428571428571427</v>
      </c>
      <c r="Q91" s="20">
        <f t="shared" si="9"/>
        <v>21.5</v>
      </c>
      <c r="R91" s="42">
        <f t="shared" si="4"/>
        <v>4.5</v>
      </c>
      <c r="T91" s="23"/>
      <c r="AL91" s="21"/>
      <c r="AN91" s="20"/>
      <c r="AV91" s="21"/>
      <c r="AX91" s="20"/>
      <c r="BN91" s="47"/>
      <c r="BX91" s="47"/>
    </row>
    <row r="92" spans="8:76" x14ac:dyDescent="0.3">
      <c r="J92" s="50">
        <f>AVERAGE(J80:J91)</f>
        <v>4.708333333333333</v>
      </c>
      <c r="L92" s="50">
        <f>AVERAGE(L80:L91)</f>
        <v>4.6749999999999998</v>
      </c>
      <c r="N92" s="51">
        <f>AVERAGE(N80:N91)</f>
        <v>4.4944444444444445</v>
      </c>
      <c r="P92" s="51">
        <f>AVERAGE(P80:P91)</f>
        <v>4.4615079365079362</v>
      </c>
      <c r="R92" s="42">
        <f>AVERAGE(R80:R91)</f>
        <v>4.652281746031746</v>
      </c>
      <c r="T92" s="23"/>
      <c r="AL92" s="21"/>
      <c r="AN92" s="20"/>
      <c r="AV92" s="21"/>
      <c r="AX92" s="20"/>
      <c r="BN92" s="47"/>
      <c r="BX92" s="47"/>
    </row>
    <row r="100" spans="1:3" x14ac:dyDescent="0.3">
      <c r="A100" s="52"/>
    </row>
    <row r="109" spans="1:3" x14ac:dyDescent="0.3">
      <c r="A109" s="52" t="s">
        <v>92</v>
      </c>
    </row>
    <row r="110" spans="1:3" x14ac:dyDescent="0.3">
      <c r="A110" s="20" t="s">
        <v>94</v>
      </c>
    </row>
    <row r="111" spans="1:3" x14ac:dyDescent="0.3">
      <c r="A111" s="20" t="s">
        <v>95</v>
      </c>
    </row>
    <row r="112" spans="1:3" x14ac:dyDescent="0.3">
      <c r="A112" s="20" t="s">
        <v>72</v>
      </c>
      <c r="B112" s="20" t="s">
        <v>0</v>
      </c>
      <c r="C112" s="20" t="s">
        <v>73</v>
      </c>
    </row>
    <row r="113" spans="1:5" x14ac:dyDescent="0.3">
      <c r="A113" s="20" t="s">
        <v>96</v>
      </c>
      <c r="B113" s="20" t="s">
        <v>97</v>
      </c>
      <c r="C113" s="20" t="s">
        <v>98</v>
      </c>
      <c r="D113" s="20" t="s">
        <v>99</v>
      </c>
      <c r="E113" s="20" t="s">
        <v>100</v>
      </c>
    </row>
    <row r="114" spans="1:5" x14ac:dyDescent="0.3">
      <c r="A114" s="20" t="s">
        <v>105</v>
      </c>
    </row>
    <row r="115" spans="1:5" x14ac:dyDescent="0.3">
      <c r="A115" s="20" t="s">
        <v>104</v>
      </c>
    </row>
    <row r="116" spans="1:5" x14ac:dyDescent="0.3">
      <c r="A116" s="20" t="s">
        <v>56</v>
      </c>
    </row>
    <row r="118" spans="1:5" x14ac:dyDescent="0.3">
      <c r="A118" s="20" t="s">
        <v>107</v>
      </c>
      <c r="B118" s="53" t="s">
        <v>50</v>
      </c>
      <c r="C118" s="20" t="s">
        <v>106</v>
      </c>
    </row>
    <row r="119" spans="1:5" x14ac:dyDescent="0.3">
      <c r="B119" s="53" t="s">
        <v>51</v>
      </c>
      <c r="C119" s="20" t="s">
        <v>108</v>
      </c>
      <c r="D119" s="20" t="s">
        <v>1</v>
      </c>
      <c r="E119" s="20" t="s">
        <v>109</v>
      </c>
    </row>
    <row r="123" spans="1:5" x14ac:dyDescent="0.3">
      <c r="A123" s="52" t="s">
        <v>102</v>
      </c>
    </row>
    <row r="124" spans="1:5" x14ac:dyDescent="0.3">
      <c r="A124" s="20" t="s">
        <v>84</v>
      </c>
      <c r="B124" s="20" t="s">
        <v>86</v>
      </c>
    </row>
    <row r="125" spans="1:5" x14ac:dyDescent="0.3">
      <c r="A125" s="20" t="s">
        <v>83</v>
      </c>
    </row>
    <row r="126" spans="1:5" x14ac:dyDescent="0.3">
      <c r="A126" s="20" t="s">
        <v>90</v>
      </c>
    </row>
    <row r="127" spans="1:5" x14ac:dyDescent="0.3">
      <c r="A127" s="20" t="s">
        <v>91</v>
      </c>
    </row>
    <row r="128" spans="1:5" x14ac:dyDescent="0.3">
      <c r="A128" s="20" t="s">
        <v>93</v>
      </c>
    </row>
    <row r="129" spans="1:7" x14ac:dyDescent="0.3">
      <c r="A129" s="20" t="s">
        <v>614</v>
      </c>
      <c r="B129" s="20" t="s">
        <v>85</v>
      </c>
    </row>
    <row r="130" spans="1:7" x14ac:dyDescent="0.3">
      <c r="A130" s="20" t="s">
        <v>75</v>
      </c>
    </row>
    <row r="132" spans="1:7" x14ac:dyDescent="0.3">
      <c r="A132" s="52" t="s">
        <v>101</v>
      </c>
    </row>
    <row r="133" spans="1:7" x14ac:dyDescent="0.3">
      <c r="A133" s="20" t="s">
        <v>87</v>
      </c>
    </row>
    <row r="134" spans="1:7" x14ac:dyDescent="0.3">
      <c r="A134" s="20" t="s">
        <v>88</v>
      </c>
    </row>
    <row r="135" spans="1:7" x14ac:dyDescent="0.3">
      <c r="A135" s="20" t="s">
        <v>89</v>
      </c>
    </row>
    <row r="136" spans="1:7" x14ac:dyDescent="0.3">
      <c r="A136" s="20" t="s">
        <v>65</v>
      </c>
      <c r="B136" s="20" t="s">
        <v>2</v>
      </c>
      <c r="C136" s="20" t="s">
        <v>66</v>
      </c>
      <c r="D136" s="20" t="s">
        <v>67</v>
      </c>
      <c r="E136" s="20" t="s">
        <v>68</v>
      </c>
      <c r="F136" s="20" t="s">
        <v>69</v>
      </c>
      <c r="G136" s="20" t="s">
        <v>70</v>
      </c>
    </row>
    <row r="138" spans="1:7" x14ac:dyDescent="0.3">
      <c r="A138" s="52" t="s">
        <v>33</v>
      </c>
    </row>
    <row r="139" spans="1:7" x14ac:dyDescent="0.3">
      <c r="A139" s="20" t="s">
        <v>24</v>
      </c>
      <c r="B139" s="20" t="s">
        <v>25</v>
      </c>
    </row>
    <row r="140" spans="1:7" x14ac:dyDescent="0.3">
      <c r="A140" s="54" t="s">
        <v>26</v>
      </c>
    </row>
    <row r="141" spans="1:7" x14ac:dyDescent="0.3">
      <c r="A141" s="54" t="s">
        <v>27</v>
      </c>
    </row>
    <row r="142" spans="1:7" x14ac:dyDescent="0.3">
      <c r="A142" s="20" t="s">
        <v>29</v>
      </c>
    </row>
    <row r="143" spans="1:7" x14ac:dyDescent="0.3">
      <c r="A143" s="20" t="s">
        <v>30</v>
      </c>
      <c r="B143" s="20" t="s">
        <v>31</v>
      </c>
    </row>
    <row r="144" spans="1:7" x14ac:dyDescent="0.3">
      <c r="A144" s="20" t="s">
        <v>32</v>
      </c>
      <c r="B144" s="21" t="s">
        <v>37</v>
      </c>
    </row>
    <row r="146" spans="1:6" x14ac:dyDescent="0.3">
      <c r="A146" s="52" t="s">
        <v>103</v>
      </c>
    </row>
    <row r="147" spans="1:6" x14ac:dyDescent="0.3">
      <c r="A147" s="20" t="s">
        <v>42</v>
      </c>
      <c r="B147" s="20" t="s">
        <v>41</v>
      </c>
      <c r="C147" s="20" t="s">
        <v>45</v>
      </c>
      <c r="D147" s="20" t="s">
        <v>43</v>
      </c>
      <c r="E147" s="20" t="s">
        <v>44</v>
      </c>
    </row>
    <row r="148" spans="1:6" x14ac:dyDescent="0.3">
      <c r="A148" s="23" t="s">
        <v>40</v>
      </c>
    </row>
    <row r="149" spans="1:6" x14ac:dyDescent="0.3">
      <c r="A149" s="20" t="s">
        <v>39</v>
      </c>
      <c r="B149" s="20" t="s">
        <v>63</v>
      </c>
    </row>
    <row r="150" spans="1:6" x14ac:dyDescent="0.3">
      <c r="A150" s="20" t="s">
        <v>38</v>
      </c>
    </row>
    <row r="151" spans="1:6" x14ac:dyDescent="0.3">
      <c r="A151" s="20" t="s">
        <v>47</v>
      </c>
      <c r="B151" s="20" t="s">
        <v>48</v>
      </c>
    </row>
    <row r="152" spans="1:6" x14ac:dyDescent="0.3">
      <c r="A152" s="20" t="s">
        <v>49</v>
      </c>
    </row>
    <row r="153" spans="1:6" x14ac:dyDescent="0.3">
      <c r="A153" s="20" t="s">
        <v>74</v>
      </c>
    </row>
    <row r="154" spans="1:6" x14ac:dyDescent="0.3">
      <c r="A154" s="20" t="s">
        <v>77</v>
      </c>
      <c r="B154" s="20" t="s">
        <v>76</v>
      </c>
      <c r="C154" s="20" t="s">
        <v>78</v>
      </c>
      <c r="D154" s="20" t="s">
        <v>80</v>
      </c>
      <c r="E154" s="20" t="s">
        <v>81</v>
      </c>
      <c r="F154" s="20" t="s">
        <v>79</v>
      </c>
    </row>
    <row r="156" spans="1:6" x14ac:dyDescent="0.3">
      <c r="A156" s="20" t="s">
        <v>110</v>
      </c>
    </row>
    <row r="157" spans="1:6" x14ac:dyDescent="0.3">
      <c r="A157" s="20" t="s">
        <v>111</v>
      </c>
      <c r="B157" s="20" t="s">
        <v>112</v>
      </c>
    </row>
    <row r="159" spans="1:6" x14ac:dyDescent="0.3">
      <c r="A159" s="53" t="s">
        <v>594</v>
      </c>
      <c r="B159" s="20" t="s">
        <v>593</v>
      </c>
      <c r="C159" s="20" t="s">
        <v>595</v>
      </c>
    </row>
    <row r="160" spans="1:6" x14ac:dyDescent="0.3">
      <c r="A160" s="20" t="s">
        <v>596</v>
      </c>
    </row>
    <row r="162" spans="1:3" x14ac:dyDescent="0.3">
      <c r="A162" s="20" t="s">
        <v>597</v>
      </c>
    </row>
    <row r="163" spans="1:3" x14ac:dyDescent="0.3">
      <c r="A163" s="21" t="s">
        <v>601</v>
      </c>
    </row>
    <row r="164" spans="1:3" x14ac:dyDescent="0.3">
      <c r="A164" s="20" t="s">
        <v>602</v>
      </c>
    </row>
    <row r="165" spans="1:3" x14ac:dyDescent="0.3">
      <c r="A165" s="20" t="s">
        <v>603</v>
      </c>
    </row>
    <row r="166" spans="1:3" x14ac:dyDescent="0.3">
      <c r="A166" s="53" t="s">
        <v>605</v>
      </c>
      <c r="B166" s="53" t="s">
        <v>606</v>
      </c>
      <c r="C166" s="53" t="s">
        <v>607</v>
      </c>
    </row>
    <row r="167" spans="1:3" x14ac:dyDescent="0.3">
      <c r="A167" s="20" t="s">
        <v>608</v>
      </c>
    </row>
    <row r="169" spans="1:3" x14ac:dyDescent="0.3">
      <c r="A169" s="52" t="s">
        <v>592</v>
      </c>
    </row>
    <row r="170" spans="1:3" x14ac:dyDescent="0.3">
      <c r="A170" s="20" t="s">
        <v>589</v>
      </c>
    </row>
    <row r="171" spans="1:3" x14ac:dyDescent="0.3">
      <c r="A171" s="20" t="s">
        <v>591</v>
      </c>
    </row>
    <row r="172" spans="1:3" x14ac:dyDescent="0.3">
      <c r="A172" s="20" t="s">
        <v>588</v>
      </c>
    </row>
    <row r="173" spans="1:3" x14ac:dyDescent="0.3">
      <c r="A173" s="20" t="s">
        <v>587</v>
      </c>
    </row>
    <row r="174" spans="1:3" x14ac:dyDescent="0.3">
      <c r="A174" s="52" t="s">
        <v>598</v>
      </c>
    </row>
    <row r="175" spans="1:3" x14ac:dyDescent="0.3">
      <c r="A175" s="20" t="s">
        <v>599</v>
      </c>
    </row>
    <row r="176" spans="1:3" x14ac:dyDescent="0.3">
      <c r="A176" s="20" t="s">
        <v>600</v>
      </c>
    </row>
    <row r="178" spans="1:4" x14ac:dyDescent="0.3">
      <c r="A178" s="20" t="s">
        <v>609</v>
      </c>
    </row>
    <row r="179" spans="1:4" x14ac:dyDescent="0.3">
      <c r="A179" s="20" t="s">
        <v>610</v>
      </c>
      <c r="B179" s="20" t="s">
        <v>611</v>
      </c>
      <c r="C179" s="20" t="s">
        <v>612</v>
      </c>
      <c r="D179" s="20" t="s">
        <v>613</v>
      </c>
    </row>
  </sheetData>
  <pageMargins left="0.7" right="0.7" top="0.75" bottom="0.75" header="0.3" footer="0.3"/>
  <pageSetup paperSize="9" orientation="portrait" horizontalDpi="180" verticalDpi="18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orksheet____21"/>
  <dimension ref="A1:TX888"/>
  <sheetViews>
    <sheetView tabSelected="1" topLeftCell="A23" zoomScaleNormal="100" workbookViewId="0">
      <selection activeCell="H42" sqref="H42"/>
    </sheetView>
  </sheetViews>
  <sheetFormatPr defaultRowHeight="14.4" x14ac:dyDescent="0.3"/>
  <cols>
    <col min="1" max="9" width="8.88671875" style="3"/>
    <col min="10" max="10" width="9.21875" style="3" bestFit="1" customWidth="1"/>
    <col min="11" max="32" width="8.88671875" style="3"/>
    <col min="33" max="33" width="9.44140625" style="3" customWidth="1"/>
    <col min="34" max="42" width="8.88671875" style="3"/>
    <col min="43" max="43" width="10.21875" style="3" customWidth="1"/>
    <col min="44" max="44" width="9.77734375" style="3" customWidth="1"/>
    <col min="45" max="45" width="9.5546875" style="3" bestFit="1" customWidth="1"/>
    <col min="46" max="46" width="9.6640625" style="3" customWidth="1"/>
    <col min="47" max="77" width="8.88671875" style="3"/>
    <col min="78" max="78" width="9" style="3" customWidth="1"/>
    <col min="79" max="16384" width="8.88671875" style="3"/>
  </cols>
  <sheetData>
    <row r="1" spans="1:510" x14ac:dyDescent="0.3">
      <c r="AE1" s="22"/>
      <c r="AF1" s="22"/>
      <c r="AG1" s="22"/>
      <c r="AH1" s="22"/>
      <c r="AI1" s="22"/>
      <c r="AJ1" s="22"/>
      <c r="AK1" s="22"/>
      <c r="AL1" s="22"/>
      <c r="AM1" s="22"/>
      <c r="AN1" s="22"/>
      <c r="AO1" s="22"/>
      <c r="AP1" s="22"/>
      <c r="AR1" s="6"/>
      <c r="AS1" s="7"/>
      <c r="AX1" s="6"/>
      <c r="BI1" s="6"/>
      <c r="BJ1" s="7"/>
      <c r="BO1" s="6"/>
      <c r="BS1" s="6"/>
      <c r="BT1" s="7"/>
      <c r="BY1" s="6"/>
      <c r="CJ1" s="6"/>
      <c r="CK1" s="7"/>
      <c r="CP1" s="6"/>
      <c r="CT1" s="6"/>
      <c r="CU1" s="7"/>
      <c r="CZ1" s="6"/>
      <c r="DK1" s="6"/>
      <c r="DL1" s="7"/>
      <c r="DQ1" s="6"/>
      <c r="DU1" s="6"/>
      <c r="DV1" s="7"/>
      <c r="EA1" s="6"/>
      <c r="EL1" s="6"/>
      <c r="EM1" s="7"/>
      <c r="ER1" s="6"/>
      <c r="EV1" s="6"/>
      <c r="EW1" s="7"/>
      <c r="FB1" s="6"/>
      <c r="FM1" s="6"/>
      <c r="FN1" s="7"/>
      <c r="FS1" s="6"/>
      <c r="FW1" s="6"/>
      <c r="FX1" s="7"/>
      <c r="GC1" s="6"/>
      <c r="GN1" s="6"/>
      <c r="GO1" s="7"/>
      <c r="GT1" s="6"/>
      <c r="GX1" s="6"/>
      <c r="GY1" s="7"/>
      <c r="HD1" s="6"/>
      <c r="HO1" s="6"/>
      <c r="HP1" s="7"/>
      <c r="HU1" s="6"/>
      <c r="HY1" s="6"/>
      <c r="HZ1" s="7"/>
      <c r="IE1" s="6"/>
      <c r="IP1" s="6"/>
      <c r="IQ1" s="7"/>
      <c r="IV1" s="6"/>
      <c r="IZ1" s="6"/>
      <c r="JA1" s="7"/>
      <c r="JF1" s="6"/>
      <c r="JQ1" s="6"/>
      <c r="JR1" s="7"/>
      <c r="JW1" s="6"/>
      <c r="KA1" s="6"/>
      <c r="KB1" s="7"/>
      <c r="KG1" s="6"/>
      <c r="KR1" s="6"/>
      <c r="KS1" s="7"/>
      <c r="KX1" s="6"/>
      <c r="LB1" s="6"/>
      <c r="LC1" s="7"/>
      <c r="LH1" s="6"/>
      <c r="LS1" s="6"/>
      <c r="LT1" s="7"/>
      <c r="LY1" s="6"/>
      <c r="MC1" s="6"/>
      <c r="MD1" s="7"/>
      <c r="MI1" s="6"/>
      <c r="MT1" s="6"/>
      <c r="MU1" s="7"/>
      <c r="MZ1" s="6"/>
      <c r="ND1" s="6"/>
      <c r="NE1" s="7"/>
      <c r="NJ1" s="6"/>
      <c r="NU1" s="6"/>
      <c r="NV1" s="7"/>
      <c r="OA1" s="6"/>
      <c r="OE1" s="6"/>
      <c r="OF1" s="7"/>
      <c r="OK1" s="6"/>
      <c r="OV1" s="6"/>
      <c r="OW1" s="7"/>
      <c r="PB1" s="6"/>
      <c r="PF1" s="6"/>
      <c r="PG1" s="7"/>
      <c r="PL1" s="6"/>
      <c r="PW1" s="6"/>
      <c r="PX1" s="7"/>
      <c r="QC1" s="6"/>
      <c r="QG1" s="6"/>
      <c r="QH1" s="7"/>
      <c r="QM1" s="6"/>
      <c r="QX1" s="6"/>
      <c r="QY1" s="7"/>
      <c r="RD1" s="6"/>
      <c r="RH1" s="6"/>
      <c r="RI1" s="7"/>
      <c r="RN1" s="6"/>
      <c r="RY1" s="6"/>
      <c r="RZ1" s="7"/>
      <c r="SE1" s="6"/>
      <c r="SI1" s="6"/>
      <c r="SJ1" s="7"/>
      <c r="SO1" s="6"/>
    </row>
    <row r="2" spans="1:510" x14ac:dyDescent="0.3">
      <c r="A2" s="67" t="s">
        <v>636</v>
      </c>
      <c r="B2" s="2" t="s">
        <v>639</v>
      </c>
      <c r="C2" s="2" t="s">
        <v>638</v>
      </c>
      <c r="D2" s="2" t="s">
        <v>641</v>
      </c>
      <c r="E2" s="2" t="s">
        <v>640</v>
      </c>
      <c r="F2" s="2" t="s">
        <v>666</v>
      </c>
      <c r="G2" s="2" t="s">
        <v>113</v>
      </c>
      <c r="H2" s="2" t="s">
        <v>46</v>
      </c>
      <c r="I2" s="2" t="s">
        <v>57</v>
      </c>
      <c r="J2" s="2" t="s">
        <v>60</v>
      </c>
      <c r="K2" s="2" t="s">
        <v>28</v>
      </c>
      <c r="L2" s="2" t="s">
        <v>35</v>
      </c>
      <c r="M2" s="67"/>
      <c r="N2" s="2"/>
      <c r="O2" s="2"/>
      <c r="P2" s="2"/>
      <c r="Q2" s="2"/>
      <c r="R2" s="2"/>
      <c r="S2" s="2"/>
      <c r="T2" s="2"/>
      <c r="U2" s="2"/>
      <c r="V2" s="2"/>
      <c r="W2" s="2"/>
      <c r="X2" s="2"/>
      <c r="Z2" s="2"/>
      <c r="AE2" s="22"/>
      <c r="AF2" s="22"/>
      <c r="AG2" s="22"/>
      <c r="AH2" s="22"/>
      <c r="AI2" s="22"/>
      <c r="AJ2" s="22"/>
      <c r="AN2" s="22"/>
      <c r="AO2" s="22"/>
      <c r="AP2" s="22"/>
      <c r="AR2" s="5"/>
      <c r="AS2" s="6"/>
      <c r="AT2" s="7"/>
      <c r="AX2" s="5"/>
      <c r="AY2" s="6"/>
      <c r="BG2" s="5"/>
      <c r="BI2" s="5"/>
      <c r="BJ2" s="6"/>
      <c r="BK2" s="7"/>
      <c r="BO2" s="5"/>
      <c r="BP2" s="6"/>
      <c r="BQ2" s="5"/>
      <c r="BS2" s="5"/>
      <c r="BT2" s="6"/>
      <c r="BU2" s="7"/>
      <c r="BY2" s="5"/>
      <c r="BZ2" s="6"/>
      <c r="CH2" s="5"/>
      <c r="CJ2" s="5"/>
      <c r="CK2" s="6"/>
      <c r="CL2" s="7"/>
      <c r="CP2" s="5"/>
      <c r="CQ2" s="6"/>
      <c r="CR2" s="5"/>
      <c r="CT2" s="5"/>
      <c r="CU2" s="6"/>
      <c r="CV2" s="7"/>
      <c r="CZ2" s="5"/>
      <c r="DA2" s="6"/>
      <c r="DI2" s="5"/>
      <c r="DK2" s="5"/>
      <c r="DL2" s="6"/>
      <c r="DM2" s="7"/>
      <c r="DQ2" s="5"/>
      <c r="DR2" s="6"/>
      <c r="DS2" s="5"/>
      <c r="DU2" s="5"/>
      <c r="DV2" s="6"/>
      <c r="DW2" s="7"/>
      <c r="EA2" s="5"/>
      <c r="EB2" s="6"/>
      <c r="EJ2" s="5"/>
      <c r="EL2" s="5"/>
      <c r="EM2" s="6"/>
      <c r="EN2" s="7"/>
      <c r="ER2" s="5"/>
      <c r="ES2" s="6"/>
      <c r="ET2" s="5"/>
      <c r="EV2" s="5"/>
      <c r="EW2" s="6"/>
      <c r="EX2" s="7"/>
      <c r="FB2" s="5"/>
      <c r="FC2" s="6"/>
      <c r="FK2" s="5"/>
      <c r="FM2" s="5"/>
      <c r="FN2" s="6"/>
      <c r="FO2" s="7"/>
      <c r="FS2" s="5"/>
      <c r="FT2" s="6"/>
      <c r="FU2" s="5"/>
      <c r="FW2" s="5"/>
      <c r="FX2" s="6"/>
      <c r="FY2" s="7"/>
      <c r="GC2" s="5"/>
      <c r="GD2" s="6"/>
      <c r="GL2" s="5"/>
      <c r="GN2" s="5"/>
      <c r="GO2" s="6"/>
      <c r="GP2" s="7"/>
      <c r="GT2" s="5"/>
      <c r="GU2" s="7"/>
      <c r="GV2" s="5"/>
      <c r="GX2" s="5"/>
      <c r="GY2" s="6"/>
      <c r="GZ2" s="7"/>
      <c r="HD2" s="5"/>
      <c r="HE2" s="7"/>
      <c r="HM2" s="5"/>
      <c r="HO2" s="5"/>
      <c r="HP2" s="6"/>
      <c r="HQ2" s="7"/>
      <c r="HU2" s="5"/>
      <c r="HV2" s="6"/>
      <c r="HW2" s="5"/>
      <c r="HY2" s="5"/>
      <c r="HZ2" s="6"/>
      <c r="IA2" s="7"/>
      <c r="IE2" s="5"/>
      <c r="IF2" s="6"/>
      <c r="IN2" s="5"/>
      <c r="IP2" s="5"/>
      <c r="IQ2" s="6"/>
      <c r="IR2" s="7"/>
      <c r="IV2" s="5"/>
      <c r="IW2" s="6"/>
      <c r="IX2" s="5"/>
      <c r="IZ2" s="5"/>
      <c r="JA2" s="6"/>
      <c r="JB2" s="7"/>
      <c r="JF2" s="5"/>
      <c r="JG2" s="6"/>
      <c r="JO2" s="5"/>
      <c r="JQ2" s="5"/>
      <c r="JR2" s="6"/>
      <c r="JS2" s="7"/>
      <c r="JW2" s="5"/>
      <c r="JX2" s="6"/>
      <c r="JY2" s="5"/>
      <c r="KA2" s="5"/>
      <c r="KB2" s="6"/>
      <c r="KC2" s="7"/>
      <c r="KG2" s="5"/>
      <c r="KH2" s="6"/>
      <c r="KR2" s="5"/>
      <c r="KS2" s="6"/>
      <c r="KT2" s="7"/>
      <c r="KX2" s="5"/>
      <c r="KY2" s="6"/>
      <c r="LB2" s="5"/>
      <c r="LC2" s="6"/>
      <c r="LD2" s="7"/>
      <c r="LH2" s="5"/>
      <c r="LI2" s="6"/>
      <c r="LQ2" s="5"/>
      <c r="LS2" s="5"/>
      <c r="LT2" s="6"/>
      <c r="LU2" s="7"/>
      <c r="LY2" s="5"/>
      <c r="LZ2" s="6"/>
      <c r="MA2" s="5"/>
      <c r="MC2" s="5"/>
      <c r="MD2" s="6"/>
      <c r="ME2" s="7"/>
      <c r="MI2" s="5"/>
      <c r="MJ2" s="6"/>
      <c r="MR2" s="5"/>
      <c r="MT2" s="5"/>
      <c r="MU2" s="6"/>
      <c r="MV2" s="7"/>
      <c r="MZ2" s="5"/>
      <c r="NA2" s="6"/>
      <c r="NB2" s="5"/>
      <c r="ND2" s="5"/>
      <c r="NE2" s="6"/>
      <c r="NF2" s="7"/>
      <c r="NJ2" s="5"/>
      <c r="NK2" s="6"/>
      <c r="NS2" s="5"/>
      <c r="NU2" s="5"/>
      <c r="NV2" s="6"/>
      <c r="NW2" s="7"/>
      <c r="OA2" s="5"/>
      <c r="OB2" s="6"/>
      <c r="OC2" s="5"/>
      <c r="OE2" s="5"/>
      <c r="OF2" s="6"/>
      <c r="OG2" s="7"/>
      <c r="OK2" s="5"/>
      <c r="OL2" s="6"/>
      <c r="OT2" s="5"/>
      <c r="OV2" s="5"/>
      <c r="OW2" s="6"/>
      <c r="OX2" s="7"/>
      <c r="PB2" s="5"/>
      <c r="PC2" s="6"/>
      <c r="PD2" s="5"/>
      <c r="PF2" s="5"/>
      <c r="PG2" s="6"/>
      <c r="PH2" s="7"/>
      <c r="PL2" s="5"/>
      <c r="PM2" s="6"/>
      <c r="PU2" s="5"/>
      <c r="PW2" s="5"/>
      <c r="PX2" s="6"/>
      <c r="PY2" s="7"/>
      <c r="QC2" s="5"/>
      <c r="QD2" s="6"/>
      <c r="QE2" s="5"/>
      <c r="QG2" s="5"/>
      <c r="QH2" s="6"/>
      <c r="QI2" s="7"/>
      <c r="QM2" s="5"/>
      <c r="QN2" s="6"/>
      <c r="QV2" s="5"/>
      <c r="QX2" s="5"/>
      <c r="QY2" s="6"/>
      <c r="QZ2" s="7"/>
      <c r="RD2" s="5"/>
      <c r="RE2" s="6"/>
      <c r="RF2" s="5"/>
      <c r="RH2" s="5"/>
      <c r="RI2" s="6"/>
      <c r="RJ2" s="7"/>
      <c r="RN2" s="5"/>
      <c r="RO2" s="6"/>
      <c r="RW2" s="5"/>
      <c r="RY2" s="5"/>
      <c r="RZ2" s="6"/>
      <c r="SA2" s="7"/>
      <c r="SE2" s="5"/>
      <c r="SF2" s="6"/>
      <c r="SG2" s="5"/>
      <c r="SI2" s="5"/>
      <c r="SJ2" s="6"/>
      <c r="SK2" s="7"/>
      <c r="SO2" s="5"/>
      <c r="SP2" s="6"/>
    </row>
    <row r="3" spans="1:510" x14ac:dyDescent="0.3">
      <c r="A3" s="67"/>
      <c r="B3" s="3" t="s">
        <v>10</v>
      </c>
      <c r="E3" s="2"/>
      <c r="F3" s="9">
        <v>1</v>
      </c>
      <c r="G3" s="3">
        <v>10.88</v>
      </c>
      <c r="H3" s="3">
        <v>23.38</v>
      </c>
      <c r="I3" s="3">
        <v>22.12</v>
      </c>
      <c r="J3" s="3">
        <v>12.25</v>
      </c>
      <c r="K3" s="3">
        <v>0.72</v>
      </c>
      <c r="L3" s="55">
        <v>0.5</v>
      </c>
      <c r="M3" s="67"/>
      <c r="N3" s="2"/>
      <c r="O3" s="64"/>
      <c r="P3" s="63"/>
      <c r="Q3" s="55"/>
      <c r="S3" s="55"/>
      <c r="T3" s="58"/>
      <c r="U3" s="58"/>
      <c r="V3" s="55"/>
      <c r="W3" s="2"/>
      <c r="AF3" s="22"/>
      <c r="AG3" s="22"/>
      <c r="AH3" s="22"/>
      <c r="AI3" s="22"/>
      <c r="AJ3" s="22"/>
      <c r="AK3" s="22"/>
      <c r="AL3" s="22"/>
      <c r="AM3" s="22"/>
      <c r="AN3" s="22"/>
      <c r="AO3" s="22"/>
      <c r="AP3" s="22"/>
      <c r="AR3" s="5"/>
      <c r="AS3" s="6"/>
      <c r="AT3" s="7"/>
      <c r="AX3" s="5"/>
      <c r="AY3" s="6"/>
      <c r="BG3" s="5"/>
      <c r="BI3" s="5"/>
      <c r="BJ3" s="6"/>
      <c r="BK3" s="7"/>
      <c r="BO3" s="5"/>
      <c r="BP3" s="6"/>
      <c r="BQ3" s="5"/>
      <c r="BS3" s="5"/>
      <c r="BT3" s="6"/>
      <c r="BU3" s="7"/>
      <c r="BY3" s="5"/>
      <c r="BZ3" s="6"/>
      <c r="CH3" s="5"/>
      <c r="CJ3" s="5"/>
      <c r="CK3" s="6"/>
      <c r="CL3" s="7"/>
      <c r="CP3" s="5"/>
      <c r="CQ3" s="6"/>
      <c r="CR3" s="5"/>
      <c r="CT3" s="5"/>
      <c r="CU3" s="6"/>
      <c r="CV3" s="7"/>
      <c r="CZ3" s="5"/>
      <c r="DA3" s="6"/>
      <c r="DI3" s="5"/>
      <c r="DK3" s="5"/>
      <c r="DL3" s="6"/>
      <c r="DM3" s="7"/>
      <c r="DQ3" s="5"/>
      <c r="DR3" s="6"/>
      <c r="DS3" s="5"/>
      <c r="DU3" s="5"/>
      <c r="DV3" s="6"/>
      <c r="DW3" s="7"/>
      <c r="EA3" s="5"/>
      <c r="EB3" s="6"/>
      <c r="EJ3" s="5"/>
      <c r="EL3" s="5"/>
      <c r="EM3" s="6"/>
      <c r="EN3" s="7"/>
      <c r="ER3" s="5"/>
      <c r="ES3" s="6"/>
      <c r="ET3" s="5"/>
      <c r="EV3" s="5"/>
      <c r="EW3" s="6"/>
      <c r="EX3" s="7"/>
      <c r="FB3" s="5"/>
      <c r="FC3" s="6"/>
      <c r="FH3" s="8"/>
      <c r="FI3" s="8"/>
      <c r="FJ3" s="8"/>
      <c r="FK3" s="5"/>
      <c r="FM3" s="5"/>
      <c r="FN3" s="6"/>
      <c r="FO3" s="7"/>
      <c r="FS3" s="5"/>
      <c r="FT3" s="6"/>
      <c r="FU3" s="5"/>
      <c r="FW3" s="5"/>
      <c r="FX3" s="6"/>
      <c r="FY3" s="7"/>
      <c r="GC3" s="5"/>
      <c r="GD3" s="6"/>
      <c r="GL3" s="5"/>
      <c r="GN3" s="5"/>
      <c r="GO3" s="6"/>
      <c r="GP3" s="7"/>
      <c r="GT3" s="5"/>
      <c r="GU3" s="6"/>
      <c r="GV3" s="5"/>
      <c r="GX3" s="5"/>
      <c r="GY3" s="6"/>
      <c r="GZ3" s="7"/>
      <c r="HD3" s="5"/>
      <c r="HE3" s="6"/>
      <c r="HM3" s="5"/>
      <c r="HO3" s="5"/>
      <c r="HP3" s="6"/>
      <c r="HQ3" s="7"/>
      <c r="HU3" s="5"/>
      <c r="HV3" s="6"/>
      <c r="HW3" s="5"/>
      <c r="HY3" s="5"/>
      <c r="HZ3" s="6"/>
      <c r="IA3" s="7"/>
      <c r="IE3" s="5"/>
      <c r="IF3" s="6"/>
      <c r="IN3" s="5"/>
      <c r="IP3" s="5"/>
      <c r="IQ3" s="6"/>
      <c r="IR3" s="7"/>
      <c r="IV3" s="5"/>
      <c r="IW3" s="6"/>
      <c r="IX3" s="5"/>
      <c r="IZ3" s="5"/>
      <c r="JA3" s="6"/>
      <c r="JB3" s="7"/>
      <c r="JF3" s="5"/>
      <c r="JG3" s="6"/>
      <c r="JO3" s="5"/>
      <c r="JQ3" s="5"/>
      <c r="JR3" s="6"/>
      <c r="JS3" s="7"/>
      <c r="JW3" s="5"/>
      <c r="JX3" s="6"/>
      <c r="JY3" s="5"/>
      <c r="KA3" s="5"/>
      <c r="KB3" s="6"/>
      <c r="KC3" s="7"/>
      <c r="KG3" s="5"/>
      <c r="KH3" s="6"/>
      <c r="KR3" s="5"/>
      <c r="KS3" s="6"/>
      <c r="KT3" s="7"/>
      <c r="KX3" s="5"/>
      <c r="KY3" s="7"/>
      <c r="LB3" s="5"/>
      <c r="LC3" s="6"/>
      <c r="LD3" s="7"/>
      <c r="LH3" s="5"/>
      <c r="LI3" s="7"/>
      <c r="LQ3" s="5"/>
      <c r="LS3" s="5"/>
      <c r="LT3" s="6"/>
      <c r="LU3" s="7"/>
      <c r="LY3" s="5"/>
      <c r="LZ3" s="6"/>
      <c r="MA3" s="5"/>
      <c r="MC3" s="5"/>
      <c r="MD3" s="6"/>
      <c r="ME3" s="7"/>
      <c r="MI3" s="5"/>
      <c r="MJ3" s="6"/>
      <c r="MR3" s="5"/>
      <c r="MT3" s="5"/>
      <c r="MU3" s="6"/>
      <c r="MV3" s="7"/>
      <c r="MZ3" s="5"/>
      <c r="NA3" s="6"/>
      <c r="NB3" s="5"/>
      <c r="ND3" s="5"/>
      <c r="NE3" s="6"/>
      <c r="NF3" s="7"/>
      <c r="NJ3" s="5"/>
      <c r="NK3" s="6"/>
      <c r="NS3" s="5"/>
      <c r="NU3" s="5"/>
      <c r="NV3" s="6"/>
      <c r="NW3" s="7"/>
      <c r="OA3" s="5"/>
      <c r="OB3" s="6"/>
      <c r="OC3" s="5"/>
      <c r="OE3" s="5"/>
      <c r="OF3" s="6"/>
      <c r="OG3" s="7"/>
      <c r="OK3" s="5"/>
      <c r="OL3" s="6"/>
      <c r="OT3" s="5"/>
      <c r="OV3" s="5"/>
      <c r="OW3" s="6"/>
      <c r="OX3" s="7"/>
      <c r="PB3" s="5"/>
      <c r="PC3" s="6"/>
      <c r="PD3" s="5"/>
      <c r="PF3" s="5"/>
      <c r="PG3" s="6"/>
      <c r="PH3" s="7"/>
      <c r="PL3" s="5"/>
      <c r="PM3" s="6"/>
      <c r="PU3" s="5"/>
      <c r="PW3" s="5"/>
      <c r="PX3" s="6"/>
      <c r="PY3" s="7"/>
      <c r="QC3" s="5"/>
      <c r="QD3" s="6"/>
      <c r="QE3" s="5"/>
      <c r="QG3" s="5"/>
      <c r="QH3" s="6"/>
      <c r="QI3" s="7"/>
      <c r="QM3" s="5"/>
      <c r="QN3" s="6"/>
      <c r="QX3" s="5"/>
      <c r="QY3" s="6"/>
      <c r="QZ3" s="7"/>
      <c r="RD3" s="5"/>
      <c r="RE3" s="6"/>
      <c r="RH3" s="5"/>
      <c r="RI3" s="6"/>
      <c r="RJ3" s="7"/>
      <c r="RN3" s="5"/>
      <c r="RO3" s="6"/>
      <c r="RW3" s="5"/>
      <c r="RY3" s="5"/>
      <c r="RZ3" s="6"/>
      <c r="SA3" s="7"/>
      <c r="SE3" s="5"/>
      <c r="SF3" s="6"/>
      <c r="SG3" s="5"/>
      <c r="SI3" s="5"/>
      <c r="SJ3" s="6"/>
      <c r="SK3" s="7"/>
      <c r="SO3" s="5"/>
      <c r="SP3" s="6"/>
    </row>
    <row r="4" spans="1:510" x14ac:dyDescent="0.3">
      <c r="A4" s="59"/>
      <c r="B4" s="2" t="s">
        <v>13</v>
      </c>
      <c r="C4" s="64"/>
      <c r="D4" s="63"/>
      <c r="E4" s="55"/>
      <c r="F4" s="9">
        <v>1.88</v>
      </c>
      <c r="G4" s="3">
        <v>9</v>
      </c>
      <c r="H4" s="3">
        <v>18.62</v>
      </c>
      <c r="I4" s="3">
        <v>20.75</v>
      </c>
      <c r="J4" s="3">
        <v>6.88</v>
      </c>
      <c r="K4" s="3">
        <v>0.72</v>
      </c>
      <c r="L4" s="55">
        <v>0.49</v>
      </c>
      <c r="M4" s="59"/>
      <c r="O4" s="64"/>
      <c r="P4" s="63"/>
      <c r="Q4" s="55"/>
      <c r="S4" s="56"/>
      <c r="T4" s="56"/>
      <c r="U4" s="56"/>
      <c r="V4" s="65"/>
      <c r="W4" s="2"/>
      <c r="AI4" s="22"/>
      <c r="AJ4" s="22"/>
      <c r="AK4" s="22"/>
      <c r="AL4" s="22"/>
      <c r="AM4" s="22"/>
      <c r="AN4" s="22"/>
      <c r="AO4" s="22"/>
      <c r="AP4" s="22"/>
      <c r="AR4" s="5"/>
      <c r="AS4" s="6"/>
      <c r="AT4" s="7"/>
      <c r="AX4" s="5"/>
      <c r="AY4" s="6"/>
      <c r="BG4" s="5"/>
      <c r="BI4" s="5"/>
      <c r="BJ4" s="6"/>
      <c r="BK4" s="7"/>
      <c r="BO4" s="5"/>
      <c r="BP4" s="7"/>
      <c r="BQ4" s="5"/>
      <c r="BS4" s="5"/>
      <c r="BT4" s="6"/>
      <c r="BU4" s="7"/>
      <c r="BY4" s="5"/>
      <c r="BZ4" s="7"/>
      <c r="CH4" s="5"/>
      <c r="CJ4" s="5"/>
      <c r="CK4" s="6"/>
      <c r="CL4" s="7"/>
      <c r="CP4" s="5"/>
      <c r="CQ4" s="6"/>
      <c r="CR4" s="5"/>
      <c r="CT4" s="5"/>
      <c r="CU4" s="6"/>
      <c r="CV4" s="7"/>
      <c r="CZ4" s="5"/>
      <c r="DA4" s="6"/>
      <c r="DI4" s="5"/>
      <c r="DK4" s="5"/>
      <c r="DL4" s="6"/>
      <c r="DM4" s="7"/>
      <c r="DQ4" s="5"/>
      <c r="DR4" s="6"/>
      <c r="DS4" s="5"/>
      <c r="DU4" s="5"/>
      <c r="DV4" s="6"/>
      <c r="DW4" s="7"/>
      <c r="EA4" s="5"/>
      <c r="EB4" s="6"/>
      <c r="EJ4" s="5"/>
      <c r="EL4" s="5"/>
      <c r="EM4" s="6"/>
      <c r="EN4" s="7"/>
      <c r="ER4" s="5"/>
      <c r="ES4" s="6"/>
      <c r="ET4" s="5"/>
      <c r="EV4" s="5"/>
      <c r="EW4" s="6"/>
      <c r="EX4" s="7"/>
      <c r="FB4" s="5"/>
      <c r="FC4" s="6"/>
      <c r="GL4" s="5"/>
      <c r="GN4" s="5"/>
      <c r="GO4" s="6"/>
      <c r="GP4" s="7"/>
      <c r="GT4" s="5"/>
      <c r="GU4" s="6"/>
      <c r="GV4" s="5"/>
      <c r="GX4" s="5"/>
      <c r="GY4" s="6"/>
      <c r="GZ4" s="7"/>
      <c r="HD4" s="5"/>
      <c r="HE4" s="6"/>
      <c r="HM4" s="5"/>
      <c r="HO4" s="5"/>
      <c r="HP4" s="6"/>
      <c r="HQ4" s="7"/>
      <c r="HU4" s="5"/>
      <c r="HV4" s="6"/>
      <c r="HW4" s="5"/>
      <c r="HY4" s="5"/>
      <c r="HZ4" s="6"/>
      <c r="IA4" s="7"/>
      <c r="IE4" s="5"/>
      <c r="IF4" s="6"/>
      <c r="IN4" s="5"/>
      <c r="IP4" s="5"/>
      <c r="IQ4" s="6"/>
      <c r="IR4" s="7"/>
      <c r="IV4" s="5"/>
      <c r="IW4" s="7"/>
      <c r="IX4" s="5"/>
      <c r="IZ4" s="5"/>
      <c r="JA4" s="6"/>
      <c r="JB4" s="7"/>
      <c r="JF4" s="5"/>
      <c r="JG4" s="7"/>
      <c r="JO4" s="5"/>
      <c r="JQ4" s="5"/>
      <c r="JR4" s="6"/>
      <c r="JS4" s="7"/>
      <c r="JW4" s="5"/>
      <c r="JX4" s="6"/>
      <c r="JY4" s="5"/>
      <c r="KA4" s="5"/>
      <c r="KB4" s="6"/>
      <c r="KC4" s="7"/>
      <c r="KG4" s="5"/>
      <c r="KH4" s="6"/>
      <c r="KR4" s="5"/>
      <c r="KS4" s="6"/>
      <c r="KT4" s="7"/>
      <c r="KX4" s="5"/>
      <c r="KY4" s="6"/>
      <c r="LB4" s="5"/>
      <c r="LC4" s="6"/>
      <c r="LD4" s="7"/>
      <c r="LH4" s="5"/>
      <c r="LI4" s="6"/>
      <c r="LQ4" s="5"/>
      <c r="LS4" s="5"/>
      <c r="LT4" s="6"/>
      <c r="LU4" s="7"/>
      <c r="LY4" s="5"/>
      <c r="LZ4" s="7"/>
      <c r="MA4" s="5"/>
      <c r="MC4" s="5"/>
      <c r="MD4" s="6"/>
      <c r="ME4" s="7"/>
      <c r="MI4" s="5"/>
      <c r="MJ4" s="7"/>
      <c r="MR4" s="5"/>
      <c r="MT4" s="5"/>
      <c r="MU4" s="6"/>
      <c r="MV4" s="7"/>
      <c r="MZ4" s="5"/>
      <c r="NA4" s="6"/>
      <c r="NB4" s="5"/>
      <c r="ND4" s="5"/>
      <c r="NE4" s="6"/>
      <c r="NF4" s="7"/>
      <c r="NJ4" s="5"/>
      <c r="NK4" s="6"/>
      <c r="NS4" s="5"/>
      <c r="NU4" s="5"/>
      <c r="NV4" s="6"/>
      <c r="NW4" s="7"/>
      <c r="OA4" s="5"/>
      <c r="OB4" s="6"/>
      <c r="OC4" s="5"/>
      <c r="OE4" s="5"/>
      <c r="OF4" s="6"/>
      <c r="OG4" s="7"/>
      <c r="OK4" s="5"/>
      <c r="OL4" s="6"/>
      <c r="OV4" s="5"/>
      <c r="OW4" s="6"/>
      <c r="OX4" s="7"/>
      <c r="PB4" s="5"/>
      <c r="PC4" s="6"/>
      <c r="PF4" s="5"/>
      <c r="PG4" s="6"/>
      <c r="PH4" s="7"/>
      <c r="PL4" s="5"/>
      <c r="PM4" s="6"/>
      <c r="PU4" s="5"/>
      <c r="PW4" s="5"/>
      <c r="PX4" s="6"/>
      <c r="PY4" s="7"/>
      <c r="QC4" s="5"/>
      <c r="QD4" s="7"/>
      <c r="QE4" s="5"/>
      <c r="QG4" s="5"/>
      <c r="QH4" s="6"/>
      <c r="QI4" s="7"/>
      <c r="QM4" s="5"/>
      <c r="QN4" s="7"/>
      <c r="QV4" s="5"/>
      <c r="QX4" s="5"/>
      <c r="QY4" s="6"/>
      <c r="QZ4" s="7"/>
      <c r="RD4" s="5"/>
      <c r="RE4" s="6"/>
      <c r="RF4" s="5"/>
      <c r="RH4" s="5"/>
      <c r="RI4" s="6"/>
      <c r="RJ4" s="7"/>
      <c r="RN4" s="5"/>
      <c r="RO4" s="6"/>
      <c r="RW4" s="5"/>
      <c r="RY4" s="5"/>
      <c r="RZ4" s="6"/>
      <c r="SA4" s="7"/>
      <c r="SE4" s="5"/>
      <c r="SF4" s="7"/>
      <c r="SG4" s="5"/>
      <c r="SI4" s="5"/>
      <c r="SJ4" s="6"/>
      <c r="SK4" s="7"/>
      <c r="SO4" s="5"/>
      <c r="SP4" s="7"/>
    </row>
    <row r="5" spans="1:510" x14ac:dyDescent="0.3">
      <c r="A5" s="59"/>
      <c r="B5" s="2" t="s">
        <v>16</v>
      </c>
      <c r="E5" s="2"/>
      <c r="F5" s="9">
        <v>1.25</v>
      </c>
      <c r="G5" s="3">
        <v>11.38</v>
      </c>
      <c r="H5" s="3">
        <v>23.25</v>
      </c>
      <c r="I5" s="3">
        <v>18.12</v>
      </c>
      <c r="J5" s="3">
        <v>8.25</v>
      </c>
      <c r="K5" s="3">
        <v>0.74</v>
      </c>
      <c r="L5" s="57">
        <v>0.47</v>
      </c>
      <c r="M5" s="59"/>
      <c r="N5" s="2"/>
      <c r="O5" s="64"/>
      <c r="P5" s="63"/>
      <c r="Q5" s="55"/>
      <c r="S5" s="56"/>
      <c r="T5" s="60"/>
      <c r="U5" s="60"/>
      <c r="V5" s="64"/>
      <c r="W5" s="2"/>
      <c r="AE5" s="22"/>
      <c r="AF5" s="22"/>
      <c r="AG5" s="22"/>
      <c r="AH5" s="22"/>
      <c r="AI5" s="22"/>
      <c r="AJ5" s="22"/>
      <c r="AK5" s="22"/>
      <c r="AL5" s="22"/>
      <c r="AM5" s="22"/>
      <c r="AN5" s="22"/>
      <c r="AO5" s="22"/>
      <c r="AP5" s="22"/>
      <c r="AR5" s="5"/>
      <c r="AS5" s="6"/>
      <c r="AT5" s="7"/>
      <c r="AX5" s="5"/>
      <c r="AY5" s="6"/>
      <c r="BG5" s="5"/>
      <c r="BI5" s="5"/>
      <c r="BJ5" s="6"/>
      <c r="BK5" s="7"/>
      <c r="BO5" s="5"/>
      <c r="BP5" s="6"/>
      <c r="BQ5" s="5"/>
      <c r="BS5" s="5"/>
      <c r="BT5" s="6"/>
      <c r="BU5" s="7"/>
      <c r="BY5" s="5"/>
      <c r="BZ5" s="6"/>
      <c r="CH5" s="5"/>
      <c r="CJ5" s="5"/>
      <c r="CK5" s="6"/>
      <c r="CL5" s="7"/>
      <c r="CP5" s="5"/>
      <c r="CQ5" s="6"/>
      <c r="CR5" s="5"/>
      <c r="CT5" s="5"/>
      <c r="CU5" s="6"/>
      <c r="CV5" s="7"/>
      <c r="CZ5" s="5"/>
      <c r="DA5" s="6"/>
      <c r="DI5" s="5"/>
      <c r="DK5" s="5"/>
      <c r="DL5" s="6"/>
      <c r="DM5" s="7"/>
      <c r="DQ5" s="5"/>
      <c r="DR5" s="6"/>
      <c r="DS5" s="5"/>
      <c r="DU5" s="5"/>
      <c r="DV5" s="6"/>
      <c r="DW5" s="7"/>
      <c r="EA5" s="5"/>
      <c r="EB5" s="6"/>
      <c r="EJ5" s="5"/>
      <c r="EL5" s="5"/>
      <c r="EM5" s="6"/>
      <c r="EN5" s="7"/>
      <c r="ER5" s="5"/>
      <c r="ES5" s="6"/>
      <c r="ET5" s="5"/>
      <c r="EV5" s="5"/>
      <c r="EW5" s="6"/>
      <c r="EX5" s="7"/>
      <c r="FB5" s="5"/>
      <c r="FC5" s="6"/>
      <c r="GL5" s="5"/>
      <c r="GN5" s="5"/>
      <c r="GO5" s="6"/>
      <c r="GP5" s="7"/>
      <c r="GT5" s="5"/>
      <c r="GU5" s="6"/>
      <c r="GV5" s="5"/>
      <c r="GX5" s="5"/>
      <c r="GY5" s="6"/>
      <c r="GZ5" s="7"/>
      <c r="HD5" s="5"/>
      <c r="HE5" s="6"/>
      <c r="HM5" s="5"/>
      <c r="HO5" s="5"/>
      <c r="HP5" s="6"/>
      <c r="HQ5" s="7"/>
      <c r="HU5" s="5"/>
      <c r="HV5" s="6"/>
      <c r="HW5" s="5"/>
      <c r="HY5" s="5"/>
      <c r="HZ5" s="6"/>
      <c r="IA5" s="7"/>
      <c r="IE5" s="5"/>
      <c r="IF5" s="6"/>
      <c r="IN5" s="5"/>
      <c r="IP5" s="5"/>
      <c r="IQ5" s="6"/>
      <c r="IR5" s="7"/>
      <c r="IV5" s="5"/>
      <c r="IW5" s="6"/>
      <c r="IX5" s="5"/>
      <c r="IZ5" s="5"/>
      <c r="JA5" s="6"/>
      <c r="JB5" s="7"/>
      <c r="JF5" s="5"/>
      <c r="JG5" s="6"/>
      <c r="JO5" s="5"/>
      <c r="JQ5" s="5"/>
      <c r="JR5" s="6"/>
      <c r="JS5" s="7"/>
      <c r="JW5" s="5"/>
      <c r="JX5" s="6"/>
      <c r="JY5" s="5"/>
      <c r="KA5" s="5"/>
      <c r="KB5" s="6"/>
      <c r="KC5" s="7"/>
      <c r="KG5" s="5"/>
      <c r="KH5" s="6"/>
      <c r="KR5" s="5"/>
      <c r="KS5" s="6"/>
      <c r="KT5" s="7"/>
      <c r="KX5" s="5"/>
      <c r="KY5" s="6"/>
      <c r="LB5" s="5"/>
      <c r="LC5" s="6"/>
      <c r="LD5" s="7"/>
      <c r="LH5" s="5"/>
      <c r="LI5" s="6"/>
      <c r="LQ5" s="5"/>
      <c r="LS5" s="5"/>
      <c r="LT5" s="6"/>
      <c r="LU5" s="7"/>
      <c r="LY5" s="5"/>
      <c r="LZ5" s="6"/>
      <c r="MA5" s="5"/>
      <c r="MC5" s="5"/>
      <c r="MD5" s="6"/>
      <c r="ME5" s="7"/>
      <c r="MI5" s="5"/>
      <c r="MJ5" s="6"/>
      <c r="MR5" s="5"/>
      <c r="MT5" s="5"/>
      <c r="MU5" s="6"/>
      <c r="MV5" s="7"/>
      <c r="MZ5" s="5"/>
      <c r="NA5" s="6"/>
      <c r="NB5" s="5"/>
      <c r="ND5" s="5"/>
      <c r="NE5" s="6"/>
      <c r="NF5" s="7"/>
      <c r="NJ5" s="5"/>
      <c r="NK5" s="6"/>
      <c r="NS5" s="5"/>
      <c r="NU5" s="5"/>
      <c r="NV5" s="6"/>
      <c r="NW5" s="7"/>
      <c r="OA5" s="5"/>
      <c r="OB5" s="6"/>
      <c r="OC5" s="5"/>
      <c r="OE5" s="5"/>
      <c r="OF5" s="6"/>
      <c r="OG5" s="7"/>
      <c r="OK5" s="5"/>
      <c r="OL5" s="6"/>
      <c r="OV5" s="5"/>
      <c r="OW5" s="6"/>
      <c r="OX5" s="7"/>
      <c r="PB5" s="5"/>
      <c r="PC5" s="7"/>
      <c r="PF5" s="5"/>
      <c r="PG5" s="6"/>
      <c r="PH5" s="7"/>
      <c r="PL5" s="5"/>
      <c r="PM5" s="7"/>
      <c r="PU5" s="5"/>
      <c r="PW5" s="5"/>
      <c r="PX5" s="6"/>
      <c r="PY5" s="7"/>
      <c r="QC5" s="5"/>
      <c r="QD5" s="6"/>
      <c r="QE5" s="5"/>
      <c r="QG5" s="5"/>
      <c r="QH5" s="6"/>
      <c r="QI5" s="7"/>
      <c r="QM5" s="5"/>
      <c r="QN5" s="6"/>
      <c r="QV5" s="5"/>
      <c r="QX5" s="5"/>
      <c r="QY5" s="6"/>
      <c r="QZ5" s="7"/>
      <c r="RD5" s="5"/>
      <c r="RE5" s="6"/>
      <c r="RF5" s="5"/>
      <c r="RH5" s="5"/>
      <c r="RI5" s="6"/>
      <c r="RJ5" s="7"/>
      <c r="RN5" s="5"/>
      <c r="RO5" s="6"/>
      <c r="RT5" s="8"/>
      <c r="RU5" s="8"/>
      <c r="RV5" s="8"/>
      <c r="RW5" s="5"/>
      <c r="RY5" s="5"/>
      <c r="RZ5" s="6"/>
      <c r="SA5" s="7"/>
      <c r="SE5" s="5"/>
      <c r="SF5" s="6"/>
      <c r="SG5" s="5"/>
      <c r="SI5" s="5"/>
      <c r="SJ5" s="6"/>
      <c r="SK5" s="7"/>
      <c r="SO5" s="5"/>
      <c r="SP5" s="6"/>
    </row>
    <row r="6" spans="1:510" x14ac:dyDescent="0.3">
      <c r="A6" s="59"/>
      <c r="B6" s="3" t="s">
        <v>8</v>
      </c>
      <c r="C6" s="64"/>
      <c r="D6" s="63"/>
      <c r="E6" s="55"/>
      <c r="F6" s="9">
        <v>1.1200000000000001</v>
      </c>
      <c r="G6" s="3">
        <v>10.5</v>
      </c>
      <c r="H6" s="3">
        <v>21.88</v>
      </c>
      <c r="I6" s="3">
        <v>16</v>
      </c>
      <c r="J6" s="3">
        <v>10.25</v>
      </c>
      <c r="K6" s="3">
        <v>0.71</v>
      </c>
      <c r="L6" s="57">
        <v>0.46</v>
      </c>
      <c r="M6" s="59"/>
      <c r="N6" s="2"/>
      <c r="O6" s="64"/>
      <c r="P6" s="63"/>
      <c r="Q6" s="62"/>
      <c r="S6" s="55"/>
      <c r="T6" s="63"/>
      <c r="U6" s="63"/>
      <c r="V6" s="63"/>
      <c r="W6" s="2"/>
      <c r="AF6" s="22"/>
      <c r="AG6" s="22"/>
      <c r="AH6" s="22"/>
      <c r="AI6" s="22"/>
      <c r="AJ6" s="22"/>
      <c r="AK6" s="22"/>
      <c r="AL6" s="22"/>
      <c r="AM6" s="22"/>
      <c r="AT6" s="7"/>
      <c r="AX6" s="5"/>
      <c r="AY6" s="6"/>
      <c r="BG6" s="5"/>
      <c r="BI6" s="5"/>
      <c r="BJ6" s="6"/>
      <c r="BK6" s="7"/>
      <c r="BO6" s="5"/>
      <c r="BP6" s="6"/>
      <c r="BQ6" s="5"/>
      <c r="BS6" s="5"/>
      <c r="BT6" s="6"/>
      <c r="BU6" s="7"/>
      <c r="BY6" s="5"/>
      <c r="BZ6" s="6"/>
      <c r="CH6" s="5"/>
      <c r="CJ6" s="5"/>
      <c r="CK6" s="6"/>
      <c r="CL6" s="7"/>
      <c r="CP6" s="5"/>
      <c r="CQ6" s="6"/>
      <c r="CR6" s="5"/>
      <c r="CT6" s="5"/>
      <c r="CU6" s="6"/>
      <c r="CV6" s="7"/>
      <c r="CZ6" s="5"/>
      <c r="DA6" s="6"/>
      <c r="DI6" s="5"/>
      <c r="DK6" s="5"/>
      <c r="DL6" s="6"/>
      <c r="DM6" s="7"/>
      <c r="DQ6" s="5"/>
      <c r="DR6" s="6"/>
      <c r="DS6" s="5"/>
      <c r="DU6" s="5"/>
      <c r="DV6" s="6"/>
      <c r="DW6" s="7"/>
      <c r="EA6" s="5"/>
      <c r="EB6" s="6"/>
      <c r="EL6" s="5"/>
      <c r="EM6" s="6"/>
      <c r="EN6" s="7"/>
      <c r="ER6" s="5"/>
      <c r="ES6" s="6"/>
      <c r="EV6" s="5"/>
      <c r="EW6" s="6"/>
      <c r="EX6" s="7"/>
      <c r="FB6" s="5"/>
      <c r="FC6" s="6"/>
      <c r="GL6" s="5"/>
      <c r="GN6" s="5"/>
      <c r="GO6" s="6"/>
      <c r="GP6" s="7"/>
      <c r="GT6" s="5"/>
      <c r="GU6" s="6"/>
      <c r="GV6" s="5"/>
      <c r="GX6" s="5"/>
      <c r="GY6" s="6"/>
      <c r="GZ6" s="7"/>
      <c r="HD6" s="5"/>
      <c r="HE6" s="6"/>
      <c r="HM6" s="5"/>
      <c r="HO6" s="5"/>
      <c r="HP6" s="6"/>
      <c r="HQ6" s="7"/>
      <c r="HU6" s="5"/>
      <c r="HV6" s="6"/>
      <c r="HW6" s="5"/>
      <c r="HY6" s="5"/>
      <c r="HZ6" s="6"/>
      <c r="IA6" s="7"/>
      <c r="IE6" s="5"/>
      <c r="IF6" s="6"/>
      <c r="IN6" s="5"/>
      <c r="IP6" s="5"/>
      <c r="IQ6" s="6"/>
      <c r="IR6" s="7"/>
      <c r="IV6" s="5"/>
      <c r="IW6" s="6"/>
      <c r="IX6" s="5"/>
      <c r="IZ6" s="5"/>
      <c r="JA6" s="6"/>
      <c r="JB6" s="7"/>
      <c r="JF6" s="5"/>
      <c r="JG6" s="6"/>
      <c r="JQ6" s="5"/>
      <c r="JR6" s="6"/>
      <c r="JS6" s="7"/>
      <c r="JW6" s="5"/>
      <c r="JX6" s="6"/>
      <c r="KA6" s="5"/>
      <c r="KB6" s="6"/>
      <c r="KC6" s="7"/>
      <c r="KG6" s="5"/>
      <c r="KH6" s="6"/>
      <c r="KR6" s="5"/>
      <c r="KS6" s="6"/>
      <c r="KT6" s="7"/>
      <c r="KX6" s="5"/>
      <c r="KY6" s="7"/>
      <c r="LB6" s="5"/>
      <c r="LC6" s="6"/>
      <c r="LD6" s="7"/>
      <c r="LH6" s="5"/>
      <c r="LI6" s="7"/>
      <c r="LQ6" s="5"/>
      <c r="LS6" s="5"/>
      <c r="LT6" s="6"/>
      <c r="LU6" s="7"/>
      <c r="LY6" s="5"/>
      <c r="LZ6" s="6"/>
      <c r="MA6" s="5"/>
      <c r="MC6" s="5"/>
      <c r="MD6" s="6"/>
      <c r="ME6" s="7"/>
      <c r="MI6" s="5"/>
      <c r="MJ6" s="6"/>
      <c r="MR6" s="5"/>
      <c r="MT6" s="5"/>
      <c r="MU6" s="6"/>
      <c r="MV6" s="7"/>
      <c r="MZ6" s="5"/>
      <c r="NA6" s="6"/>
      <c r="NB6" s="5"/>
      <c r="ND6" s="5"/>
      <c r="NE6" s="6"/>
      <c r="NF6" s="7"/>
      <c r="NJ6" s="5"/>
      <c r="NK6" s="6"/>
      <c r="NS6" s="5"/>
      <c r="NU6" s="5"/>
      <c r="NV6" s="6"/>
      <c r="NW6" s="7"/>
      <c r="OA6" s="5"/>
      <c r="OB6" s="6"/>
      <c r="OC6" s="5"/>
      <c r="OE6" s="5"/>
      <c r="OF6" s="6"/>
      <c r="OG6" s="7"/>
      <c r="OK6" s="5"/>
      <c r="OL6" s="6"/>
      <c r="OV6" s="5"/>
      <c r="OW6" s="6"/>
      <c r="OX6" s="7"/>
      <c r="PB6" s="5"/>
      <c r="PC6" s="6"/>
      <c r="PF6" s="5"/>
      <c r="PG6" s="6"/>
      <c r="PH6" s="7"/>
      <c r="PL6" s="5"/>
      <c r="PM6" s="6"/>
      <c r="PU6" s="5"/>
      <c r="PW6" s="5"/>
      <c r="PX6" s="6"/>
      <c r="PY6" s="7"/>
      <c r="QC6" s="5"/>
      <c r="QD6" s="6"/>
      <c r="QE6" s="5"/>
      <c r="QG6" s="5"/>
      <c r="QH6" s="6"/>
      <c r="QI6" s="7"/>
      <c r="QM6" s="5"/>
      <c r="QN6" s="6"/>
      <c r="QV6" s="5"/>
      <c r="QX6" s="5"/>
      <c r="QY6" s="6"/>
      <c r="QZ6" s="7"/>
      <c r="RD6" s="5"/>
      <c r="RE6" s="6"/>
      <c r="RF6" s="5"/>
      <c r="RH6" s="5"/>
      <c r="RI6" s="6"/>
      <c r="RJ6" s="7"/>
      <c r="RN6" s="5"/>
      <c r="RO6" s="6"/>
    </row>
    <row r="7" spans="1:510" x14ac:dyDescent="0.3">
      <c r="A7" s="59"/>
      <c r="B7" s="3" t="s">
        <v>23</v>
      </c>
      <c r="D7" s="63"/>
      <c r="E7" s="63"/>
      <c r="F7" s="9">
        <v>2.5</v>
      </c>
      <c r="G7" s="3">
        <v>9.75</v>
      </c>
      <c r="H7" s="3">
        <v>15.62</v>
      </c>
      <c r="I7" s="3">
        <v>16.12</v>
      </c>
      <c r="J7" s="3">
        <v>10.25</v>
      </c>
      <c r="K7" s="3">
        <v>0.74</v>
      </c>
      <c r="L7" s="57">
        <v>0.4</v>
      </c>
      <c r="M7" s="59"/>
      <c r="N7" s="2"/>
      <c r="O7" s="64"/>
      <c r="P7" s="63"/>
      <c r="Q7" s="62"/>
      <c r="S7" s="62"/>
      <c r="T7" s="63"/>
      <c r="U7" s="63"/>
      <c r="V7" s="63"/>
      <c r="W7" s="2"/>
      <c r="AE7" s="1"/>
      <c r="AF7" s="22"/>
      <c r="AG7" s="22"/>
      <c r="AH7" s="22"/>
      <c r="AI7" s="22"/>
      <c r="AJ7" s="22"/>
      <c r="AK7" s="22"/>
      <c r="AL7" s="22"/>
      <c r="AM7" s="22"/>
      <c r="AT7" s="7"/>
      <c r="AX7" s="5"/>
      <c r="AY7" s="6"/>
      <c r="BG7" s="5"/>
      <c r="BI7" s="5"/>
      <c r="BJ7" s="6"/>
      <c r="BK7" s="7"/>
      <c r="BO7" s="5"/>
      <c r="BP7" s="6"/>
      <c r="BQ7" s="5"/>
      <c r="BS7" s="5"/>
      <c r="BT7" s="6"/>
      <c r="BU7" s="7"/>
      <c r="BY7" s="5"/>
      <c r="BZ7" s="6"/>
      <c r="CH7" s="5"/>
      <c r="CJ7" s="5"/>
      <c r="CK7" s="6"/>
      <c r="CL7" s="7"/>
      <c r="CP7" s="5"/>
      <c r="CQ7" s="6"/>
      <c r="CR7" s="5"/>
      <c r="CT7" s="5"/>
      <c r="CU7" s="6"/>
      <c r="CV7" s="7"/>
      <c r="CZ7" s="5"/>
      <c r="DA7" s="6"/>
      <c r="DI7" s="5"/>
      <c r="DK7" s="5"/>
      <c r="DL7" s="6"/>
      <c r="DM7" s="7"/>
      <c r="DQ7" s="5"/>
      <c r="DR7" s="6"/>
      <c r="DS7" s="5"/>
      <c r="DU7" s="5"/>
      <c r="DV7" s="6"/>
      <c r="DW7" s="7"/>
      <c r="EA7" s="5"/>
      <c r="EB7" s="6"/>
      <c r="EJ7" s="5"/>
      <c r="EL7" s="5"/>
      <c r="EM7" s="6"/>
      <c r="EN7" s="7"/>
      <c r="ER7" s="5"/>
      <c r="ES7" s="6"/>
      <c r="ET7" s="5"/>
      <c r="EV7" s="5"/>
      <c r="EW7" s="6"/>
      <c r="EX7" s="7"/>
      <c r="FB7" s="5"/>
      <c r="FC7" s="6"/>
      <c r="GL7" s="5"/>
      <c r="GN7" s="5"/>
      <c r="GO7" s="6"/>
      <c r="GP7" s="7"/>
      <c r="GT7" s="5"/>
      <c r="GU7" s="6"/>
      <c r="GV7" s="5"/>
      <c r="GX7" s="5"/>
      <c r="GY7" s="6"/>
      <c r="GZ7" s="7"/>
      <c r="HD7" s="5"/>
      <c r="HE7" s="6"/>
      <c r="HM7" s="5"/>
      <c r="HO7" s="5"/>
      <c r="HP7" s="6"/>
      <c r="HQ7" s="7"/>
      <c r="HU7" s="5"/>
      <c r="HV7" s="6"/>
      <c r="HW7" s="5"/>
      <c r="HY7" s="5"/>
      <c r="HZ7" s="6"/>
      <c r="IA7" s="7"/>
      <c r="IE7" s="5"/>
      <c r="IF7" s="6"/>
      <c r="IK7" s="8"/>
      <c r="IL7" s="8"/>
      <c r="IM7" s="8"/>
      <c r="IN7" s="5"/>
      <c r="IP7" s="5"/>
      <c r="IQ7" s="6"/>
      <c r="IR7" s="7"/>
      <c r="IV7" s="5"/>
      <c r="IW7" s="6"/>
      <c r="IX7" s="5"/>
      <c r="IZ7" s="5"/>
      <c r="JA7" s="6"/>
      <c r="JB7" s="7"/>
      <c r="JF7" s="5"/>
      <c r="JG7" s="6"/>
      <c r="JQ7" s="5"/>
      <c r="JR7" s="6"/>
      <c r="JS7" s="7"/>
      <c r="JW7" s="5"/>
      <c r="JX7" s="7"/>
      <c r="KA7" s="5"/>
      <c r="KB7" s="6"/>
      <c r="KC7" s="7"/>
      <c r="KG7" s="5"/>
      <c r="KH7" s="7"/>
      <c r="KR7" s="5"/>
      <c r="KS7" s="6"/>
      <c r="KT7" s="7"/>
      <c r="KX7" s="5"/>
      <c r="KY7" s="6"/>
      <c r="LB7" s="5"/>
      <c r="LC7" s="6"/>
      <c r="LD7" s="7"/>
      <c r="LH7" s="5"/>
      <c r="LI7" s="6"/>
      <c r="LQ7" s="5"/>
      <c r="LS7" s="5"/>
      <c r="LT7" s="6"/>
      <c r="LU7" s="7"/>
      <c r="LY7" s="5"/>
      <c r="LZ7" s="6"/>
      <c r="MA7" s="5"/>
      <c r="MC7" s="5"/>
      <c r="MD7" s="6"/>
      <c r="ME7" s="7"/>
      <c r="MI7" s="5"/>
      <c r="MJ7" s="6"/>
      <c r="MR7" s="5"/>
      <c r="MT7" s="5"/>
      <c r="MU7" s="6"/>
      <c r="MV7" s="7"/>
      <c r="MZ7" s="5"/>
      <c r="NA7" s="6"/>
      <c r="NB7" s="5"/>
      <c r="ND7" s="5"/>
      <c r="NE7" s="6"/>
      <c r="NF7" s="7"/>
      <c r="NJ7" s="5"/>
      <c r="NK7" s="6"/>
      <c r="NS7" s="5"/>
      <c r="NU7" s="5"/>
      <c r="NV7" s="6"/>
      <c r="NW7" s="7"/>
      <c r="OA7" s="5"/>
      <c r="OB7" s="6"/>
      <c r="OC7" s="5"/>
      <c r="OE7" s="5"/>
      <c r="OF7" s="6"/>
      <c r="OG7" s="7"/>
      <c r="OK7" s="5"/>
      <c r="OL7" s="6"/>
      <c r="OV7" s="5"/>
      <c r="OW7" s="6"/>
      <c r="OX7" s="7"/>
      <c r="PB7" s="5"/>
      <c r="PC7" s="6"/>
      <c r="PF7" s="5"/>
      <c r="PG7" s="6"/>
      <c r="PH7" s="7"/>
      <c r="PL7" s="5"/>
      <c r="PM7" s="6"/>
      <c r="PU7" s="5"/>
      <c r="PW7" s="5"/>
      <c r="PX7" s="6"/>
      <c r="PY7" s="7"/>
      <c r="QC7" s="5"/>
      <c r="QD7" s="6"/>
      <c r="QE7" s="5"/>
      <c r="QG7" s="5"/>
      <c r="QH7" s="6"/>
      <c r="QI7" s="7"/>
      <c r="QM7" s="5"/>
      <c r="QN7" s="6"/>
      <c r="QV7" s="5"/>
      <c r="QX7" s="5"/>
      <c r="QY7" s="6"/>
      <c r="QZ7" s="7"/>
      <c r="RD7" s="5"/>
      <c r="RE7" s="6"/>
      <c r="RF7" s="5"/>
      <c r="RH7" s="5"/>
      <c r="RI7" s="6"/>
      <c r="RJ7" s="7"/>
      <c r="RN7" s="5"/>
      <c r="RO7" s="6"/>
    </row>
    <row r="8" spans="1:510" x14ac:dyDescent="0.3">
      <c r="A8" s="59"/>
      <c r="B8" s="2" t="s">
        <v>20</v>
      </c>
      <c r="C8" s="64"/>
      <c r="D8" s="63"/>
      <c r="E8" s="55"/>
      <c r="F8" s="9">
        <v>3.38</v>
      </c>
      <c r="G8" s="3">
        <v>9</v>
      </c>
      <c r="H8" s="3">
        <v>20.5</v>
      </c>
      <c r="I8" s="3">
        <v>13.75</v>
      </c>
      <c r="J8" s="3">
        <v>13.12</v>
      </c>
      <c r="K8" s="3">
        <v>0.7</v>
      </c>
      <c r="L8" s="57">
        <v>0.42</v>
      </c>
      <c r="M8" s="59"/>
      <c r="N8" s="2"/>
      <c r="O8" s="64"/>
      <c r="P8" s="63"/>
      <c r="Q8" s="62"/>
      <c r="S8" s="55"/>
      <c r="T8" s="55"/>
      <c r="U8" s="55"/>
      <c r="V8" s="55"/>
      <c r="W8" s="2"/>
      <c r="AE8" s="1"/>
      <c r="AF8" s="22"/>
      <c r="AG8" s="22"/>
      <c r="AH8" s="22"/>
      <c r="AI8" s="22"/>
      <c r="AJ8" s="22"/>
      <c r="AK8" s="22"/>
      <c r="AL8" s="22"/>
      <c r="AM8" s="22"/>
      <c r="AT8" s="7"/>
      <c r="AX8" s="5"/>
      <c r="AY8" s="6"/>
      <c r="BG8" s="5"/>
      <c r="BI8" s="5"/>
      <c r="BJ8" s="6"/>
      <c r="BK8" s="7"/>
      <c r="BO8" s="5"/>
      <c r="BP8" s="6"/>
      <c r="BQ8" s="5"/>
      <c r="BS8" s="5"/>
      <c r="BT8" s="6"/>
      <c r="BU8" s="7"/>
      <c r="BY8" s="5"/>
      <c r="BZ8" s="6"/>
      <c r="CH8" s="5"/>
      <c r="CJ8" s="5"/>
      <c r="CK8" s="6"/>
      <c r="CL8" s="7"/>
      <c r="CP8" s="5"/>
      <c r="CQ8" s="6"/>
      <c r="CR8" s="5"/>
      <c r="CT8" s="5"/>
      <c r="CU8" s="6"/>
      <c r="CV8" s="7"/>
      <c r="CZ8" s="5"/>
      <c r="DA8" s="6"/>
      <c r="DI8" s="5"/>
      <c r="DK8" s="5"/>
      <c r="DL8" s="6"/>
      <c r="DM8" s="7"/>
      <c r="DQ8" s="5"/>
      <c r="DR8" s="6"/>
      <c r="DS8" s="5"/>
      <c r="DU8" s="5"/>
      <c r="DV8" s="6"/>
      <c r="DW8" s="7"/>
      <c r="EA8" s="5"/>
      <c r="EB8" s="6"/>
      <c r="EJ8" s="5"/>
      <c r="EL8" s="5"/>
      <c r="EM8" s="6"/>
      <c r="EN8" s="7"/>
      <c r="ER8" s="5"/>
      <c r="ES8" s="6"/>
      <c r="ET8" s="5"/>
      <c r="EV8" s="5"/>
      <c r="EW8" s="6"/>
      <c r="EX8" s="7"/>
      <c r="FB8" s="5"/>
      <c r="FC8" s="6"/>
      <c r="GL8" s="5"/>
      <c r="GN8" s="5"/>
      <c r="GO8" s="6"/>
      <c r="GP8" s="7"/>
      <c r="GT8" s="5"/>
      <c r="GU8" s="6"/>
      <c r="GV8" s="5"/>
      <c r="GX8" s="5"/>
      <c r="GY8" s="6"/>
      <c r="GZ8" s="7"/>
      <c r="HD8" s="5"/>
      <c r="HE8" s="6"/>
      <c r="HM8" s="5"/>
      <c r="HO8" s="5"/>
      <c r="HP8" s="6"/>
      <c r="HQ8" s="7"/>
      <c r="HU8" s="5"/>
      <c r="HV8" s="6"/>
      <c r="HW8" s="5"/>
      <c r="HY8" s="5"/>
      <c r="HZ8" s="6"/>
      <c r="IA8" s="7"/>
      <c r="IE8" s="5"/>
      <c r="IF8" s="6"/>
      <c r="JQ8" s="5"/>
      <c r="JR8" s="6"/>
      <c r="JS8" s="7"/>
      <c r="JW8" s="5"/>
      <c r="JX8" s="6"/>
      <c r="KA8" s="5"/>
      <c r="KB8" s="6"/>
      <c r="KC8" s="7"/>
      <c r="KG8" s="5"/>
      <c r="KH8" s="6"/>
      <c r="KR8" s="5"/>
      <c r="KS8" s="6"/>
      <c r="KT8" s="7"/>
      <c r="KX8" s="5"/>
      <c r="KY8" s="6"/>
      <c r="LB8" s="5"/>
      <c r="LC8" s="6"/>
      <c r="LD8" s="7"/>
      <c r="LH8" s="5"/>
      <c r="LI8" s="6"/>
      <c r="LQ8" s="5"/>
      <c r="LS8" s="5"/>
      <c r="LT8" s="6"/>
      <c r="LU8" s="7"/>
      <c r="LY8" s="5"/>
      <c r="LZ8" s="6"/>
      <c r="MA8" s="5"/>
      <c r="MC8" s="5"/>
      <c r="MD8" s="6"/>
      <c r="ME8" s="7"/>
      <c r="MI8" s="5"/>
      <c r="MJ8" s="6"/>
      <c r="MR8" s="5"/>
      <c r="MT8" s="5"/>
      <c r="MU8" s="6"/>
      <c r="MV8" s="7"/>
      <c r="MZ8" s="5"/>
      <c r="NA8" s="6"/>
      <c r="NB8" s="5"/>
      <c r="ND8" s="5"/>
      <c r="NE8" s="6"/>
      <c r="NF8" s="7"/>
      <c r="NJ8" s="5"/>
      <c r="NK8" s="6"/>
      <c r="NS8" s="5"/>
      <c r="NU8" s="5"/>
      <c r="NV8" s="6"/>
      <c r="NW8" s="7"/>
      <c r="OA8" s="5"/>
      <c r="OB8" s="6"/>
      <c r="OC8" s="5"/>
      <c r="OE8" s="5"/>
      <c r="OF8" s="6"/>
      <c r="OG8" s="7"/>
      <c r="OK8" s="5"/>
      <c r="OL8" s="6"/>
      <c r="OV8" s="5"/>
      <c r="OW8" s="6"/>
      <c r="OX8" s="7"/>
      <c r="PB8" s="5"/>
      <c r="PC8" s="7"/>
      <c r="PF8" s="5"/>
      <c r="PG8" s="6"/>
      <c r="PH8" s="7"/>
      <c r="PL8" s="5"/>
      <c r="PM8" s="7"/>
      <c r="PU8" s="5"/>
      <c r="PW8" s="5"/>
      <c r="PX8" s="6"/>
      <c r="PY8" s="7"/>
      <c r="QC8" s="5"/>
      <c r="QD8" s="6"/>
      <c r="QE8" s="5"/>
      <c r="QG8" s="5"/>
      <c r="QH8" s="6"/>
      <c r="QI8" s="7"/>
      <c r="QM8" s="5"/>
      <c r="QN8" s="6"/>
      <c r="QV8" s="5"/>
      <c r="QX8" s="5"/>
      <c r="QY8" s="6"/>
      <c r="QZ8" s="7"/>
      <c r="RD8" s="5"/>
      <c r="RE8" s="6"/>
      <c r="RF8" s="5"/>
      <c r="RH8" s="5"/>
      <c r="RI8" s="6"/>
      <c r="RJ8" s="7"/>
      <c r="RN8" s="5"/>
      <c r="RO8" s="6"/>
    </row>
    <row r="9" spans="1:510" x14ac:dyDescent="0.3">
      <c r="A9" s="59"/>
      <c r="B9" s="2" t="s">
        <v>19</v>
      </c>
      <c r="C9" s="64"/>
      <c r="D9" s="63"/>
      <c r="E9" s="62"/>
      <c r="F9" s="9">
        <v>1.75</v>
      </c>
      <c r="G9" s="3">
        <v>7.5</v>
      </c>
      <c r="H9" s="3">
        <v>20.5</v>
      </c>
      <c r="I9" s="3">
        <v>18.88</v>
      </c>
      <c r="J9" s="3">
        <v>8.75</v>
      </c>
      <c r="K9" s="3">
        <v>0.69</v>
      </c>
      <c r="L9" s="57">
        <v>0.39</v>
      </c>
      <c r="M9" s="59"/>
      <c r="N9" s="2"/>
      <c r="O9" s="64"/>
      <c r="P9" s="63"/>
      <c r="Q9" s="62"/>
      <c r="S9" s="55"/>
      <c r="T9" s="55"/>
      <c r="U9" s="55"/>
      <c r="V9" s="55"/>
      <c r="W9" s="2"/>
      <c r="AE9" s="22"/>
      <c r="AF9" s="22"/>
      <c r="AI9" s="22"/>
      <c r="AJ9" s="22"/>
      <c r="AK9" s="22"/>
      <c r="AL9" s="22"/>
      <c r="AM9" s="22"/>
      <c r="AN9" s="63"/>
      <c r="AT9" s="7"/>
      <c r="AX9" s="5"/>
      <c r="AY9" s="6"/>
      <c r="BG9" s="5"/>
      <c r="BI9" s="5"/>
      <c r="BJ9" s="6"/>
      <c r="BK9" s="7"/>
      <c r="BO9" s="5"/>
      <c r="BP9" s="6"/>
      <c r="BQ9" s="5"/>
      <c r="BS9" s="5"/>
      <c r="BT9" s="6"/>
      <c r="BU9" s="7"/>
      <c r="BY9" s="5"/>
      <c r="BZ9" s="6"/>
      <c r="CH9" s="5"/>
      <c r="CJ9" s="5"/>
      <c r="CK9" s="6"/>
      <c r="CL9" s="7"/>
      <c r="CP9" s="5"/>
      <c r="CQ9" s="6"/>
      <c r="CR9" s="5"/>
      <c r="CT9" s="5"/>
      <c r="CU9" s="6"/>
      <c r="CV9" s="7"/>
      <c r="CZ9" s="5"/>
      <c r="DA9" s="6"/>
      <c r="DK9" s="5"/>
      <c r="DL9" s="6"/>
      <c r="DM9" s="7"/>
      <c r="DQ9" s="5"/>
      <c r="DR9" s="6"/>
      <c r="DU9" s="5"/>
      <c r="DV9" s="6"/>
      <c r="DW9" s="7"/>
      <c r="EA9" s="5"/>
      <c r="EB9" s="6"/>
      <c r="EJ9" s="5"/>
      <c r="EL9" s="5"/>
      <c r="EM9" s="6"/>
      <c r="EN9" s="7"/>
      <c r="ER9" s="5"/>
      <c r="ES9" s="6"/>
      <c r="ET9" s="5"/>
      <c r="EV9" s="5"/>
      <c r="EW9" s="6"/>
      <c r="EX9" s="7"/>
      <c r="FB9" s="5"/>
      <c r="FC9" s="6"/>
      <c r="GL9" s="5"/>
      <c r="GN9" s="5"/>
      <c r="GO9" s="6"/>
      <c r="GP9" s="7"/>
      <c r="GT9" s="5"/>
      <c r="GU9" s="6"/>
      <c r="GV9" s="5"/>
      <c r="GX9" s="5"/>
      <c r="GY9" s="6"/>
      <c r="GZ9" s="7"/>
      <c r="HD9" s="5"/>
      <c r="HE9" s="6"/>
      <c r="HM9" s="5"/>
      <c r="HO9" s="5"/>
      <c r="HP9" s="6"/>
      <c r="HQ9" s="7"/>
      <c r="HU9" s="5"/>
      <c r="HV9" s="6"/>
      <c r="HW9" s="5"/>
      <c r="HY9" s="5"/>
      <c r="HZ9" s="6"/>
      <c r="IA9" s="7"/>
      <c r="IE9" s="5"/>
      <c r="IF9" s="6"/>
      <c r="JQ9" s="5"/>
      <c r="JR9" s="6"/>
      <c r="JS9" s="7"/>
      <c r="JW9" s="5"/>
      <c r="JX9" s="6"/>
      <c r="KA9" s="5"/>
      <c r="KB9" s="6"/>
      <c r="KC9" s="7"/>
      <c r="KG9" s="5"/>
      <c r="KH9" s="6"/>
      <c r="KR9" s="5"/>
      <c r="KS9" s="6"/>
      <c r="KT9" s="7"/>
      <c r="KX9" s="5"/>
      <c r="KY9" s="6"/>
      <c r="LB9" s="5"/>
      <c r="LC9" s="6"/>
      <c r="LD9" s="7"/>
      <c r="LH9" s="5"/>
      <c r="LI9" s="6"/>
      <c r="LQ9" s="5"/>
      <c r="LS9" s="5"/>
      <c r="LT9" s="6"/>
      <c r="LU9" s="7"/>
      <c r="LY9" s="5"/>
      <c r="LZ9" s="6"/>
      <c r="MA9" s="5"/>
      <c r="MC9" s="5"/>
      <c r="MD9" s="6"/>
      <c r="ME9" s="7"/>
      <c r="MI9" s="5"/>
      <c r="MJ9" s="6"/>
      <c r="MR9" s="5"/>
      <c r="MT9" s="5"/>
      <c r="MU9" s="6"/>
      <c r="MV9" s="7"/>
      <c r="MZ9" s="5"/>
      <c r="NA9" s="6"/>
      <c r="NB9" s="5"/>
      <c r="ND9" s="5"/>
      <c r="NE9" s="6"/>
      <c r="NF9" s="7"/>
      <c r="NJ9" s="5"/>
      <c r="NK9" s="6"/>
      <c r="NS9" s="5"/>
      <c r="NU9" s="5"/>
      <c r="NV9" s="6"/>
      <c r="NW9" s="7"/>
      <c r="OA9" s="5"/>
      <c r="OB9" s="6"/>
      <c r="OC9" s="5"/>
      <c r="OE9" s="5"/>
      <c r="OF9" s="6"/>
      <c r="OG9" s="7"/>
      <c r="OK9" s="5"/>
      <c r="OL9" s="6"/>
      <c r="OV9" s="5"/>
      <c r="OW9" s="6"/>
      <c r="OX9" s="7"/>
      <c r="PB9" s="5"/>
      <c r="PC9" s="6"/>
      <c r="PF9" s="5"/>
      <c r="PG9" s="6"/>
      <c r="PH9" s="7"/>
      <c r="PL9" s="5"/>
      <c r="PM9" s="6"/>
      <c r="PR9" s="8"/>
      <c r="PS9" s="8"/>
      <c r="PT9" s="8"/>
      <c r="PU9" s="5"/>
      <c r="PW9" s="5"/>
      <c r="PX9" s="6"/>
      <c r="PY9" s="7"/>
      <c r="QC9" s="5"/>
      <c r="QD9" s="6"/>
      <c r="QE9" s="5"/>
      <c r="QG9" s="5"/>
      <c r="QH9" s="6"/>
      <c r="QI9" s="7"/>
      <c r="QM9" s="5"/>
      <c r="QN9" s="6"/>
      <c r="QV9" s="5"/>
      <c r="QX9" s="5"/>
      <c r="QY9" s="6"/>
      <c r="QZ9" s="7"/>
      <c r="RD9" s="5"/>
      <c r="RE9" s="6"/>
      <c r="RF9" s="5"/>
      <c r="RH9" s="5"/>
      <c r="RI9" s="6"/>
      <c r="RJ9" s="7"/>
      <c r="RN9" s="5"/>
      <c r="RO9" s="6"/>
    </row>
    <row r="10" spans="1:510" x14ac:dyDescent="0.3">
      <c r="A10" s="59"/>
      <c r="B10" s="2" t="s">
        <v>634</v>
      </c>
      <c r="E10" s="2"/>
      <c r="F10" s="9">
        <v>1.88</v>
      </c>
      <c r="G10" s="3">
        <v>9.25</v>
      </c>
      <c r="H10" s="3">
        <v>19.12</v>
      </c>
      <c r="I10" s="3">
        <v>20.5</v>
      </c>
      <c r="J10" s="3">
        <v>9.6199999999999992</v>
      </c>
      <c r="K10" s="3">
        <v>0.69</v>
      </c>
      <c r="L10" s="57">
        <v>0.05</v>
      </c>
      <c r="M10" s="59"/>
      <c r="N10" s="2"/>
      <c r="O10" s="64"/>
      <c r="P10" s="63"/>
      <c r="Q10" s="62"/>
      <c r="S10" s="55"/>
      <c r="T10" s="55"/>
      <c r="U10" s="55"/>
      <c r="V10" s="55"/>
      <c r="W10" s="2"/>
      <c r="AF10" s="22"/>
      <c r="AI10" s="22"/>
      <c r="AJ10" s="22"/>
      <c r="AK10" s="22"/>
      <c r="AL10" s="22"/>
      <c r="AM10" s="22"/>
      <c r="AN10" s="22"/>
      <c r="AO10" s="22"/>
      <c r="AP10" s="22"/>
      <c r="AR10" s="5"/>
      <c r="AS10" s="6"/>
      <c r="AT10" s="7"/>
      <c r="AX10" s="5"/>
      <c r="AY10" s="6"/>
      <c r="BG10" s="5"/>
      <c r="BI10" s="5"/>
      <c r="BJ10" s="6"/>
      <c r="BK10" s="7"/>
      <c r="BO10" s="5"/>
      <c r="BP10" s="6"/>
      <c r="BQ10" s="5"/>
      <c r="BS10" s="5"/>
      <c r="BT10" s="6"/>
      <c r="BU10" s="7"/>
      <c r="BY10" s="5"/>
      <c r="BZ10" s="6"/>
      <c r="CH10" s="5"/>
      <c r="CJ10" s="5"/>
      <c r="CK10" s="6"/>
      <c r="CL10" s="7"/>
      <c r="CP10" s="5"/>
      <c r="CQ10" s="6"/>
      <c r="CR10" s="5"/>
      <c r="CT10" s="5"/>
      <c r="CU10" s="6"/>
      <c r="CV10" s="7"/>
      <c r="CZ10" s="5"/>
      <c r="DA10" s="6"/>
      <c r="DI10" s="5"/>
      <c r="DK10" s="5"/>
      <c r="DL10" s="6"/>
      <c r="DM10" s="7"/>
      <c r="DQ10" s="5"/>
      <c r="DR10" s="6"/>
      <c r="DS10" s="5"/>
      <c r="DU10" s="5"/>
      <c r="DV10" s="6"/>
      <c r="DW10" s="7"/>
      <c r="EA10" s="5"/>
      <c r="EB10" s="6"/>
      <c r="EJ10" s="5"/>
      <c r="EL10" s="5"/>
      <c r="EM10" s="6"/>
      <c r="EN10" s="7"/>
      <c r="ER10" s="5"/>
      <c r="ES10" s="6"/>
      <c r="ET10" s="5"/>
      <c r="EV10" s="5"/>
      <c r="EW10" s="6"/>
      <c r="EX10" s="7"/>
      <c r="FB10" s="5"/>
      <c r="FC10" s="6"/>
      <c r="GL10" s="5"/>
      <c r="GN10" s="5"/>
      <c r="GO10" s="6"/>
      <c r="GP10" s="7"/>
      <c r="GT10" s="5"/>
      <c r="GU10" s="6"/>
      <c r="GV10" s="5"/>
      <c r="GX10" s="5"/>
      <c r="GY10" s="6"/>
      <c r="GZ10" s="7"/>
      <c r="HD10" s="5"/>
      <c r="HE10" s="6"/>
      <c r="HM10" s="5"/>
      <c r="HO10" s="5"/>
      <c r="HP10" s="6"/>
      <c r="HQ10" s="7"/>
      <c r="HU10" s="5"/>
      <c r="HV10" s="6"/>
      <c r="HW10" s="5"/>
      <c r="HY10" s="5"/>
      <c r="HZ10" s="6"/>
      <c r="IA10" s="7"/>
      <c r="IE10" s="5"/>
      <c r="IF10" s="6"/>
      <c r="JQ10" s="5"/>
      <c r="JR10" s="6"/>
      <c r="JS10" s="7"/>
      <c r="JW10" s="5"/>
      <c r="JX10" s="7"/>
      <c r="KA10" s="5"/>
      <c r="KB10" s="6"/>
      <c r="KC10" s="7"/>
      <c r="KG10" s="5"/>
      <c r="KH10" s="7"/>
      <c r="KR10" s="5"/>
      <c r="KS10" s="6"/>
      <c r="KT10" s="7"/>
      <c r="KX10" s="5"/>
      <c r="KY10" s="6"/>
      <c r="LB10" s="5"/>
      <c r="LC10" s="6"/>
      <c r="LD10" s="7"/>
      <c r="LH10" s="5"/>
      <c r="LI10" s="6"/>
      <c r="LN10" s="8"/>
      <c r="LO10" s="8"/>
      <c r="LP10" s="8"/>
      <c r="LQ10" s="5"/>
      <c r="LS10" s="5"/>
      <c r="LT10" s="6"/>
      <c r="LU10" s="7"/>
      <c r="LY10" s="5"/>
      <c r="LZ10" s="6"/>
      <c r="MA10" s="5"/>
      <c r="MC10" s="5"/>
      <c r="MD10" s="6"/>
      <c r="ME10" s="7"/>
      <c r="MI10" s="5"/>
      <c r="MJ10" s="6"/>
      <c r="MR10" s="5"/>
      <c r="MT10" s="5"/>
      <c r="MU10" s="6"/>
      <c r="MV10" s="7"/>
      <c r="MZ10" s="5"/>
      <c r="NA10" s="6"/>
      <c r="NB10" s="5"/>
      <c r="ND10" s="5"/>
      <c r="NE10" s="6"/>
      <c r="NF10" s="7"/>
      <c r="NJ10" s="5"/>
      <c r="NK10" s="6"/>
      <c r="NS10" s="5"/>
      <c r="NU10" s="5"/>
      <c r="NV10" s="6"/>
      <c r="NW10" s="7"/>
      <c r="OA10" s="5"/>
      <c r="OB10" s="6"/>
      <c r="OC10" s="5"/>
      <c r="OE10" s="5"/>
      <c r="OF10" s="6"/>
      <c r="OG10" s="7"/>
      <c r="OK10" s="5"/>
      <c r="OL10" s="6"/>
      <c r="OV10" s="5"/>
      <c r="OW10" s="6"/>
      <c r="OX10" s="7"/>
      <c r="PB10" s="5"/>
      <c r="PC10" s="6"/>
      <c r="PF10" s="5"/>
      <c r="PG10" s="6"/>
      <c r="PH10" s="7"/>
      <c r="PL10" s="5"/>
      <c r="PM10" s="6"/>
      <c r="QX10" s="5"/>
      <c r="QY10" s="6"/>
      <c r="QZ10" s="7"/>
      <c r="RD10" s="5"/>
      <c r="RE10" s="6"/>
      <c r="RH10" s="5"/>
      <c r="RI10" s="6"/>
      <c r="RJ10" s="7"/>
      <c r="RN10" s="5"/>
      <c r="RO10" s="6"/>
    </row>
    <row r="11" spans="1:510" x14ac:dyDescent="0.3">
      <c r="A11" s="67"/>
      <c r="B11" s="2" t="s">
        <v>17</v>
      </c>
      <c r="C11" s="64"/>
      <c r="D11" s="63"/>
      <c r="E11" s="62"/>
      <c r="F11" s="9">
        <v>1.25</v>
      </c>
      <c r="G11" s="3">
        <v>12.75</v>
      </c>
      <c r="H11" s="3">
        <v>18</v>
      </c>
      <c r="I11" s="3">
        <v>18.25</v>
      </c>
      <c r="J11" s="3">
        <v>11.88</v>
      </c>
      <c r="K11" s="3">
        <v>0.77</v>
      </c>
      <c r="L11" s="57">
        <v>7.0000000000000007E-2</v>
      </c>
      <c r="M11" s="67"/>
      <c r="N11" s="2"/>
      <c r="O11" s="64"/>
      <c r="P11" s="63"/>
      <c r="Q11" s="62"/>
      <c r="S11" s="55"/>
      <c r="T11" s="55"/>
      <c r="U11" s="55"/>
      <c r="V11" s="55"/>
      <c r="W11" s="2"/>
      <c r="AI11" s="22"/>
      <c r="AJ11" s="22"/>
      <c r="AK11" s="22"/>
      <c r="AL11" s="22"/>
      <c r="AM11" s="22"/>
      <c r="AN11" s="87"/>
      <c r="AR11" s="5"/>
      <c r="AS11" s="6"/>
      <c r="AT11" s="7"/>
      <c r="AX11" s="5"/>
      <c r="AY11" s="6"/>
      <c r="BG11" s="5"/>
      <c r="BI11" s="5"/>
      <c r="BJ11" s="6"/>
      <c r="BK11" s="7"/>
      <c r="BO11" s="5"/>
      <c r="BP11" s="6"/>
      <c r="BQ11" s="5"/>
      <c r="BS11" s="5"/>
      <c r="BT11" s="6"/>
      <c r="BU11" s="7"/>
      <c r="BY11" s="5"/>
      <c r="BZ11" s="6"/>
      <c r="CH11" s="5"/>
      <c r="CJ11" s="5"/>
      <c r="CK11" s="6"/>
      <c r="CL11" s="7"/>
      <c r="CP11" s="5"/>
      <c r="CQ11" s="6"/>
      <c r="CR11" s="5"/>
      <c r="CT11" s="5"/>
      <c r="CU11" s="6"/>
      <c r="CV11" s="7"/>
      <c r="CZ11" s="5"/>
      <c r="DA11" s="6"/>
      <c r="DI11" s="5"/>
      <c r="DK11" s="5"/>
      <c r="DL11" s="6"/>
      <c r="DM11" s="7"/>
      <c r="DQ11" s="5"/>
      <c r="DR11" s="6"/>
      <c r="DS11" s="5"/>
      <c r="DU11" s="5"/>
      <c r="DV11" s="6"/>
      <c r="DW11" s="7"/>
      <c r="EA11" s="5"/>
      <c r="EB11" s="6"/>
      <c r="EJ11" s="5"/>
      <c r="EL11" s="5"/>
      <c r="EM11" s="6"/>
      <c r="EN11" s="7"/>
      <c r="ER11" s="5"/>
      <c r="ES11" s="6"/>
      <c r="ET11" s="5"/>
      <c r="EV11" s="5"/>
      <c r="EW11" s="6"/>
      <c r="EX11" s="7"/>
      <c r="FB11" s="5"/>
      <c r="FC11" s="6"/>
      <c r="GL11" s="5"/>
      <c r="GN11" s="5"/>
      <c r="GO11" s="6"/>
      <c r="GP11" s="7"/>
      <c r="GT11" s="5"/>
      <c r="GU11" s="6"/>
      <c r="GV11" s="5"/>
      <c r="GX11" s="5"/>
      <c r="GY11" s="6"/>
      <c r="GZ11" s="7"/>
      <c r="HD11" s="5"/>
      <c r="HE11" s="6"/>
      <c r="HM11" s="5"/>
      <c r="HO11" s="5"/>
      <c r="HP11" s="6"/>
      <c r="HQ11" s="7"/>
      <c r="HU11" s="5"/>
      <c r="HV11" s="6"/>
      <c r="HW11" s="5"/>
      <c r="HY11" s="5"/>
      <c r="HZ11" s="6"/>
      <c r="IA11" s="7"/>
      <c r="IE11" s="5"/>
      <c r="IF11" s="6"/>
      <c r="JQ11" s="5"/>
      <c r="JR11" s="6"/>
      <c r="JS11" s="7"/>
      <c r="JW11" s="5"/>
      <c r="JX11" s="6"/>
      <c r="KA11" s="5"/>
      <c r="KB11" s="6"/>
      <c r="KC11" s="7"/>
      <c r="KG11" s="5"/>
      <c r="KH11" s="6"/>
      <c r="KR11" s="5"/>
      <c r="KS11" s="6"/>
      <c r="KT11" s="7"/>
      <c r="KX11" s="5"/>
      <c r="KY11" s="6"/>
      <c r="LB11" s="5"/>
      <c r="LC11" s="6"/>
      <c r="LD11" s="7"/>
      <c r="LH11" s="5"/>
      <c r="LI11" s="6"/>
      <c r="MR11" s="5"/>
      <c r="MT11" s="5"/>
      <c r="MU11" s="6"/>
      <c r="MV11" s="7"/>
      <c r="MZ11" s="5"/>
      <c r="NA11" s="6"/>
      <c r="NB11" s="5"/>
      <c r="ND11" s="5"/>
      <c r="NE11" s="6"/>
      <c r="NF11" s="7"/>
      <c r="NJ11" s="5"/>
      <c r="NK11" s="6"/>
      <c r="NS11" s="5"/>
      <c r="NU11" s="5"/>
      <c r="NV11" s="6"/>
      <c r="NW11" s="7"/>
      <c r="OA11" s="5"/>
      <c r="OB11" s="6"/>
      <c r="OC11" s="5"/>
      <c r="OE11" s="5"/>
      <c r="OF11" s="6"/>
      <c r="OG11" s="7"/>
      <c r="OK11" s="5"/>
      <c r="OL11" s="6"/>
      <c r="OV11" s="5"/>
      <c r="OW11" s="6"/>
      <c r="OX11" s="7"/>
      <c r="PB11" s="5"/>
      <c r="PC11" s="6"/>
      <c r="PF11" s="5"/>
      <c r="PG11" s="6"/>
      <c r="PH11" s="7"/>
      <c r="PL11" s="5"/>
      <c r="PM11" s="6"/>
      <c r="QX11" s="5"/>
      <c r="QY11" s="6"/>
      <c r="QZ11" s="7"/>
      <c r="RD11" s="5"/>
      <c r="RE11" s="7"/>
      <c r="RH11" s="5"/>
      <c r="RI11" s="6"/>
      <c r="RJ11" s="7"/>
      <c r="RN11" s="5"/>
      <c r="RO11" s="7"/>
    </row>
    <row r="12" spans="1:510" x14ac:dyDescent="0.3">
      <c r="A12" s="59"/>
      <c r="B12" s="2" t="s">
        <v>630</v>
      </c>
      <c r="C12" s="64"/>
      <c r="D12" s="63"/>
      <c r="E12" s="62"/>
      <c r="F12" s="9">
        <v>2</v>
      </c>
      <c r="G12" s="3">
        <v>7</v>
      </c>
      <c r="H12" s="3">
        <v>16.670000000000002</v>
      </c>
      <c r="I12" s="3">
        <v>18</v>
      </c>
      <c r="J12" s="3">
        <v>13.67</v>
      </c>
      <c r="K12" s="3">
        <v>0.75</v>
      </c>
      <c r="L12" s="57">
        <v>0.42</v>
      </c>
      <c r="M12" s="59"/>
      <c r="N12" s="2"/>
      <c r="O12" s="64"/>
      <c r="P12" s="63"/>
      <c r="Q12" s="62"/>
      <c r="S12" s="55"/>
      <c r="T12" s="55"/>
      <c r="U12" s="55"/>
      <c r="V12" s="55"/>
      <c r="W12" s="2"/>
      <c r="AF12" s="22"/>
      <c r="AG12" s="22"/>
      <c r="AH12" s="22"/>
      <c r="AI12" s="22"/>
      <c r="AJ12" s="22"/>
      <c r="AK12" s="22"/>
      <c r="AL12" s="22"/>
      <c r="AM12" s="22"/>
      <c r="AN12" s="22"/>
      <c r="AO12" s="22"/>
      <c r="AP12" s="22"/>
      <c r="AR12" s="5"/>
      <c r="AS12" s="6"/>
      <c r="AT12" s="7"/>
      <c r="AX12" s="5"/>
      <c r="AY12" s="6"/>
      <c r="BD12" s="8"/>
      <c r="BE12" s="8"/>
      <c r="BF12" s="8"/>
      <c r="BG12" s="5"/>
      <c r="BI12" s="5"/>
      <c r="BJ12" s="6"/>
      <c r="BK12" s="7"/>
      <c r="BO12" s="5"/>
      <c r="BP12" s="6"/>
      <c r="BQ12" s="5"/>
      <c r="BS12" s="5"/>
      <c r="BT12" s="6"/>
      <c r="BU12" s="7"/>
      <c r="BY12" s="5"/>
      <c r="BZ12" s="6"/>
      <c r="CE12" s="8"/>
      <c r="CF12" s="8"/>
      <c r="CG12" s="8"/>
      <c r="CH12" s="5"/>
      <c r="CJ12" s="5"/>
      <c r="CK12" s="6"/>
      <c r="CL12" s="7"/>
      <c r="CP12" s="5"/>
      <c r="CQ12" s="6"/>
      <c r="CR12" s="5"/>
      <c r="CT12" s="5"/>
      <c r="CU12" s="6"/>
      <c r="CV12" s="7"/>
      <c r="CZ12" s="5"/>
      <c r="DA12" s="6"/>
      <c r="DF12" s="8"/>
      <c r="DG12" s="8"/>
      <c r="DH12" s="8"/>
      <c r="DI12" s="5"/>
      <c r="DK12" s="5"/>
      <c r="DL12" s="6"/>
      <c r="DM12" s="7"/>
      <c r="DQ12" s="5"/>
      <c r="DR12" s="6"/>
      <c r="DS12" s="5"/>
      <c r="DU12" s="5"/>
      <c r="DV12" s="6"/>
      <c r="DW12" s="7"/>
      <c r="EA12" s="5"/>
      <c r="EB12" s="6"/>
      <c r="EG12" s="8"/>
      <c r="EH12" s="8"/>
      <c r="EI12" s="8"/>
      <c r="EJ12" s="5"/>
      <c r="EL12" s="5"/>
      <c r="EM12" s="6"/>
      <c r="EN12" s="7"/>
      <c r="ER12" s="5"/>
      <c r="ES12" s="6"/>
      <c r="ET12" s="5"/>
      <c r="EV12" s="5"/>
      <c r="EW12" s="6"/>
      <c r="EX12" s="7"/>
      <c r="FB12" s="5"/>
      <c r="FC12" s="6"/>
      <c r="GI12" s="8"/>
      <c r="GJ12" s="8"/>
      <c r="GK12" s="8"/>
      <c r="GL12" s="5"/>
      <c r="GN12" s="5"/>
      <c r="GO12" s="6"/>
      <c r="GP12" s="7"/>
      <c r="GT12" s="5"/>
      <c r="GU12" s="6"/>
      <c r="GV12" s="5"/>
      <c r="GX12" s="5"/>
      <c r="GY12" s="6"/>
      <c r="GZ12" s="7"/>
      <c r="HD12" s="5"/>
      <c r="HE12" s="6"/>
      <c r="HJ12" s="8"/>
      <c r="HK12" s="8"/>
      <c r="HL12" s="8"/>
      <c r="HM12" s="5"/>
      <c r="HO12" s="5"/>
      <c r="HP12" s="6"/>
      <c r="HQ12" s="7"/>
      <c r="HU12" s="5"/>
      <c r="HV12" s="6"/>
      <c r="HW12" s="5"/>
      <c r="HY12" s="5"/>
      <c r="HZ12" s="6"/>
      <c r="IA12" s="7"/>
      <c r="IE12" s="5"/>
      <c r="IF12" s="6"/>
      <c r="JL12" s="8"/>
      <c r="JM12" s="8"/>
      <c r="JN12" s="8"/>
      <c r="JQ12" s="5"/>
      <c r="JR12" s="6"/>
      <c r="JS12" s="7"/>
      <c r="JW12" s="5"/>
      <c r="JX12" s="6"/>
      <c r="KA12" s="5"/>
      <c r="KB12" s="6"/>
      <c r="KC12" s="7"/>
      <c r="KG12" s="5"/>
      <c r="KH12" s="6"/>
      <c r="KM12" s="8"/>
      <c r="KN12" s="8"/>
      <c r="KO12" s="8"/>
      <c r="KR12" s="5"/>
      <c r="KS12" s="6"/>
      <c r="KT12" s="7"/>
      <c r="KX12" s="5"/>
      <c r="KY12" s="6"/>
      <c r="LB12" s="5"/>
      <c r="LC12" s="6"/>
      <c r="LD12" s="7"/>
      <c r="LH12" s="5"/>
      <c r="LI12" s="6"/>
      <c r="MO12" s="8"/>
      <c r="MP12" s="8"/>
      <c r="MQ12" s="8"/>
      <c r="MR12" s="5"/>
      <c r="MT12" s="5"/>
      <c r="MU12" s="6"/>
      <c r="MV12" s="7"/>
      <c r="MZ12" s="5"/>
      <c r="NA12" s="6"/>
      <c r="NB12" s="5"/>
      <c r="ND12" s="5"/>
      <c r="NE12" s="6"/>
      <c r="NF12" s="7"/>
      <c r="NJ12" s="5"/>
      <c r="NK12" s="6"/>
      <c r="NP12" s="8"/>
      <c r="NQ12" s="8"/>
      <c r="NR12" s="8"/>
      <c r="NS12" s="5"/>
      <c r="NU12" s="5"/>
      <c r="NV12" s="6"/>
      <c r="NW12" s="7"/>
      <c r="OA12" s="5"/>
      <c r="OB12" s="6"/>
      <c r="OC12" s="5"/>
      <c r="OE12" s="5"/>
      <c r="OF12" s="6"/>
      <c r="OG12" s="7"/>
      <c r="OK12" s="5"/>
      <c r="OL12" s="6"/>
      <c r="OQ12" s="8"/>
      <c r="OR12" s="8"/>
      <c r="OS12" s="8"/>
      <c r="OV12" s="5"/>
      <c r="OW12" s="6"/>
      <c r="OX12" s="7"/>
      <c r="PB12" s="5"/>
      <c r="PC12" s="6"/>
      <c r="PF12" s="5"/>
      <c r="PG12" s="6"/>
      <c r="PH12" s="7"/>
      <c r="PL12" s="5"/>
      <c r="PM12" s="6"/>
      <c r="QS12" s="8"/>
      <c r="QT12" s="8"/>
      <c r="QU12" s="8"/>
      <c r="QX12" s="5"/>
      <c r="QY12" s="6"/>
      <c r="QZ12" s="7"/>
      <c r="RD12" s="5"/>
      <c r="RE12" s="6"/>
      <c r="RH12" s="5"/>
      <c r="RI12" s="6"/>
      <c r="RJ12" s="7"/>
      <c r="RN12" s="5"/>
      <c r="RO12" s="6"/>
    </row>
    <row r="13" spans="1:510" x14ac:dyDescent="0.3">
      <c r="A13" s="59"/>
      <c r="B13" s="2" t="s">
        <v>7</v>
      </c>
      <c r="C13" s="64"/>
      <c r="D13" s="63"/>
      <c r="E13" s="62"/>
      <c r="F13" s="9">
        <v>0.88</v>
      </c>
      <c r="G13" s="3">
        <v>14</v>
      </c>
      <c r="H13" s="3">
        <v>24.25</v>
      </c>
      <c r="I13" s="3">
        <v>25.25</v>
      </c>
      <c r="J13" s="3">
        <v>11.75</v>
      </c>
      <c r="K13" s="3">
        <v>0.72</v>
      </c>
      <c r="L13" s="57">
        <v>0.25</v>
      </c>
      <c r="M13" s="59"/>
      <c r="N13" s="2"/>
      <c r="O13" s="64"/>
      <c r="P13" s="63"/>
      <c r="Q13" s="62"/>
      <c r="S13" s="55"/>
      <c r="T13" s="55"/>
      <c r="U13" s="55"/>
      <c r="V13" s="55"/>
      <c r="W13" s="2"/>
      <c r="AD13" s="22"/>
      <c r="AE13" s="22"/>
      <c r="AG13" s="22"/>
      <c r="AH13" s="22"/>
      <c r="AI13" s="22"/>
      <c r="AJ13" s="22"/>
      <c r="AK13" s="22"/>
      <c r="AL13" s="22"/>
      <c r="AM13" s="22"/>
      <c r="AN13" s="22"/>
      <c r="AO13" s="22"/>
      <c r="AP13" s="22"/>
    </row>
    <row r="14" spans="1:510" x14ac:dyDescent="0.3">
      <c r="A14" s="59"/>
      <c r="B14" s="2" t="s">
        <v>631</v>
      </c>
      <c r="C14" s="64"/>
      <c r="D14" s="63"/>
      <c r="E14" s="62"/>
      <c r="F14" s="9">
        <v>2.5</v>
      </c>
      <c r="G14" s="3">
        <v>8.75</v>
      </c>
      <c r="H14" s="3">
        <v>18.75</v>
      </c>
      <c r="I14" s="3">
        <v>13.38</v>
      </c>
      <c r="J14" s="3">
        <v>5.62</v>
      </c>
      <c r="K14" s="3">
        <v>0.73</v>
      </c>
      <c r="L14" s="57">
        <v>0.23</v>
      </c>
      <c r="M14" s="59"/>
      <c r="N14" s="2"/>
      <c r="O14" s="64"/>
      <c r="P14" s="63"/>
      <c r="Q14" s="62"/>
      <c r="S14" s="55"/>
      <c r="T14" s="55"/>
      <c r="U14" s="55"/>
      <c r="V14" s="55"/>
      <c r="W14" s="2"/>
      <c r="AF14" s="22"/>
      <c r="AG14" s="22"/>
      <c r="AH14" s="22"/>
      <c r="AI14" s="22"/>
      <c r="AJ14" s="22"/>
      <c r="AK14" s="22"/>
      <c r="AL14" s="22"/>
      <c r="AM14" s="22"/>
      <c r="AN14" s="22"/>
      <c r="AO14" s="22"/>
      <c r="AP14" s="22"/>
      <c r="AR14" s="6"/>
      <c r="AS14" s="7"/>
      <c r="AX14" s="6"/>
      <c r="BI14" s="6"/>
      <c r="BJ14" s="7"/>
      <c r="BO14" s="6"/>
      <c r="BS14" s="6"/>
      <c r="BT14" s="7"/>
      <c r="BY14" s="6"/>
      <c r="CJ14" s="6"/>
      <c r="CK14" s="7"/>
      <c r="CP14" s="6"/>
      <c r="CT14" s="6"/>
      <c r="CU14" s="7"/>
      <c r="CZ14" s="6"/>
      <c r="DK14" s="6"/>
      <c r="DL14" s="7"/>
      <c r="DQ14" s="6"/>
      <c r="DU14" s="6"/>
      <c r="DV14" s="7"/>
      <c r="EA14" s="6"/>
      <c r="EL14" s="6"/>
      <c r="EM14" s="7"/>
      <c r="ER14" s="6"/>
      <c r="EV14" s="6"/>
      <c r="EW14" s="7"/>
      <c r="FB14" s="6"/>
      <c r="FM14" s="6"/>
      <c r="FN14" s="7"/>
      <c r="FS14" s="6"/>
      <c r="FW14" s="6"/>
      <c r="FX14" s="7"/>
      <c r="GC14" s="6"/>
      <c r="GN14" s="6"/>
      <c r="GO14" s="7"/>
      <c r="GT14" s="6"/>
      <c r="GX14" s="6"/>
      <c r="GY14" s="7"/>
      <c r="HD14" s="6"/>
      <c r="HO14" s="6"/>
      <c r="HP14" s="7"/>
      <c r="HU14" s="6"/>
      <c r="HY14" s="6"/>
      <c r="HZ14" s="7"/>
      <c r="IE14" s="6"/>
      <c r="IP14" s="6"/>
      <c r="IQ14" s="7"/>
      <c r="IV14" s="6"/>
      <c r="IZ14" s="6"/>
      <c r="JA14" s="7"/>
      <c r="JF14" s="6"/>
      <c r="JQ14" s="6"/>
      <c r="JR14" s="7"/>
      <c r="JW14" s="6"/>
      <c r="KA14" s="6"/>
      <c r="KB14" s="7"/>
      <c r="KG14" s="6"/>
      <c r="KR14" s="6"/>
      <c r="KS14" s="7"/>
      <c r="KX14" s="6"/>
      <c r="LB14" s="6"/>
      <c r="LC14" s="7"/>
      <c r="LH14" s="6"/>
      <c r="LS14" s="6"/>
      <c r="LT14" s="7"/>
      <c r="LY14" s="6"/>
      <c r="MC14" s="6"/>
      <c r="MD14" s="7"/>
      <c r="MI14" s="6"/>
      <c r="MT14" s="6"/>
      <c r="MU14" s="7"/>
      <c r="MZ14" s="6"/>
      <c r="ND14" s="6"/>
      <c r="NE14" s="7"/>
      <c r="NJ14" s="6"/>
      <c r="NU14" s="6"/>
      <c r="NV14" s="7"/>
      <c r="OA14" s="6"/>
      <c r="OE14" s="6"/>
      <c r="OF14" s="7"/>
      <c r="OK14" s="6"/>
      <c r="OV14" s="6"/>
      <c r="OW14" s="7"/>
      <c r="PB14" s="6"/>
      <c r="PF14" s="6"/>
      <c r="PG14" s="7"/>
      <c r="PL14" s="6"/>
      <c r="PW14" s="6"/>
      <c r="PX14" s="7"/>
      <c r="QC14" s="6"/>
      <c r="QG14" s="6"/>
      <c r="QH14" s="7"/>
      <c r="QM14" s="6"/>
      <c r="QX14" s="6"/>
      <c r="QY14" s="7"/>
      <c r="RD14" s="6"/>
      <c r="RH14" s="6"/>
      <c r="RI14" s="7"/>
      <c r="RN14" s="6"/>
      <c r="RY14" s="6"/>
      <c r="RZ14" s="7"/>
      <c r="SE14" s="6"/>
      <c r="SI14" s="6"/>
      <c r="SJ14" s="7"/>
      <c r="SO14" s="6"/>
    </row>
    <row r="15" spans="1:510" x14ac:dyDescent="0.3">
      <c r="A15" s="59"/>
      <c r="B15" s="2" t="s">
        <v>633</v>
      </c>
      <c r="E15" s="2"/>
      <c r="F15" s="9">
        <v>1.25</v>
      </c>
      <c r="G15" s="3">
        <v>8</v>
      </c>
      <c r="H15" s="55">
        <v>19.88</v>
      </c>
      <c r="I15" s="55">
        <v>19.38</v>
      </c>
      <c r="J15" s="55">
        <v>12.75</v>
      </c>
      <c r="K15" s="55">
        <v>0.73</v>
      </c>
      <c r="L15" s="55">
        <v>0.37</v>
      </c>
      <c r="M15" s="59"/>
      <c r="N15" s="2"/>
      <c r="O15" s="64"/>
      <c r="P15" s="63"/>
      <c r="Q15" s="62"/>
      <c r="S15" s="55"/>
      <c r="T15" s="55"/>
      <c r="U15" s="55"/>
      <c r="V15" s="55"/>
      <c r="W15" s="2"/>
      <c r="AC15" s="62"/>
      <c r="AD15" s="22"/>
      <c r="AE15" s="22"/>
      <c r="AF15" s="22"/>
      <c r="AH15" s="22"/>
      <c r="AI15" s="22"/>
      <c r="AJ15" s="22"/>
      <c r="AK15" s="22"/>
      <c r="AL15" s="22"/>
      <c r="AM15" s="22"/>
      <c r="AN15" s="22"/>
      <c r="AO15" s="22"/>
      <c r="AP15" s="22"/>
      <c r="AS15" s="6"/>
      <c r="AT15" s="7"/>
      <c r="AY15" s="6"/>
      <c r="BJ15" s="6"/>
      <c r="BK15" s="7"/>
      <c r="BP15" s="6"/>
      <c r="BT15" s="6"/>
      <c r="BU15" s="7"/>
      <c r="BZ15" s="6"/>
      <c r="CK15" s="6"/>
      <c r="CL15" s="7"/>
      <c r="CQ15" s="6"/>
      <c r="CU15" s="6"/>
      <c r="CV15" s="7"/>
      <c r="DA15" s="6"/>
      <c r="DL15" s="6"/>
      <c r="DM15" s="7"/>
      <c r="DR15" s="6"/>
      <c r="DV15" s="6"/>
      <c r="DW15" s="7"/>
      <c r="EB15" s="6"/>
      <c r="EM15" s="6"/>
      <c r="EN15" s="7"/>
      <c r="ES15" s="6"/>
      <c r="EW15" s="6"/>
      <c r="EX15" s="7"/>
      <c r="FC15" s="6"/>
      <c r="FN15" s="6"/>
      <c r="FO15" s="7"/>
      <c r="FT15" s="6"/>
      <c r="FX15" s="6"/>
      <c r="FY15" s="7"/>
      <c r="GO15" s="6"/>
      <c r="GP15" s="7"/>
      <c r="GU15" s="6"/>
      <c r="GY15" s="6"/>
      <c r="GZ15" s="7"/>
      <c r="HE15" s="6"/>
      <c r="HP15" s="6"/>
      <c r="HQ15" s="7"/>
      <c r="HV15" s="6"/>
      <c r="HZ15" s="6"/>
      <c r="IA15" s="7"/>
      <c r="IF15" s="6"/>
      <c r="IQ15" s="6"/>
      <c r="IR15" s="7"/>
      <c r="IW15" s="6"/>
      <c r="JA15" s="6"/>
      <c r="JB15" s="7"/>
      <c r="JG15" s="6"/>
      <c r="JR15" s="6"/>
      <c r="JS15" s="7"/>
      <c r="JX15" s="7"/>
      <c r="KB15" s="6"/>
      <c r="KC15" s="7"/>
      <c r="KH15" s="7"/>
      <c r="KS15" s="6"/>
      <c r="KT15" s="7"/>
      <c r="KY15" s="6"/>
      <c r="LC15" s="6"/>
      <c r="LD15" s="7"/>
      <c r="LI15" s="6"/>
      <c r="LT15" s="6"/>
      <c r="LU15" s="7"/>
      <c r="LZ15" s="6"/>
      <c r="MD15" s="6"/>
      <c r="ME15" s="7"/>
      <c r="MJ15" s="6"/>
      <c r="MU15" s="6"/>
      <c r="MV15" s="7"/>
      <c r="NA15" s="6"/>
      <c r="NE15" s="6"/>
      <c r="NF15" s="7"/>
      <c r="NK15" s="6"/>
      <c r="NV15" s="6"/>
      <c r="NW15" s="7"/>
      <c r="OB15" s="6"/>
      <c r="OF15" s="6"/>
      <c r="OG15" s="7"/>
      <c r="OL15" s="6"/>
      <c r="OW15" s="6"/>
      <c r="OX15" s="7"/>
      <c r="PC15" s="6"/>
      <c r="PG15" s="6"/>
      <c r="PH15" s="7"/>
      <c r="PM15" s="6"/>
      <c r="PX15" s="6"/>
      <c r="PY15" s="7"/>
      <c r="QD15" s="6"/>
      <c r="QH15" s="6"/>
      <c r="QI15" s="7"/>
      <c r="QN15" s="6"/>
      <c r="QY15" s="6"/>
      <c r="QZ15" s="7"/>
      <c r="RE15" s="6"/>
      <c r="RI15" s="6"/>
      <c r="RJ15" s="7"/>
      <c r="RO15" s="6"/>
      <c r="RZ15" s="6"/>
      <c r="SA15" s="7"/>
      <c r="SF15" s="6"/>
      <c r="SJ15" s="6"/>
      <c r="SK15" s="7"/>
      <c r="SP15" s="6"/>
    </row>
    <row r="16" spans="1:510" x14ac:dyDescent="0.3">
      <c r="A16" s="59"/>
      <c r="B16" s="2" t="s">
        <v>5</v>
      </c>
      <c r="C16" s="64"/>
      <c r="D16" s="63"/>
      <c r="E16" s="62"/>
      <c r="F16" s="9">
        <v>0.5</v>
      </c>
      <c r="G16" s="3">
        <v>16.12</v>
      </c>
      <c r="H16" s="55">
        <v>19.12</v>
      </c>
      <c r="I16" s="55">
        <v>11.88</v>
      </c>
      <c r="J16" s="55">
        <v>9.5</v>
      </c>
      <c r="K16" s="55">
        <v>0.88</v>
      </c>
      <c r="L16" s="55">
        <v>0.6</v>
      </c>
      <c r="M16" s="59"/>
      <c r="N16" s="2"/>
      <c r="O16" s="64"/>
      <c r="P16" s="63"/>
      <c r="Q16" s="62"/>
      <c r="S16" s="55"/>
      <c r="T16" s="55"/>
      <c r="U16" s="55"/>
      <c r="V16" s="55"/>
      <c r="W16" s="2"/>
      <c r="AD16" s="22"/>
      <c r="AE16" s="22"/>
      <c r="AF16" s="22"/>
      <c r="AG16" s="22"/>
      <c r="AH16" s="22"/>
      <c r="AI16" s="22"/>
      <c r="AJ16" s="22"/>
      <c r="AK16" s="22"/>
      <c r="AL16" s="22"/>
      <c r="AM16" s="22"/>
      <c r="AN16" s="22"/>
      <c r="AO16" s="22"/>
      <c r="AP16" s="22"/>
      <c r="AS16" s="6"/>
      <c r="AT16" s="7"/>
      <c r="AY16" s="6"/>
      <c r="BJ16" s="6"/>
      <c r="BK16" s="7"/>
      <c r="BP16" s="6"/>
      <c r="BT16" s="6"/>
      <c r="BU16" s="7"/>
      <c r="BZ16" s="6"/>
      <c r="CK16" s="6"/>
      <c r="CL16" s="7"/>
      <c r="CQ16" s="6"/>
      <c r="CU16" s="6"/>
      <c r="CV16" s="7"/>
      <c r="DA16" s="6"/>
      <c r="DL16" s="6"/>
      <c r="DM16" s="7"/>
      <c r="DR16" s="6"/>
      <c r="DV16" s="6"/>
      <c r="DW16" s="7"/>
      <c r="EB16" s="6"/>
      <c r="EM16" s="6"/>
      <c r="EN16" s="7"/>
      <c r="ES16" s="6"/>
      <c r="EW16" s="6"/>
      <c r="EX16" s="7"/>
      <c r="FC16" s="6"/>
      <c r="FH16" s="8"/>
      <c r="FI16" s="8"/>
      <c r="FJ16" s="8"/>
      <c r="FN16" s="6"/>
      <c r="FO16" s="7"/>
      <c r="FT16" s="6"/>
      <c r="FX16" s="6"/>
      <c r="FY16" s="7"/>
      <c r="GO16" s="6"/>
      <c r="GP16" s="7"/>
      <c r="GU16" s="6"/>
      <c r="GY16" s="6"/>
      <c r="GZ16" s="7"/>
      <c r="HE16" s="6"/>
      <c r="HP16" s="6"/>
      <c r="HQ16" s="7"/>
      <c r="HV16" s="6"/>
      <c r="HZ16" s="6"/>
      <c r="IA16" s="7"/>
      <c r="IF16" s="6"/>
      <c r="IQ16" s="6"/>
      <c r="IR16" s="7"/>
      <c r="IW16" s="6"/>
      <c r="JA16" s="6"/>
      <c r="JB16" s="7"/>
      <c r="JG16" s="6"/>
      <c r="JR16" s="6"/>
      <c r="JS16" s="7"/>
      <c r="JX16" s="7"/>
      <c r="KB16" s="6"/>
      <c r="KC16" s="7"/>
      <c r="KH16" s="7"/>
      <c r="KS16" s="6"/>
      <c r="KT16" s="7"/>
      <c r="KY16" s="6"/>
      <c r="LC16" s="6"/>
      <c r="LD16" s="7"/>
      <c r="LI16" s="6"/>
      <c r="LT16" s="6"/>
      <c r="LU16" s="7"/>
      <c r="LZ16" s="6"/>
      <c r="MD16" s="6"/>
      <c r="ME16" s="7"/>
      <c r="MJ16" s="6"/>
      <c r="MU16" s="6"/>
      <c r="MV16" s="7"/>
      <c r="NA16" s="6"/>
      <c r="NE16" s="6"/>
      <c r="NF16" s="7"/>
      <c r="NK16" s="6"/>
      <c r="NV16" s="6"/>
      <c r="NW16" s="7"/>
      <c r="OB16" s="6"/>
      <c r="OF16" s="6"/>
      <c r="OG16" s="7"/>
      <c r="OL16" s="6"/>
      <c r="OW16" s="6"/>
      <c r="OX16" s="7"/>
      <c r="PC16" s="6"/>
      <c r="PG16" s="6"/>
      <c r="PH16" s="7"/>
      <c r="PM16" s="6"/>
      <c r="PX16" s="6"/>
      <c r="PY16" s="7"/>
      <c r="QD16" s="6"/>
      <c r="QH16" s="6"/>
      <c r="QI16" s="7"/>
      <c r="QN16" s="6"/>
      <c r="QY16" s="6"/>
      <c r="QZ16" s="7"/>
      <c r="RE16" s="6"/>
      <c r="RI16" s="6"/>
      <c r="RJ16" s="7"/>
      <c r="RO16" s="6"/>
      <c r="RZ16" s="6"/>
      <c r="SA16" s="7"/>
      <c r="SF16" s="6"/>
      <c r="SJ16" s="6"/>
      <c r="SK16" s="7"/>
      <c r="SP16" s="6"/>
    </row>
    <row r="17" spans="2:510" x14ac:dyDescent="0.3">
      <c r="B17" s="2" t="s">
        <v>21</v>
      </c>
      <c r="F17" s="61">
        <v>2.25</v>
      </c>
      <c r="G17" s="55">
        <v>12.25</v>
      </c>
      <c r="H17" s="55">
        <v>20.88</v>
      </c>
      <c r="I17" s="55">
        <v>14.25</v>
      </c>
      <c r="J17" s="55">
        <v>13.12</v>
      </c>
      <c r="K17" s="55">
        <v>0.78</v>
      </c>
      <c r="L17" s="95">
        <v>0.56999999999999995</v>
      </c>
      <c r="M17" s="55"/>
      <c r="N17" s="55"/>
      <c r="O17" s="55"/>
      <c r="P17" s="55"/>
      <c r="Q17" s="55"/>
      <c r="R17" s="55"/>
      <c r="S17" s="55"/>
      <c r="T17" s="55"/>
      <c r="U17" s="55"/>
      <c r="AG17" s="22"/>
      <c r="AH17" s="22"/>
      <c r="AI17" s="22"/>
      <c r="AJ17" s="22"/>
      <c r="AK17" s="22"/>
      <c r="AL17" s="22"/>
      <c r="AM17" s="22"/>
      <c r="AN17" s="22"/>
      <c r="AO17" s="22"/>
      <c r="AP17" s="22"/>
      <c r="AS17" s="6"/>
      <c r="AT17" s="7"/>
      <c r="AY17" s="6"/>
      <c r="BJ17" s="6"/>
      <c r="BK17" s="7"/>
      <c r="BP17" s="6"/>
      <c r="BT17" s="6"/>
      <c r="BU17" s="7"/>
      <c r="BZ17" s="6"/>
      <c r="CK17" s="6"/>
      <c r="CL17" s="7"/>
      <c r="CQ17" s="6"/>
      <c r="CU17" s="6"/>
      <c r="CV17" s="7"/>
      <c r="DA17" s="6"/>
      <c r="DL17" s="6"/>
      <c r="DM17" s="7"/>
      <c r="DR17" s="6"/>
      <c r="DV17" s="6"/>
      <c r="DW17" s="7"/>
      <c r="EB17" s="6"/>
      <c r="EM17" s="6"/>
      <c r="EN17" s="7"/>
      <c r="ES17" s="6"/>
      <c r="EW17" s="6"/>
      <c r="EX17" s="7"/>
      <c r="FC17" s="6"/>
      <c r="GO17" s="6"/>
      <c r="GP17" s="7"/>
      <c r="GU17" s="7"/>
      <c r="GY17" s="6"/>
      <c r="GZ17" s="7"/>
      <c r="HE17" s="7"/>
      <c r="HP17" s="6"/>
      <c r="HQ17" s="7"/>
      <c r="HV17" s="6"/>
      <c r="HZ17" s="6"/>
      <c r="IA17" s="7"/>
      <c r="IF17" s="6"/>
      <c r="IQ17" s="6"/>
      <c r="IR17" s="7"/>
      <c r="IW17" s="6"/>
      <c r="JA17" s="6"/>
      <c r="JB17" s="7"/>
      <c r="JG17" s="6"/>
      <c r="JR17" s="6"/>
      <c r="JS17" s="7"/>
      <c r="JX17" s="6"/>
      <c r="KB17" s="6"/>
      <c r="KC17" s="7"/>
      <c r="KH17" s="6"/>
      <c r="KS17" s="6"/>
      <c r="KT17" s="7"/>
      <c r="KY17" s="6"/>
      <c r="LC17" s="6"/>
      <c r="LD17" s="7"/>
      <c r="LI17" s="6"/>
      <c r="LT17" s="6"/>
      <c r="LU17" s="7"/>
      <c r="LZ17" s="6"/>
      <c r="MD17" s="6"/>
      <c r="ME17" s="7"/>
      <c r="MJ17" s="6"/>
      <c r="MU17" s="6"/>
      <c r="MV17" s="7"/>
      <c r="NA17" s="6"/>
      <c r="NE17" s="6"/>
      <c r="NF17" s="7"/>
      <c r="NK17" s="6"/>
      <c r="NV17" s="6"/>
      <c r="NW17" s="7"/>
      <c r="OB17" s="6"/>
      <c r="OF17" s="6"/>
      <c r="OG17" s="7"/>
      <c r="OL17" s="6"/>
      <c r="OW17" s="6"/>
      <c r="OX17" s="7"/>
      <c r="PC17" s="7"/>
      <c r="PG17" s="6"/>
      <c r="PH17" s="7"/>
      <c r="PM17" s="7"/>
      <c r="PX17" s="6"/>
      <c r="PY17" s="7"/>
      <c r="QD17" s="6"/>
      <c r="QH17" s="6"/>
      <c r="QI17" s="7"/>
      <c r="QN17" s="6"/>
      <c r="QY17" s="6"/>
      <c r="QZ17" s="7"/>
      <c r="RE17" s="6"/>
      <c r="RI17" s="6"/>
      <c r="RJ17" s="7"/>
      <c r="RO17" s="6"/>
      <c r="RZ17" s="6"/>
      <c r="SA17" s="7"/>
      <c r="SF17" s="7"/>
      <c r="SJ17" s="6"/>
      <c r="SK17" s="7"/>
      <c r="SP17" s="7"/>
    </row>
    <row r="18" spans="2:510" x14ac:dyDescent="0.3">
      <c r="B18" s="2" t="s">
        <v>6</v>
      </c>
      <c r="F18" s="61">
        <v>0.75</v>
      </c>
      <c r="G18" s="55">
        <v>17.88</v>
      </c>
      <c r="H18" s="55">
        <v>17.62</v>
      </c>
      <c r="I18" s="55">
        <v>11.38</v>
      </c>
      <c r="J18" s="55">
        <v>7.88</v>
      </c>
      <c r="K18" s="55">
        <v>0.86</v>
      </c>
      <c r="L18" s="95">
        <v>0.6</v>
      </c>
      <c r="M18" s="55"/>
      <c r="N18" s="55"/>
      <c r="O18" s="55"/>
      <c r="P18" s="55"/>
      <c r="Q18" s="55"/>
      <c r="R18" s="55"/>
      <c r="S18" s="55"/>
      <c r="T18" s="63"/>
      <c r="U18" s="63"/>
      <c r="AD18" s="22"/>
      <c r="AE18" s="22"/>
      <c r="AF18" s="22"/>
      <c r="AG18" s="22"/>
      <c r="AH18" s="22"/>
      <c r="AI18" s="22"/>
      <c r="AJ18" s="22"/>
      <c r="AK18" s="22"/>
      <c r="AL18" s="22"/>
      <c r="AM18" s="22"/>
      <c r="AN18" s="22"/>
      <c r="AO18" s="22"/>
      <c r="AP18" s="22"/>
      <c r="AS18" s="6"/>
      <c r="AT18" s="7"/>
      <c r="AY18" s="6"/>
      <c r="BJ18" s="6"/>
      <c r="BK18" s="7"/>
      <c r="BP18" s="7"/>
      <c r="BT18" s="6"/>
      <c r="BU18" s="7"/>
      <c r="BZ18" s="7"/>
      <c r="CK18" s="6"/>
      <c r="CL18" s="7"/>
      <c r="CQ18" s="6"/>
      <c r="CU18" s="6"/>
      <c r="CV18" s="7"/>
      <c r="DA18" s="6"/>
      <c r="DL18" s="6"/>
      <c r="DM18" s="7"/>
      <c r="DR18" s="6"/>
      <c r="DV18" s="6"/>
      <c r="DW18" s="7"/>
      <c r="EB18" s="6"/>
      <c r="EM18" s="6"/>
      <c r="EN18" s="7"/>
      <c r="ES18" s="6"/>
      <c r="EW18" s="6"/>
      <c r="EX18" s="7"/>
      <c r="FC18" s="6"/>
      <c r="GO18" s="6"/>
      <c r="GP18" s="7"/>
      <c r="GU18" s="6"/>
      <c r="GY18" s="6"/>
      <c r="GZ18" s="7"/>
      <c r="HE18" s="6"/>
      <c r="HP18" s="6"/>
      <c r="HQ18" s="7"/>
      <c r="HV18" s="6"/>
      <c r="HZ18" s="6"/>
      <c r="IA18" s="7"/>
      <c r="IF18" s="6"/>
      <c r="IQ18" s="6"/>
      <c r="IR18" s="7"/>
      <c r="IW18" s="6"/>
      <c r="JA18" s="6"/>
      <c r="JB18" s="7"/>
      <c r="JG18" s="6"/>
      <c r="JR18" s="6"/>
      <c r="JS18" s="7"/>
      <c r="JX18" s="7"/>
      <c r="KB18" s="6"/>
      <c r="KC18" s="7"/>
      <c r="KH18" s="7"/>
      <c r="KS18" s="6"/>
      <c r="KT18" s="7"/>
      <c r="KY18" s="6"/>
      <c r="LC18" s="6"/>
      <c r="LD18" s="7"/>
      <c r="LI18" s="6"/>
      <c r="LT18" s="6"/>
      <c r="LU18" s="7"/>
      <c r="LZ18" s="6"/>
      <c r="MD18" s="6"/>
      <c r="ME18" s="7"/>
      <c r="MJ18" s="6"/>
      <c r="MU18" s="6"/>
      <c r="MV18" s="7"/>
      <c r="NA18" s="7"/>
      <c r="NE18" s="6"/>
      <c r="NF18" s="7"/>
      <c r="NK18" s="7"/>
      <c r="NV18" s="6"/>
      <c r="NW18" s="7"/>
      <c r="OB18" s="6"/>
      <c r="OF18" s="6"/>
      <c r="OG18" s="7"/>
      <c r="OL18" s="6"/>
      <c r="OW18" s="6"/>
      <c r="OX18" s="7"/>
      <c r="PC18" s="6"/>
      <c r="PG18" s="6"/>
      <c r="PH18" s="7"/>
      <c r="PM18" s="6"/>
      <c r="PX18" s="6"/>
      <c r="PY18" s="7"/>
      <c r="QD18" s="6"/>
      <c r="QH18" s="6"/>
      <c r="QI18" s="7"/>
      <c r="QN18" s="6"/>
      <c r="QY18" s="6"/>
      <c r="QZ18" s="7"/>
      <c r="RE18" s="7"/>
      <c r="RI18" s="6"/>
      <c r="RJ18" s="7"/>
      <c r="RO18" s="7"/>
      <c r="RT18" s="8"/>
      <c r="RU18" s="8"/>
      <c r="RV18" s="8"/>
      <c r="RZ18" s="6"/>
      <c r="SA18" s="7"/>
      <c r="SF18" s="6"/>
      <c r="SJ18" s="6"/>
      <c r="SK18" s="7"/>
      <c r="SP18" s="6"/>
    </row>
    <row r="19" spans="2:510" x14ac:dyDescent="0.3">
      <c r="B19" s="2" t="s">
        <v>12</v>
      </c>
      <c r="C19" s="64"/>
      <c r="D19" s="63"/>
      <c r="E19" s="62"/>
      <c r="F19" s="61">
        <v>1.38</v>
      </c>
      <c r="G19" s="55">
        <v>10.75</v>
      </c>
      <c r="H19" s="3">
        <v>17</v>
      </c>
      <c r="I19" s="2">
        <v>18.25</v>
      </c>
      <c r="J19" s="55">
        <v>13.62</v>
      </c>
      <c r="K19" s="55">
        <v>0.72</v>
      </c>
      <c r="L19" s="95">
        <v>0.13</v>
      </c>
      <c r="M19" s="55"/>
      <c r="N19" s="55"/>
      <c r="P19" s="55"/>
      <c r="Q19" s="55"/>
      <c r="R19" s="55"/>
      <c r="S19" s="55"/>
      <c r="T19" s="63"/>
      <c r="U19" s="63"/>
      <c r="AD19" s="22"/>
      <c r="AE19" s="22"/>
      <c r="AF19" s="22"/>
      <c r="AG19" s="22"/>
      <c r="AH19" s="22"/>
      <c r="AI19" s="22"/>
      <c r="AJ19" s="22"/>
      <c r="AK19" s="22"/>
      <c r="AL19" s="22"/>
      <c r="AM19" s="22"/>
      <c r="AN19" s="22"/>
      <c r="AO19" s="22"/>
      <c r="AP19" s="22"/>
      <c r="AS19" s="6"/>
      <c r="AT19" s="7"/>
      <c r="AY19" s="6"/>
      <c r="BJ19" s="6"/>
      <c r="BK19" s="7"/>
      <c r="BP19" s="6"/>
      <c r="BT19" s="6"/>
      <c r="BU19" s="7"/>
      <c r="BZ19" s="6"/>
      <c r="CK19" s="6"/>
      <c r="CL19" s="7"/>
      <c r="CQ19" s="6"/>
      <c r="CU19" s="6"/>
      <c r="CV19" s="7"/>
      <c r="DA19" s="6"/>
      <c r="DL19" s="6"/>
      <c r="DM19" s="7"/>
      <c r="DR19" s="6"/>
      <c r="DV19" s="6"/>
      <c r="DW19" s="7"/>
      <c r="EB19" s="6"/>
      <c r="EM19" s="6"/>
      <c r="EN19" s="7"/>
      <c r="ES19" s="6"/>
      <c r="EW19" s="6"/>
      <c r="EX19" s="7"/>
      <c r="FC19" s="6"/>
      <c r="GO19" s="6"/>
      <c r="GP19" s="7"/>
      <c r="GU19" s="6"/>
      <c r="GY19" s="6"/>
      <c r="GZ19" s="7"/>
      <c r="HE19" s="6"/>
      <c r="HP19" s="6"/>
      <c r="HQ19" s="7"/>
      <c r="HV19" s="6"/>
      <c r="HZ19" s="6"/>
      <c r="IA19" s="7"/>
      <c r="IF19" s="6"/>
      <c r="IQ19" s="6"/>
      <c r="IR19" s="7"/>
      <c r="IW19" s="6"/>
      <c r="JA19" s="6"/>
      <c r="JB19" s="7"/>
      <c r="JG19" s="6"/>
      <c r="JR19" s="6"/>
      <c r="JS19" s="7"/>
      <c r="JX19" s="7"/>
      <c r="KB19" s="6"/>
      <c r="KC19" s="7"/>
      <c r="KH19" s="7"/>
      <c r="KS19" s="6"/>
      <c r="KT19" s="7"/>
      <c r="KY19" s="6"/>
      <c r="LC19" s="6"/>
      <c r="LD19" s="7"/>
      <c r="LI19" s="6"/>
      <c r="LT19" s="6"/>
      <c r="LU19" s="7"/>
      <c r="LZ19" s="6"/>
      <c r="MD19" s="6"/>
      <c r="ME19" s="7"/>
      <c r="MJ19" s="6"/>
      <c r="MU19" s="6"/>
      <c r="MV19" s="7"/>
      <c r="NA19" s="6"/>
      <c r="NE19" s="6"/>
      <c r="NF19" s="7"/>
      <c r="NK19" s="6"/>
      <c r="NV19" s="6"/>
      <c r="NW19" s="7"/>
      <c r="OB19" s="6"/>
      <c r="OF19" s="6"/>
      <c r="OG19" s="7"/>
      <c r="OL19" s="6"/>
      <c r="OW19" s="6"/>
      <c r="OX19" s="7"/>
      <c r="PC19" s="6"/>
      <c r="PG19" s="6"/>
      <c r="PH19" s="7"/>
      <c r="PM19" s="6"/>
      <c r="PX19" s="6"/>
      <c r="PY19" s="7"/>
      <c r="QD19" s="6"/>
      <c r="QH19" s="6"/>
      <c r="QI19" s="7"/>
      <c r="QN19" s="6"/>
      <c r="QY19" s="6"/>
      <c r="QZ19" s="7"/>
      <c r="RE19" s="7"/>
      <c r="RI19" s="6"/>
      <c r="RJ19" s="7"/>
      <c r="RO19" s="7"/>
    </row>
    <row r="20" spans="2:510" x14ac:dyDescent="0.3">
      <c r="B20" s="2" t="s">
        <v>11</v>
      </c>
      <c r="C20" s="64"/>
      <c r="D20" s="63"/>
      <c r="E20" s="62"/>
      <c r="F20" s="61">
        <v>1.88</v>
      </c>
      <c r="G20" s="55">
        <v>8.5</v>
      </c>
      <c r="H20" s="3">
        <v>20.62</v>
      </c>
      <c r="I20" s="3">
        <v>15.12</v>
      </c>
      <c r="J20" s="55">
        <v>10.5</v>
      </c>
      <c r="K20" s="55">
        <v>0.73</v>
      </c>
      <c r="L20" s="95">
        <v>0.46</v>
      </c>
      <c r="M20" s="55"/>
      <c r="N20" s="55"/>
      <c r="P20" s="55"/>
      <c r="Q20" s="55"/>
      <c r="R20" s="55"/>
      <c r="S20" s="55"/>
      <c r="T20" s="55"/>
      <c r="U20" s="55"/>
      <c r="AI20" s="22"/>
      <c r="AJ20" s="22"/>
      <c r="AK20" s="22"/>
      <c r="AL20" s="22"/>
      <c r="AM20" s="22"/>
      <c r="AN20" s="22"/>
      <c r="AO20" s="22"/>
      <c r="AP20" s="22"/>
      <c r="AS20" s="6"/>
      <c r="AT20" s="7"/>
      <c r="AY20" s="6"/>
      <c r="BJ20" s="6"/>
      <c r="BK20" s="7"/>
      <c r="BP20" s="6"/>
      <c r="BT20" s="6"/>
      <c r="BU20" s="7"/>
      <c r="BZ20" s="6"/>
      <c r="CK20" s="6"/>
      <c r="CL20" s="7"/>
      <c r="CQ20" s="6"/>
      <c r="CU20" s="6"/>
      <c r="CV20" s="7"/>
      <c r="DA20" s="6"/>
      <c r="DL20" s="6"/>
      <c r="DM20" s="7"/>
      <c r="DR20" s="6"/>
      <c r="DV20" s="6"/>
      <c r="DW20" s="7"/>
      <c r="EB20" s="6"/>
      <c r="EM20" s="6"/>
      <c r="EN20" s="7"/>
      <c r="ES20" s="6"/>
      <c r="EW20" s="6"/>
      <c r="EX20" s="7"/>
      <c r="FC20" s="6"/>
      <c r="GO20" s="6"/>
      <c r="GP20" s="7"/>
      <c r="GU20" s="6"/>
      <c r="GY20" s="6"/>
      <c r="GZ20" s="7"/>
      <c r="HE20" s="6"/>
      <c r="HP20" s="6"/>
      <c r="HQ20" s="7"/>
      <c r="HV20" s="6"/>
      <c r="HZ20" s="6"/>
      <c r="IA20" s="7"/>
      <c r="IF20" s="6"/>
      <c r="IK20" s="8"/>
      <c r="IL20" s="8"/>
      <c r="IM20" s="8"/>
      <c r="IQ20" s="6"/>
      <c r="IR20" s="7"/>
      <c r="IW20" s="6"/>
      <c r="JA20" s="6"/>
      <c r="JB20" s="7"/>
      <c r="JG20" s="6"/>
      <c r="JR20" s="6"/>
      <c r="JS20" s="7"/>
      <c r="JX20" s="6"/>
      <c r="KB20" s="6"/>
      <c r="KC20" s="7"/>
      <c r="KH20" s="6"/>
      <c r="KS20" s="6"/>
      <c r="KT20" s="7"/>
      <c r="KY20" s="6"/>
      <c r="LC20" s="6"/>
      <c r="LD20" s="7"/>
      <c r="LI20" s="6"/>
      <c r="LT20" s="6"/>
      <c r="LU20" s="7"/>
      <c r="LZ20" s="6"/>
      <c r="MD20" s="6"/>
      <c r="ME20" s="7"/>
      <c r="MJ20" s="6"/>
      <c r="MU20" s="6"/>
      <c r="MV20" s="7"/>
      <c r="NA20" s="6"/>
      <c r="NE20" s="6"/>
      <c r="NF20" s="7"/>
      <c r="NK20" s="6"/>
      <c r="NV20" s="6"/>
      <c r="NW20" s="7"/>
      <c r="OB20" s="6"/>
      <c r="OF20" s="6"/>
      <c r="OG20" s="7"/>
      <c r="OL20" s="6"/>
      <c r="OW20" s="6"/>
      <c r="OX20" s="7"/>
      <c r="PC20" s="6"/>
      <c r="PG20" s="6"/>
      <c r="PH20" s="7"/>
      <c r="PM20" s="6"/>
      <c r="PX20" s="6"/>
      <c r="PY20" s="7"/>
      <c r="QD20" s="6"/>
      <c r="QH20" s="6"/>
      <c r="QI20" s="7"/>
      <c r="QN20" s="6"/>
      <c r="QY20" s="6"/>
      <c r="QZ20" s="7"/>
      <c r="RE20" s="6"/>
      <c r="RI20" s="6"/>
      <c r="RJ20" s="7"/>
      <c r="RO20" s="6"/>
    </row>
    <row r="21" spans="2:510" x14ac:dyDescent="0.3">
      <c r="L21" s="2"/>
      <c r="M21" s="64"/>
      <c r="N21" s="63"/>
      <c r="O21" s="62"/>
      <c r="P21" s="9"/>
      <c r="Q21" s="5"/>
      <c r="S21" s="2"/>
      <c r="T21" s="15"/>
      <c r="U21" s="15"/>
      <c r="W21" s="6"/>
      <c r="AA21" s="6"/>
      <c r="AB21" s="7"/>
      <c r="AH21" s="6"/>
      <c r="AS21" s="6"/>
      <c r="AT21" s="7"/>
      <c r="AY21" s="6"/>
      <c r="BC21" s="6"/>
      <c r="BD21" s="7"/>
      <c r="BI21" s="6"/>
      <c r="BT21" s="6"/>
      <c r="BU21" s="7"/>
      <c r="BZ21" s="6"/>
      <c r="CD21" s="6"/>
      <c r="CE21" s="7"/>
      <c r="CJ21" s="6"/>
      <c r="CU21" s="6"/>
      <c r="CV21" s="7"/>
      <c r="DA21" s="6"/>
      <c r="DE21" s="6"/>
      <c r="DF21" s="7"/>
      <c r="DK21" s="6"/>
      <c r="DV21" s="6"/>
      <c r="DW21" s="7"/>
      <c r="EB21" s="6"/>
      <c r="EF21" s="6"/>
      <c r="EG21" s="7"/>
      <c r="EL21" s="6"/>
      <c r="EW21" s="6"/>
      <c r="EX21" s="7"/>
      <c r="FC21" s="6"/>
      <c r="FG21" s="6"/>
      <c r="FH21" s="7"/>
      <c r="FM21" s="6"/>
      <c r="GY21" s="6"/>
      <c r="GZ21" s="7"/>
      <c r="HE21" s="6"/>
      <c r="HI21" s="6"/>
      <c r="HJ21" s="7"/>
      <c r="HO21" s="6"/>
      <c r="HZ21" s="6"/>
      <c r="IA21" s="7"/>
      <c r="IF21" s="6"/>
      <c r="IJ21" s="6"/>
      <c r="IK21" s="7"/>
      <c r="IP21" s="6"/>
      <c r="KB21" s="6"/>
      <c r="KC21" s="7"/>
      <c r="KH21" s="6"/>
      <c r="KL21" s="6"/>
      <c r="KM21" s="7"/>
      <c r="KR21" s="6"/>
      <c r="LC21" s="6"/>
      <c r="LD21" s="7"/>
      <c r="LI21" s="6"/>
      <c r="LM21" s="6"/>
      <c r="LN21" s="7"/>
      <c r="LS21" s="6"/>
      <c r="MD21" s="6"/>
      <c r="ME21" s="7"/>
      <c r="MJ21" s="6"/>
      <c r="MN21" s="6"/>
      <c r="MO21" s="7"/>
      <c r="MT21" s="6"/>
      <c r="NE21" s="6"/>
      <c r="NF21" s="7"/>
      <c r="NK21" s="6"/>
      <c r="NO21" s="6"/>
      <c r="NP21" s="7"/>
      <c r="NU21" s="6"/>
      <c r="OF21" s="6"/>
      <c r="OG21" s="7"/>
      <c r="OL21" s="6"/>
      <c r="OP21" s="6"/>
      <c r="OQ21" s="7"/>
      <c r="OV21" s="6"/>
      <c r="PG21" s="6"/>
      <c r="PH21" s="7"/>
      <c r="PM21" s="6"/>
      <c r="PQ21" s="6"/>
      <c r="PR21" s="7"/>
      <c r="PW21" s="6"/>
      <c r="QH21" s="6"/>
      <c r="QI21" s="7"/>
      <c r="QN21" s="6"/>
      <c r="QR21" s="6"/>
      <c r="QS21" s="7"/>
      <c r="QX21" s="6"/>
      <c r="RI21" s="6"/>
      <c r="RJ21" s="7"/>
      <c r="RO21" s="6"/>
      <c r="RS21" s="6"/>
      <c r="RT21" s="7"/>
      <c r="RY21" s="6"/>
    </row>
    <row r="22" spans="2:510" x14ac:dyDescent="0.3">
      <c r="P22" s="5"/>
      <c r="Q22" s="5"/>
      <c r="S22" s="2"/>
      <c r="T22" s="6"/>
      <c r="U22" s="7"/>
      <c r="W22" s="6"/>
      <c r="AA22" s="6"/>
      <c r="AB22" s="7"/>
      <c r="AH22" s="6"/>
      <c r="AS22" s="6"/>
      <c r="AT22" s="7"/>
      <c r="AY22" s="6"/>
      <c r="BC22" s="6"/>
      <c r="BD22" s="7"/>
      <c r="BI22" s="6"/>
      <c r="BT22" s="6"/>
      <c r="BU22" s="7"/>
      <c r="BZ22" s="6"/>
      <c r="CD22" s="6"/>
      <c r="CE22" s="7"/>
      <c r="CJ22" s="6"/>
      <c r="CU22" s="6"/>
      <c r="CV22" s="7"/>
      <c r="DA22" s="6"/>
      <c r="DE22" s="6"/>
      <c r="DF22" s="7"/>
      <c r="DK22" s="6"/>
      <c r="DV22" s="6"/>
      <c r="DW22" s="7"/>
      <c r="EB22" s="6"/>
      <c r="EF22" s="6"/>
      <c r="EG22" s="7"/>
      <c r="EL22" s="6"/>
      <c r="EW22" s="6"/>
      <c r="EX22" s="7"/>
      <c r="FC22" s="6"/>
      <c r="FG22" s="6"/>
      <c r="FH22" s="7"/>
      <c r="FM22" s="6"/>
      <c r="GY22" s="6"/>
      <c r="GZ22" s="7"/>
      <c r="HE22" s="6"/>
      <c r="HI22" s="6"/>
      <c r="HJ22" s="7"/>
      <c r="HO22" s="6"/>
      <c r="HZ22" s="6"/>
      <c r="IA22" s="7"/>
      <c r="IF22" s="6"/>
      <c r="IJ22" s="6"/>
      <c r="IK22" s="7"/>
      <c r="IP22" s="6"/>
      <c r="KB22" s="6"/>
      <c r="KC22" s="7"/>
      <c r="KH22" s="6"/>
      <c r="KL22" s="6"/>
      <c r="KM22" s="7"/>
      <c r="KR22" s="6"/>
      <c r="LC22" s="6"/>
      <c r="LD22" s="7"/>
      <c r="LI22" s="6"/>
      <c r="LM22" s="6"/>
      <c r="LN22" s="7"/>
      <c r="LS22" s="6"/>
      <c r="MD22" s="6"/>
      <c r="ME22" s="7"/>
      <c r="MJ22" s="6"/>
      <c r="MN22" s="6"/>
      <c r="MO22" s="7"/>
      <c r="MT22" s="6"/>
      <c r="NE22" s="6"/>
      <c r="NF22" s="7"/>
      <c r="NK22" s="6"/>
      <c r="NO22" s="6"/>
      <c r="NP22" s="7"/>
      <c r="NU22" s="6"/>
      <c r="OF22" s="6"/>
      <c r="OG22" s="7"/>
      <c r="OL22" s="6"/>
      <c r="OP22" s="6"/>
      <c r="OQ22" s="7"/>
      <c r="OV22" s="6"/>
      <c r="PG22" s="6"/>
      <c r="PH22" s="7"/>
      <c r="PM22" s="6"/>
      <c r="PQ22" s="6"/>
      <c r="PR22" s="7"/>
      <c r="PW22" s="6"/>
      <c r="QB22" s="8"/>
      <c r="QC22" s="8"/>
      <c r="QD22" s="8"/>
      <c r="QH22" s="6"/>
      <c r="QI22" s="7"/>
      <c r="QN22" s="6"/>
      <c r="QR22" s="6"/>
      <c r="QS22" s="7"/>
      <c r="QX22" s="6"/>
      <c r="RI22" s="6"/>
      <c r="RJ22" s="7"/>
      <c r="RO22" s="7"/>
      <c r="RS22" s="6"/>
      <c r="RT22" s="7"/>
      <c r="RY22" s="7"/>
    </row>
    <row r="23" spans="2:510" x14ac:dyDescent="0.3">
      <c r="P23" s="5"/>
      <c r="Q23" s="5"/>
      <c r="S23" s="2"/>
      <c r="T23" s="55"/>
      <c r="U23" s="63"/>
      <c r="V23" s="63"/>
      <c r="W23" s="55"/>
      <c r="X23" s="55"/>
      <c r="AA23" s="6"/>
      <c r="AB23" s="7"/>
      <c r="AH23" s="6"/>
      <c r="AS23" s="6"/>
      <c r="AT23" s="7"/>
      <c r="AY23" s="6"/>
      <c r="BC23" s="6"/>
      <c r="BD23" s="7"/>
      <c r="BI23" s="6"/>
      <c r="BT23" s="6"/>
      <c r="BU23" s="7"/>
      <c r="BZ23" s="6"/>
      <c r="CD23" s="6"/>
      <c r="CE23" s="7"/>
      <c r="CJ23" s="6"/>
      <c r="CU23" s="6"/>
      <c r="CV23" s="7"/>
      <c r="DA23" s="6"/>
      <c r="DE23" s="6"/>
      <c r="DF23" s="7"/>
      <c r="DK23" s="6"/>
      <c r="DV23" s="6"/>
      <c r="DW23" s="7"/>
      <c r="EB23" s="6"/>
      <c r="EF23" s="6"/>
      <c r="EG23" s="7"/>
      <c r="EL23" s="6"/>
      <c r="EW23" s="6"/>
      <c r="EX23" s="7"/>
      <c r="FC23" s="6"/>
      <c r="FG23" s="6"/>
      <c r="FH23" s="7"/>
      <c r="FM23" s="6"/>
      <c r="GY23" s="6"/>
      <c r="GZ23" s="7"/>
      <c r="HE23" s="6"/>
      <c r="HI23" s="6"/>
      <c r="HJ23" s="7"/>
      <c r="HO23" s="6"/>
      <c r="HZ23" s="6"/>
      <c r="IA23" s="7"/>
      <c r="IF23" s="6"/>
      <c r="IJ23" s="6"/>
      <c r="IK23" s="7"/>
      <c r="IP23" s="6"/>
      <c r="KB23" s="6"/>
      <c r="KC23" s="7"/>
      <c r="KH23" s="6"/>
      <c r="KL23" s="6"/>
      <c r="KM23" s="7"/>
      <c r="KR23" s="6"/>
      <c r="LC23" s="6"/>
      <c r="LD23" s="7"/>
      <c r="LI23" s="6"/>
      <c r="LM23" s="6"/>
      <c r="LN23" s="7"/>
      <c r="LS23" s="6"/>
      <c r="LX23" s="8"/>
      <c r="LY23" s="8"/>
      <c r="LZ23" s="8"/>
      <c r="MD23" s="6"/>
      <c r="ME23" s="7"/>
      <c r="MJ23" s="6"/>
      <c r="MN23" s="6"/>
      <c r="MO23" s="7"/>
      <c r="MT23" s="6"/>
      <c r="NE23" s="6"/>
      <c r="NF23" s="7"/>
      <c r="NK23" s="6"/>
      <c r="NO23" s="6"/>
      <c r="NP23" s="7"/>
      <c r="NU23" s="6"/>
      <c r="OF23" s="6"/>
      <c r="OG23" s="7"/>
      <c r="OL23" s="6"/>
      <c r="OP23" s="6"/>
      <c r="OQ23" s="7"/>
      <c r="OV23" s="6"/>
      <c r="PG23" s="6"/>
      <c r="PH23" s="7"/>
      <c r="PM23" s="6"/>
      <c r="PQ23" s="6"/>
      <c r="PR23" s="7"/>
      <c r="PW23" s="6"/>
      <c r="RI23" s="6"/>
      <c r="RJ23" s="7"/>
      <c r="RO23" s="6"/>
      <c r="RS23" s="6"/>
      <c r="RT23" s="7"/>
      <c r="RY23" s="6"/>
    </row>
    <row r="24" spans="2:510" x14ac:dyDescent="0.3">
      <c r="P24" s="5"/>
      <c r="Q24" s="5"/>
      <c r="S24" s="2"/>
      <c r="T24" s="6"/>
      <c r="U24" s="7"/>
      <c r="W24" s="6"/>
      <c r="Z24" s="55"/>
      <c r="AA24" s="55"/>
      <c r="AB24" s="55"/>
      <c r="AC24" s="55"/>
      <c r="AD24" s="57"/>
      <c r="AE24" s="57"/>
      <c r="AF24" s="57"/>
      <c r="AG24" s="55"/>
      <c r="AH24" s="55"/>
      <c r="AI24" s="55"/>
      <c r="AJ24" s="55"/>
      <c r="AK24" s="57"/>
      <c r="AL24" s="55"/>
      <c r="AS24" s="22"/>
      <c r="AT24" s="22"/>
      <c r="AU24" s="90"/>
      <c r="AY24" s="6"/>
      <c r="BC24" s="6"/>
      <c r="BD24" s="7"/>
      <c r="BI24" s="6"/>
      <c r="BT24" s="6"/>
      <c r="BU24" s="7"/>
      <c r="BZ24" s="6"/>
      <c r="CD24" s="6"/>
      <c r="CE24" s="7"/>
      <c r="CJ24" s="6"/>
      <c r="CU24" s="6"/>
      <c r="CV24" s="7"/>
      <c r="DA24" s="6"/>
      <c r="DE24" s="6"/>
      <c r="DF24" s="7"/>
      <c r="DK24" s="6"/>
      <c r="DV24" s="6"/>
      <c r="DW24" s="7"/>
      <c r="EB24" s="6"/>
      <c r="EF24" s="6"/>
      <c r="EG24" s="7"/>
      <c r="EL24" s="6"/>
      <c r="EW24" s="6"/>
      <c r="EX24" s="7"/>
      <c r="FC24" s="6"/>
      <c r="FG24" s="6"/>
      <c r="FH24" s="7"/>
      <c r="FM24" s="6"/>
      <c r="GY24" s="6"/>
      <c r="GZ24" s="7"/>
      <c r="HE24" s="6"/>
      <c r="HI24" s="6"/>
      <c r="HJ24" s="7"/>
      <c r="HO24" s="6"/>
      <c r="HZ24" s="6"/>
      <c r="IA24" s="7"/>
      <c r="IF24" s="6"/>
      <c r="IJ24" s="6"/>
      <c r="IK24" s="7"/>
      <c r="IP24" s="6"/>
      <c r="KB24" s="6"/>
      <c r="KC24" s="7"/>
      <c r="KH24" s="7"/>
      <c r="KL24" s="6"/>
      <c r="KM24" s="7"/>
      <c r="KR24" s="7"/>
      <c r="LC24" s="6"/>
      <c r="LD24" s="7"/>
      <c r="LI24" s="6"/>
      <c r="LM24" s="6"/>
      <c r="LN24" s="7"/>
      <c r="LS24" s="6"/>
      <c r="NE24" s="6"/>
      <c r="NF24" s="7"/>
      <c r="NK24" s="6"/>
      <c r="NO24" s="6"/>
      <c r="NP24" s="7"/>
      <c r="NU24" s="6"/>
      <c r="OF24" s="6"/>
      <c r="OG24" s="7"/>
      <c r="OL24" s="6"/>
      <c r="OP24" s="6"/>
      <c r="OQ24" s="7"/>
      <c r="OV24" s="6"/>
      <c r="PG24" s="6"/>
      <c r="PH24" s="7"/>
      <c r="PM24" s="6"/>
      <c r="PQ24" s="6"/>
      <c r="PR24" s="7"/>
      <c r="PW24" s="6"/>
      <c r="RI24" s="6"/>
      <c r="RJ24" s="7"/>
      <c r="RO24" s="6"/>
      <c r="RS24" s="6"/>
      <c r="RT24" s="7"/>
      <c r="RY24" s="6"/>
    </row>
    <row r="25" spans="2:510" x14ac:dyDescent="0.3">
      <c r="P25" s="5"/>
      <c r="Q25" s="5"/>
      <c r="S25" s="2"/>
      <c r="T25" s="6"/>
      <c r="U25" s="7"/>
      <c r="W25" s="7"/>
      <c r="AA25" s="6"/>
      <c r="AB25" s="7"/>
      <c r="AH25" s="7"/>
      <c r="AS25" s="6"/>
      <c r="AT25" s="7"/>
      <c r="AY25" s="6"/>
      <c r="BC25" s="6"/>
      <c r="BD25" s="7"/>
      <c r="BI25" s="6"/>
      <c r="BN25" s="8"/>
      <c r="BO25" s="8"/>
      <c r="BP25" s="8"/>
      <c r="BT25" s="6"/>
      <c r="BU25" s="7"/>
      <c r="BZ25" s="6"/>
      <c r="CD25" s="6"/>
      <c r="CE25" s="7"/>
      <c r="CJ25" s="6"/>
      <c r="CO25" s="8"/>
      <c r="CP25" s="8"/>
      <c r="CQ25" s="8"/>
      <c r="CU25" s="6"/>
      <c r="CV25" s="7"/>
      <c r="DA25" s="6"/>
      <c r="DE25" s="6"/>
      <c r="DF25" s="7"/>
      <c r="DK25" s="6"/>
      <c r="DP25" s="8"/>
      <c r="DQ25" s="8"/>
      <c r="DR25" s="8"/>
      <c r="DV25" s="6"/>
      <c r="DW25" s="7"/>
      <c r="EB25" s="6"/>
      <c r="EF25" s="6"/>
      <c r="EG25" s="7"/>
      <c r="EL25" s="6"/>
      <c r="EQ25" s="8"/>
      <c r="ER25" s="8"/>
      <c r="ES25" s="8"/>
      <c r="EW25" s="6"/>
      <c r="EX25" s="7"/>
      <c r="FC25" s="6"/>
      <c r="FG25" s="6"/>
      <c r="FH25" s="7"/>
      <c r="FM25" s="6"/>
      <c r="GS25" s="8"/>
      <c r="GT25" s="8"/>
      <c r="GU25" s="8"/>
      <c r="GY25" s="6"/>
      <c r="GZ25" s="7"/>
      <c r="HE25" s="6"/>
      <c r="HI25" s="6"/>
      <c r="HJ25" s="7"/>
      <c r="HO25" s="6"/>
      <c r="HT25" s="8"/>
      <c r="HU25" s="8"/>
      <c r="HV25" s="8"/>
      <c r="HZ25" s="6"/>
      <c r="IA25" s="7"/>
      <c r="IF25" s="6"/>
      <c r="IJ25" s="6"/>
      <c r="IK25" s="7"/>
      <c r="IP25" s="6"/>
      <c r="JV25" s="8"/>
      <c r="JW25" s="8"/>
      <c r="JX25" s="8"/>
      <c r="KB25" s="6"/>
      <c r="KC25" s="7"/>
      <c r="KH25" s="6"/>
      <c r="KL25" s="6"/>
      <c r="KM25" s="7"/>
      <c r="KR25" s="6"/>
      <c r="KW25" s="8"/>
      <c r="KX25" s="8"/>
      <c r="KY25" s="8"/>
      <c r="LC25" s="6"/>
      <c r="LD25" s="7"/>
      <c r="LI25" s="6"/>
      <c r="LM25" s="6"/>
      <c r="LN25" s="7"/>
      <c r="LS25" s="6"/>
      <c r="MY25" s="8"/>
      <c r="MZ25" s="8"/>
      <c r="NA25" s="8"/>
      <c r="NE25" s="6"/>
      <c r="NF25" s="7"/>
      <c r="NK25" s="6"/>
      <c r="NO25" s="6"/>
      <c r="NP25" s="7"/>
      <c r="NU25" s="6"/>
      <c r="NZ25" s="8"/>
      <c r="OA25" s="8"/>
      <c r="OB25" s="8"/>
      <c r="OF25" s="6"/>
      <c r="OG25" s="7"/>
      <c r="OL25" s="6"/>
      <c r="OP25" s="6"/>
      <c r="OQ25" s="7"/>
      <c r="OV25" s="6"/>
      <c r="PA25" s="8"/>
      <c r="PB25" s="8"/>
      <c r="PC25" s="8"/>
      <c r="PG25" s="6"/>
      <c r="PH25" s="7"/>
      <c r="PM25" s="6"/>
      <c r="PQ25" s="6"/>
      <c r="PR25" s="7"/>
      <c r="PW25" s="6"/>
      <c r="RC25" s="8"/>
      <c r="RD25" s="8"/>
      <c r="RE25" s="8"/>
      <c r="RI25" s="6"/>
      <c r="RJ25" s="7"/>
      <c r="RO25" s="6"/>
      <c r="RS25" s="6"/>
      <c r="RT25" s="7"/>
      <c r="RY25" s="6"/>
    </row>
    <row r="26" spans="2:510" x14ac:dyDescent="0.3">
      <c r="L26" s="3" t="s">
        <v>642</v>
      </c>
      <c r="P26" s="5"/>
      <c r="Q26" s="5"/>
      <c r="S26" s="2"/>
      <c r="T26" s="6"/>
      <c r="U26" s="7"/>
      <c r="W26" s="7"/>
      <c r="AA26" s="6"/>
      <c r="AB26" s="7"/>
      <c r="AH26" s="7"/>
      <c r="AY26" s="6"/>
      <c r="BC26" s="6"/>
      <c r="BD26" s="7"/>
      <c r="BI26" s="6"/>
      <c r="BN26" s="8"/>
      <c r="BO26" s="8"/>
      <c r="BP26" s="8"/>
      <c r="BT26" s="6"/>
      <c r="BU26" s="7"/>
      <c r="BZ26" s="6"/>
      <c r="CD26" s="6"/>
      <c r="CE26" s="7"/>
      <c r="CJ26" s="6"/>
      <c r="CO26" s="8"/>
      <c r="CP26" s="8"/>
      <c r="CQ26" s="8"/>
      <c r="CU26" s="6"/>
      <c r="CV26" s="7"/>
      <c r="DA26" s="6"/>
      <c r="DE26" s="6"/>
      <c r="DF26" s="7"/>
      <c r="DK26" s="6"/>
      <c r="DP26" s="8"/>
      <c r="DQ26" s="8"/>
      <c r="DR26" s="8"/>
      <c r="DV26" s="6"/>
      <c r="DW26" s="7"/>
      <c r="EB26" s="6"/>
      <c r="EF26" s="6"/>
      <c r="EG26" s="7"/>
      <c r="EL26" s="6"/>
      <c r="EQ26" s="8"/>
      <c r="ER26" s="8"/>
      <c r="ES26" s="8"/>
      <c r="EW26" s="6"/>
      <c r="EX26" s="7"/>
      <c r="FC26" s="6"/>
      <c r="FG26" s="6"/>
      <c r="FH26" s="7"/>
      <c r="FM26" s="6"/>
      <c r="GS26" s="8"/>
      <c r="GT26" s="8"/>
      <c r="GU26" s="8"/>
      <c r="GY26" s="6"/>
      <c r="GZ26" s="7"/>
      <c r="HE26" s="6"/>
      <c r="HI26" s="6"/>
      <c r="HJ26" s="7"/>
      <c r="HO26" s="6"/>
      <c r="HT26" s="8"/>
      <c r="HU26" s="8"/>
      <c r="HV26" s="8"/>
      <c r="HZ26" s="6"/>
      <c r="IA26" s="7"/>
      <c r="IF26" s="6"/>
      <c r="IJ26" s="6"/>
      <c r="IK26" s="7"/>
      <c r="IP26" s="6"/>
      <c r="JV26" s="8"/>
      <c r="JW26" s="8"/>
      <c r="JX26" s="8"/>
      <c r="KB26" s="6"/>
      <c r="KC26" s="7"/>
      <c r="KH26" s="6"/>
      <c r="KL26" s="6"/>
      <c r="KM26" s="7"/>
      <c r="KR26" s="6"/>
      <c r="KW26" s="8"/>
      <c r="KX26" s="8"/>
      <c r="KY26" s="8"/>
      <c r="LC26" s="6"/>
      <c r="LD26" s="7"/>
      <c r="LI26" s="6"/>
      <c r="LM26" s="6"/>
      <c r="LN26" s="7"/>
      <c r="LS26" s="6"/>
      <c r="MY26" s="8"/>
      <c r="MZ26" s="8"/>
      <c r="NA26" s="8"/>
      <c r="NE26" s="6"/>
      <c r="NF26" s="7"/>
      <c r="NK26" s="6"/>
      <c r="NO26" s="6"/>
      <c r="NP26" s="7"/>
      <c r="NU26" s="6"/>
      <c r="NZ26" s="8"/>
      <c r="OA26" s="8"/>
      <c r="OB26" s="8"/>
      <c r="OF26" s="6"/>
      <c r="OG26" s="7"/>
      <c r="OL26" s="6"/>
      <c r="OP26" s="6"/>
      <c r="OQ26" s="7"/>
      <c r="OV26" s="6"/>
      <c r="PA26" s="8"/>
      <c r="PB26" s="8"/>
      <c r="PC26" s="8"/>
      <c r="PG26" s="6"/>
      <c r="PH26" s="7"/>
      <c r="PM26" s="6"/>
      <c r="PQ26" s="6"/>
      <c r="PR26" s="7"/>
      <c r="PW26" s="6"/>
      <c r="RC26" s="8"/>
      <c r="RD26" s="8"/>
      <c r="RE26" s="8"/>
      <c r="RI26" s="6"/>
      <c r="RJ26" s="7"/>
      <c r="RO26" s="6"/>
      <c r="RS26" s="6"/>
      <c r="RT26" s="7"/>
      <c r="RY26" s="6"/>
    </row>
    <row r="27" spans="2:510" ht="21" x14ac:dyDescent="0.4">
      <c r="P27" s="5"/>
      <c r="Q27" s="5"/>
      <c r="S27" s="2"/>
      <c r="T27" s="6"/>
      <c r="U27" s="7"/>
      <c r="W27" s="7"/>
      <c r="AA27" s="6"/>
      <c r="AB27" s="7"/>
      <c r="AH27" s="7"/>
      <c r="AS27" s="6"/>
      <c r="AT27" s="7"/>
      <c r="AY27" s="6"/>
      <c r="BC27" s="6"/>
      <c r="BD27" s="7"/>
      <c r="BI27" s="6"/>
      <c r="BN27" s="8"/>
      <c r="BO27" s="8"/>
      <c r="BP27" s="8"/>
      <c r="BS27" s="82"/>
      <c r="BT27" s="85" t="s">
        <v>682</v>
      </c>
      <c r="BU27" s="7"/>
      <c r="BZ27" s="6"/>
      <c r="CD27" s="6"/>
      <c r="CE27" s="7"/>
      <c r="CJ27" s="6"/>
      <c r="CO27" s="8"/>
      <c r="CP27" s="8"/>
      <c r="CQ27" s="8"/>
      <c r="CU27" s="6"/>
      <c r="CV27" s="7"/>
      <c r="DA27" s="6"/>
      <c r="DE27" s="6"/>
      <c r="DF27" s="7"/>
      <c r="DK27" s="6"/>
      <c r="DP27" s="8"/>
      <c r="DQ27" s="8"/>
      <c r="DR27" s="8"/>
      <c r="DV27" s="6"/>
      <c r="DW27" s="7"/>
      <c r="EB27" s="6"/>
      <c r="EF27" s="6"/>
      <c r="EG27" s="7"/>
      <c r="EL27" s="6"/>
      <c r="EQ27" s="8"/>
      <c r="ER27" s="8"/>
      <c r="ES27" s="8"/>
      <c r="EW27" s="6"/>
      <c r="EX27" s="7"/>
      <c r="FC27" s="6"/>
      <c r="FG27" s="6"/>
      <c r="FH27" s="7"/>
      <c r="FM27" s="6"/>
      <c r="GS27" s="8"/>
      <c r="GT27" s="8"/>
      <c r="GU27" s="8"/>
      <c r="GY27" s="6"/>
      <c r="GZ27" s="7"/>
      <c r="HE27" s="6"/>
      <c r="HI27" s="6"/>
      <c r="HJ27" s="7"/>
      <c r="HO27" s="6"/>
      <c r="HT27" s="8"/>
      <c r="HU27" s="8"/>
      <c r="HV27" s="8"/>
      <c r="HZ27" s="6"/>
      <c r="IA27" s="7"/>
      <c r="IF27" s="6"/>
      <c r="IJ27" s="6"/>
      <c r="IK27" s="7"/>
      <c r="IP27" s="6"/>
      <c r="JV27" s="8"/>
      <c r="JW27" s="8"/>
      <c r="JX27" s="8"/>
      <c r="KB27" s="6"/>
      <c r="KC27" s="7"/>
      <c r="KH27" s="6"/>
      <c r="KL27" s="6"/>
      <c r="KM27" s="7"/>
      <c r="KR27" s="6"/>
      <c r="KW27" s="8"/>
      <c r="KX27" s="8"/>
      <c r="KY27" s="8"/>
      <c r="LC27" s="6"/>
      <c r="LD27" s="7"/>
      <c r="LI27" s="6"/>
      <c r="LM27" s="6"/>
      <c r="LN27" s="7"/>
      <c r="LS27" s="6"/>
      <c r="MY27" s="8"/>
      <c r="MZ27" s="8"/>
      <c r="NA27" s="8"/>
      <c r="NE27" s="6"/>
      <c r="NF27" s="7"/>
      <c r="NK27" s="6"/>
      <c r="NO27" s="6"/>
      <c r="NP27" s="7"/>
      <c r="NU27" s="6"/>
      <c r="NZ27" s="8"/>
      <c r="OA27" s="8"/>
      <c r="OB27" s="8"/>
      <c r="OF27" s="6"/>
      <c r="OG27" s="7"/>
      <c r="OL27" s="6"/>
      <c r="OP27" s="6"/>
      <c r="OQ27" s="7"/>
      <c r="OV27" s="6"/>
      <c r="PA27" s="8"/>
      <c r="PB27" s="8"/>
      <c r="PC27" s="8"/>
      <c r="PG27" s="6"/>
      <c r="PH27" s="7"/>
      <c r="PM27" s="6"/>
      <c r="PQ27" s="6"/>
      <c r="PR27" s="7"/>
      <c r="PW27" s="6"/>
      <c r="RC27" s="8"/>
      <c r="RD27" s="8"/>
      <c r="RE27" s="8"/>
      <c r="RI27" s="6"/>
      <c r="RJ27" s="7"/>
      <c r="RO27" s="6"/>
      <c r="RS27" s="6"/>
      <c r="RT27" s="7"/>
      <c r="RY27" s="6"/>
    </row>
    <row r="28" spans="2:510" x14ac:dyDescent="0.3">
      <c r="L28" s="3" t="s">
        <v>648</v>
      </c>
      <c r="P28" s="5"/>
      <c r="Q28" s="5"/>
      <c r="S28" s="2"/>
      <c r="AA28" s="6"/>
      <c r="AB28" s="7"/>
      <c r="AH28" s="7"/>
      <c r="AV28" s="2"/>
      <c r="AW28" s="64"/>
      <c r="AX28" s="63"/>
      <c r="AY28" s="22"/>
      <c r="BI28" s="6"/>
      <c r="BN28" s="8"/>
      <c r="BO28" s="8"/>
      <c r="BP28" s="8"/>
      <c r="BT28" s="6"/>
      <c r="BU28" s="7"/>
      <c r="BX28" s="2" t="s">
        <v>658</v>
      </c>
      <c r="BY28" s="2" t="s">
        <v>659</v>
      </c>
      <c r="BZ28" s="2" t="s">
        <v>661</v>
      </c>
      <c r="CA28" s="2" t="s">
        <v>662</v>
      </c>
      <c r="CD28" s="6"/>
      <c r="CE28" s="7"/>
      <c r="CJ28" s="2"/>
      <c r="CK28" s="2"/>
      <c r="CL28" s="2"/>
      <c r="CM28" s="2"/>
      <c r="CO28" s="8"/>
      <c r="CP28" s="8"/>
      <c r="CQ28" s="8"/>
      <c r="CU28" s="6"/>
      <c r="CV28" s="7"/>
      <c r="DA28" s="6"/>
      <c r="DE28" s="6"/>
      <c r="DF28" s="7"/>
      <c r="DK28" s="6"/>
      <c r="DP28" s="8"/>
      <c r="DQ28" s="8"/>
      <c r="DR28" s="8"/>
      <c r="DV28" s="6"/>
      <c r="DW28" s="7"/>
      <c r="EB28" s="6"/>
      <c r="EF28" s="6"/>
      <c r="EG28" s="7"/>
      <c r="EL28" s="6"/>
      <c r="EQ28" s="8"/>
      <c r="ER28" s="8"/>
      <c r="ES28" s="8"/>
      <c r="EW28" s="6"/>
      <c r="EX28" s="7"/>
      <c r="FC28" s="6"/>
      <c r="FG28" s="6"/>
      <c r="FH28" s="7"/>
      <c r="FM28" s="6"/>
      <c r="GS28" s="8"/>
      <c r="GT28" s="8"/>
      <c r="GU28" s="8"/>
      <c r="GY28" s="6"/>
      <c r="GZ28" s="7"/>
      <c r="HE28" s="6"/>
      <c r="HI28" s="6"/>
      <c r="HJ28" s="7"/>
      <c r="HO28" s="6"/>
      <c r="HT28" s="8"/>
      <c r="HU28" s="8"/>
      <c r="HV28" s="8"/>
      <c r="HZ28" s="6"/>
      <c r="IA28" s="7"/>
      <c r="IF28" s="6"/>
      <c r="IJ28" s="6"/>
      <c r="IK28" s="7"/>
      <c r="IP28" s="6"/>
      <c r="JV28" s="8"/>
      <c r="JW28" s="8"/>
      <c r="JX28" s="8"/>
      <c r="KB28" s="6"/>
      <c r="KC28" s="7"/>
      <c r="KH28" s="6"/>
      <c r="KL28" s="6"/>
      <c r="KM28" s="7"/>
      <c r="KR28" s="6"/>
      <c r="KW28" s="8"/>
      <c r="KX28" s="8"/>
      <c r="KY28" s="8"/>
      <c r="LC28" s="6"/>
      <c r="LD28" s="7"/>
      <c r="LI28" s="6"/>
      <c r="LM28" s="6"/>
      <c r="LN28" s="7"/>
      <c r="LS28" s="6"/>
      <c r="MY28" s="8"/>
      <c r="MZ28" s="8"/>
      <c r="NA28" s="8"/>
      <c r="NE28" s="6"/>
      <c r="NF28" s="7"/>
      <c r="NK28" s="6"/>
      <c r="NO28" s="6"/>
      <c r="NP28" s="7"/>
      <c r="NU28" s="6"/>
      <c r="NZ28" s="8"/>
      <c r="OA28" s="8"/>
      <c r="OB28" s="8"/>
      <c r="OF28" s="6"/>
      <c r="OG28" s="7"/>
      <c r="OL28" s="6"/>
      <c r="OP28" s="6"/>
      <c r="OQ28" s="7"/>
      <c r="OV28" s="6"/>
      <c r="PA28" s="8"/>
      <c r="PB28" s="8"/>
      <c r="PC28" s="8"/>
      <c r="PG28" s="6"/>
      <c r="PH28" s="7"/>
      <c r="PM28" s="6"/>
      <c r="PQ28" s="6"/>
      <c r="PR28" s="7"/>
      <c r="PW28" s="6"/>
      <c r="RC28" s="8"/>
      <c r="RD28" s="8"/>
      <c r="RE28" s="8"/>
      <c r="RI28" s="6"/>
      <c r="RJ28" s="7"/>
      <c r="RO28" s="6"/>
      <c r="RS28" s="6"/>
      <c r="RT28" s="7"/>
      <c r="RY28" s="6"/>
    </row>
    <row r="29" spans="2:510" x14ac:dyDescent="0.3">
      <c r="P29" s="5"/>
      <c r="Q29" s="5"/>
      <c r="S29" s="2"/>
      <c r="AA29" s="6"/>
      <c r="AB29" s="7"/>
      <c r="AH29" s="7"/>
      <c r="AW29" s="64"/>
      <c r="BI29" s="6"/>
      <c r="BN29" s="8"/>
      <c r="BO29" s="8"/>
      <c r="BP29" s="8"/>
      <c r="BT29" s="6"/>
      <c r="BU29" s="7"/>
      <c r="BX29" s="3">
        <f>CORREL(CA33:CA51, BX33:BX51)</f>
        <v>-3.1798148075630278E-2</v>
      </c>
      <c r="BY29" s="3">
        <f>CORREL(CC33:CC51, BX33:BX51)</f>
        <v>-8.9712216828100169E-2</v>
      </c>
      <c r="BZ29" s="3">
        <f>CORREL(CB33:CB51, BX33:BX51)</f>
        <v>0.15386133480465372</v>
      </c>
      <c r="CA29" s="3">
        <f>CORREL(CD33:CD51, BX33:BX51)</f>
        <v>-0.26681611774193154</v>
      </c>
      <c r="CD29" s="6"/>
      <c r="CE29" s="7"/>
      <c r="CP29" s="8"/>
      <c r="CQ29" s="8"/>
      <c r="CU29" s="6"/>
      <c r="CV29" s="7"/>
      <c r="DA29" s="6"/>
      <c r="DE29" s="6"/>
      <c r="DF29" s="7"/>
      <c r="DK29" s="6"/>
      <c r="DP29" s="8"/>
      <c r="DQ29" s="8"/>
      <c r="DR29" s="8"/>
      <c r="DV29" s="6"/>
      <c r="DW29" s="7"/>
      <c r="EB29" s="6"/>
      <c r="EF29" s="6"/>
      <c r="EG29" s="7"/>
      <c r="EL29" s="6"/>
      <c r="EQ29" s="8"/>
      <c r="ER29" s="8"/>
      <c r="ES29" s="8"/>
      <c r="EW29" s="6"/>
      <c r="EX29" s="7"/>
      <c r="FC29" s="6"/>
      <c r="FG29" s="6"/>
      <c r="FH29" s="7"/>
      <c r="FM29" s="6"/>
      <c r="GS29" s="8"/>
      <c r="GT29" s="8"/>
      <c r="GU29" s="8"/>
      <c r="GY29" s="6"/>
      <c r="GZ29" s="7"/>
      <c r="HE29" s="6"/>
      <c r="HI29" s="6"/>
      <c r="HJ29" s="7"/>
      <c r="HO29" s="6"/>
      <c r="HT29" s="8"/>
      <c r="HU29" s="8"/>
      <c r="HV29" s="8"/>
      <c r="HZ29" s="6"/>
      <c r="IA29" s="7"/>
      <c r="IF29" s="6"/>
      <c r="IJ29" s="6"/>
      <c r="IK29" s="7"/>
      <c r="IP29" s="6"/>
      <c r="JV29" s="8"/>
      <c r="JW29" s="8"/>
      <c r="JX29" s="8"/>
      <c r="KB29" s="6"/>
      <c r="KC29" s="7"/>
      <c r="KH29" s="6"/>
      <c r="KL29" s="6"/>
      <c r="KM29" s="7"/>
      <c r="KR29" s="6"/>
      <c r="KW29" s="8"/>
      <c r="KX29" s="8"/>
      <c r="KY29" s="8"/>
      <c r="LC29" s="6"/>
      <c r="LD29" s="7"/>
      <c r="LI29" s="6"/>
      <c r="LM29" s="6"/>
      <c r="LN29" s="7"/>
      <c r="LS29" s="6"/>
      <c r="MY29" s="8"/>
      <c r="MZ29" s="8"/>
      <c r="NA29" s="8"/>
      <c r="NE29" s="6"/>
      <c r="NF29" s="7"/>
      <c r="NK29" s="6"/>
      <c r="NO29" s="6"/>
      <c r="NP29" s="7"/>
      <c r="NU29" s="6"/>
      <c r="NZ29" s="8"/>
      <c r="OA29" s="8"/>
      <c r="OB29" s="8"/>
      <c r="OF29" s="6"/>
      <c r="OG29" s="7"/>
      <c r="OL29" s="6"/>
      <c r="OP29" s="6"/>
      <c r="OQ29" s="7"/>
      <c r="OV29" s="6"/>
      <c r="PA29" s="8"/>
      <c r="PB29" s="8"/>
      <c r="PC29" s="8"/>
      <c r="PG29" s="6"/>
      <c r="PH29" s="7"/>
      <c r="PM29" s="6"/>
      <c r="PQ29" s="6"/>
      <c r="PR29" s="7"/>
      <c r="PW29" s="6"/>
      <c r="RC29" s="8"/>
      <c r="RD29" s="8"/>
      <c r="RE29" s="8"/>
      <c r="RI29" s="6"/>
      <c r="RJ29" s="7"/>
      <c r="RO29" s="6"/>
      <c r="RS29" s="6"/>
      <c r="RT29" s="7"/>
      <c r="RY29" s="6"/>
    </row>
    <row r="30" spans="2:510" ht="18" x14ac:dyDescent="0.35">
      <c r="L30" s="3" t="s">
        <v>647</v>
      </c>
      <c r="S30" s="2"/>
      <c r="AK30" s="81" t="s">
        <v>679</v>
      </c>
      <c r="AN30" s="8"/>
      <c r="AO30" s="8"/>
      <c r="AQ30" s="5" t="s">
        <v>671</v>
      </c>
      <c r="AR30" s="15">
        <v>1</v>
      </c>
      <c r="AS30" s="7" t="s">
        <v>673</v>
      </c>
      <c r="AT30" s="3">
        <v>0.5</v>
      </c>
      <c r="AV30" s="2"/>
      <c r="AW30" s="64"/>
      <c r="BT30" s="3" t="s">
        <v>652</v>
      </c>
    </row>
    <row r="31" spans="2:510" x14ac:dyDescent="0.3">
      <c r="AN31" s="8"/>
      <c r="AO31" s="8"/>
      <c r="AQ31" s="5" t="s">
        <v>672</v>
      </c>
      <c r="AR31" s="9">
        <v>0.6</v>
      </c>
      <c r="AS31" s="7" t="s">
        <v>674</v>
      </c>
      <c r="AT31" s="3">
        <v>-0.9</v>
      </c>
      <c r="AV31" s="2"/>
      <c r="AW31" s="64"/>
      <c r="BF31" s="3" t="s">
        <v>656</v>
      </c>
    </row>
    <row r="32" spans="2:510" x14ac:dyDescent="0.3">
      <c r="L32" s="3" t="s">
        <v>649</v>
      </c>
      <c r="AJ32" s="3" t="s">
        <v>653</v>
      </c>
      <c r="AV32" s="2"/>
      <c r="AW32" s="64"/>
      <c r="BF32" s="2" t="s">
        <v>680</v>
      </c>
      <c r="BG32" s="3" t="s">
        <v>113</v>
      </c>
      <c r="BH32" s="3" t="s">
        <v>61</v>
      </c>
      <c r="BI32" s="2" t="s">
        <v>666</v>
      </c>
      <c r="BJ32" s="2" t="s">
        <v>46</v>
      </c>
      <c r="BK32" s="2" t="s">
        <v>57</v>
      </c>
      <c r="BL32" s="2" t="s">
        <v>60</v>
      </c>
      <c r="BM32" s="2" t="s">
        <v>28</v>
      </c>
      <c r="BN32" s="2" t="s">
        <v>643</v>
      </c>
      <c r="BO32" s="2" t="s">
        <v>669</v>
      </c>
      <c r="BT32" s="2" t="s">
        <v>639</v>
      </c>
      <c r="BU32" s="2" t="s">
        <v>638</v>
      </c>
      <c r="BV32" s="2" t="s">
        <v>641</v>
      </c>
      <c r="BW32" s="2" t="s">
        <v>640</v>
      </c>
      <c r="BX32" s="66" t="s">
        <v>680</v>
      </c>
      <c r="BY32" s="2" t="s">
        <v>666</v>
      </c>
      <c r="BZ32" s="2" t="s">
        <v>113</v>
      </c>
      <c r="CA32" s="2" t="s">
        <v>46</v>
      </c>
      <c r="CB32" s="2" t="s">
        <v>57</v>
      </c>
      <c r="CC32" s="2" t="s">
        <v>60</v>
      </c>
      <c r="CD32" s="2" t="s">
        <v>28</v>
      </c>
      <c r="CF32" s="2"/>
      <c r="CG32" s="2"/>
      <c r="CH32" s="2"/>
      <c r="CI32" s="2"/>
      <c r="CJ32" s="2"/>
      <c r="CK32" s="2"/>
      <c r="CL32" s="2"/>
      <c r="CM32" s="2"/>
      <c r="CN32" s="2"/>
      <c r="CO32" s="2"/>
      <c r="CP32" s="2"/>
    </row>
    <row r="33" spans="1:95" x14ac:dyDescent="0.3">
      <c r="AJ33" s="2" t="s">
        <v>680</v>
      </c>
      <c r="AK33" s="3" t="s">
        <v>677</v>
      </c>
      <c r="AL33" s="3" t="s">
        <v>678</v>
      </c>
      <c r="AM33" s="2" t="s">
        <v>644</v>
      </c>
      <c r="AN33" s="3" t="s">
        <v>46</v>
      </c>
      <c r="AO33" s="3" t="s">
        <v>57</v>
      </c>
      <c r="AP33" s="2" t="s">
        <v>60</v>
      </c>
      <c r="AQ33" s="2" t="s">
        <v>28</v>
      </c>
      <c r="AR33" s="2" t="s">
        <v>643</v>
      </c>
      <c r="AS33" s="2" t="s">
        <v>675</v>
      </c>
      <c r="AV33" s="2"/>
      <c r="AW33" s="64"/>
      <c r="AX33" s="63"/>
      <c r="AY33" s="62"/>
      <c r="BF33" s="62">
        <v>13</v>
      </c>
      <c r="BG33" s="63">
        <v>3</v>
      </c>
      <c r="BH33" s="55">
        <v>1</v>
      </c>
      <c r="BI33" s="69">
        <v>1.25</v>
      </c>
      <c r="BJ33" s="3">
        <v>17.5</v>
      </c>
      <c r="BK33" s="3">
        <v>22.25</v>
      </c>
      <c r="BL33" s="3">
        <v>7.25</v>
      </c>
      <c r="BM33" s="3">
        <v>0.73</v>
      </c>
      <c r="BN33" s="3">
        <f>BJ33+BK33</f>
        <v>39.75</v>
      </c>
      <c r="BO33" s="68">
        <f>BM33/BL33</f>
        <v>0.10068965517241379</v>
      </c>
      <c r="BT33" s="3" t="s">
        <v>22</v>
      </c>
      <c r="BU33" s="3" t="s">
        <v>615</v>
      </c>
      <c r="BV33" s="3" t="s">
        <v>615</v>
      </c>
      <c r="BW33" s="2" t="s">
        <v>615</v>
      </c>
      <c r="BX33" s="66">
        <v>20</v>
      </c>
      <c r="BY33" s="3">
        <v>1.2</v>
      </c>
      <c r="BZ33" s="3">
        <v>11.2</v>
      </c>
      <c r="CA33" s="3">
        <v>21.2</v>
      </c>
      <c r="CB33" s="3">
        <v>24.6</v>
      </c>
      <c r="CC33" s="3">
        <v>10.8</v>
      </c>
      <c r="CD33" s="3">
        <v>0.64</v>
      </c>
      <c r="CF33" s="2"/>
      <c r="CJ33" s="2"/>
      <c r="CK33" s="2"/>
    </row>
    <row r="34" spans="1:95" x14ac:dyDescent="0.3">
      <c r="L34" s="3" t="s">
        <v>645</v>
      </c>
      <c r="Z34" s="2"/>
      <c r="AA34" s="2"/>
      <c r="AB34" s="2"/>
      <c r="AC34" s="2"/>
      <c r="AD34" s="2"/>
      <c r="AE34" s="2"/>
      <c r="AF34" s="2"/>
      <c r="AG34" s="2"/>
      <c r="AH34" s="2"/>
      <c r="AJ34" s="62">
        <v>13</v>
      </c>
      <c r="AK34" s="63">
        <v>3</v>
      </c>
      <c r="AL34" s="55">
        <v>1</v>
      </c>
      <c r="AM34" s="3" t="s">
        <v>628</v>
      </c>
      <c r="AN34" s="3">
        <v>18.600000000000001</v>
      </c>
      <c r="AO34" s="3">
        <v>25.2</v>
      </c>
      <c r="AP34" s="3">
        <v>7.8</v>
      </c>
      <c r="AQ34" s="3">
        <v>0.71</v>
      </c>
      <c r="AR34" s="55">
        <v>43.8</v>
      </c>
      <c r="AS34" s="68">
        <f>$AR$30*POWER(AQ34, $AT$30)+$AR$31*POWER(AP34, $AT$31)</f>
        <v>0.93707892870195875</v>
      </c>
      <c r="AV34" s="2"/>
      <c r="AW34" s="64"/>
      <c r="AX34" s="63"/>
      <c r="AY34" s="62"/>
      <c r="BF34" s="63">
        <v>16</v>
      </c>
      <c r="BG34" s="63">
        <v>4</v>
      </c>
      <c r="BH34" s="55">
        <v>1</v>
      </c>
      <c r="BI34" s="69">
        <v>0.62</v>
      </c>
      <c r="BJ34" s="3">
        <v>14.62</v>
      </c>
      <c r="BK34" s="3">
        <v>12.62</v>
      </c>
      <c r="BL34" s="3">
        <v>8.25</v>
      </c>
      <c r="BM34" s="3">
        <v>0.78</v>
      </c>
      <c r="BN34" s="3">
        <f t="shared" ref="BN34:BN44" si="0">BJ34+BK34</f>
        <v>27.24</v>
      </c>
      <c r="BO34" s="68">
        <f t="shared" ref="BO34:BO44" si="1">BM34/BL34</f>
        <v>9.4545454545454544E-2</v>
      </c>
      <c r="BT34" s="2" t="s">
        <v>13</v>
      </c>
      <c r="BU34" s="64">
        <v>30</v>
      </c>
      <c r="BV34" s="63">
        <v>3</v>
      </c>
      <c r="BW34" s="55">
        <v>1</v>
      </c>
      <c r="BX34" s="83">
        <v>13</v>
      </c>
      <c r="BY34" s="3">
        <v>1.6</v>
      </c>
      <c r="BZ34" s="3">
        <v>13</v>
      </c>
      <c r="CA34" s="3">
        <v>17.5</v>
      </c>
      <c r="CB34" s="3">
        <v>21.4</v>
      </c>
      <c r="CC34" s="3">
        <v>7.1</v>
      </c>
      <c r="CD34" s="3">
        <v>0.74</v>
      </c>
      <c r="CG34" s="2"/>
      <c r="CJ34" s="2"/>
      <c r="CK34" s="2"/>
    </row>
    <row r="35" spans="1:95" s="2" customFormat="1" x14ac:dyDescent="0.3">
      <c r="M35" s="16"/>
      <c r="N35" s="16"/>
      <c r="O35" s="4"/>
      <c r="S35" s="16"/>
      <c r="T35" s="16"/>
      <c r="U35" s="16"/>
      <c r="W35" s="16"/>
      <c r="X35" s="16"/>
      <c r="Z35" s="64"/>
      <c r="AA35" s="63"/>
      <c r="AB35" s="55"/>
      <c r="AC35" s="3"/>
      <c r="AD35" s="3"/>
      <c r="AE35" s="3"/>
      <c r="AF35" s="3"/>
      <c r="AG35" s="3"/>
      <c r="AH35" s="3"/>
      <c r="AJ35" s="63">
        <v>16</v>
      </c>
      <c r="AK35" s="63">
        <v>4</v>
      </c>
      <c r="AL35" s="55">
        <v>1</v>
      </c>
      <c r="AM35" s="3" t="s">
        <v>629</v>
      </c>
      <c r="AN35" s="3">
        <v>17</v>
      </c>
      <c r="AO35" s="3">
        <v>13.6</v>
      </c>
      <c r="AP35" s="3">
        <v>9.6</v>
      </c>
      <c r="AQ35" s="3">
        <v>0.81</v>
      </c>
      <c r="AR35" s="55">
        <v>30.6</v>
      </c>
      <c r="AS35" s="68">
        <f>$AR$30*POWER(AQ35, $AT$30)+$AR$31*POWER(AP35, $AT$31)</f>
        <v>0.97836229390608476</v>
      </c>
      <c r="AW35" s="64"/>
      <c r="AX35" s="63"/>
      <c r="AY35" s="62"/>
      <c r="AZ35" s="3"/>
      <c r="BA35" s="3"/>
      <c r="BB35" s="3"/>
      <c r="BC35" s="3"/>
      <c r="BD35" s="3"/>
      <c r="BE35" s="3"/>
      <c r="BF35" s="63">
        <v>17</v>
      </c>
      <c r="BG35" s="63">
        <v>1</v>
      </c>
      <c r="BH35" s="55">
        <v>0</v>
      </c>
      <c r="BI35" s="69">
        <v>1.88</v>
      </c>
      <c r="BJ35" s="3">
        <v>18.38</v>
      </c>
      <c r="BK35" s="3">
        <v>16.5</v>
      </c>
      <c r="BL35" s="3">
        <v>11.75</v>
      </c>
      <c r="BM35" s="3">
        <v>0.73</v>
      </c>
      <c r="BN35" s="3">
        <f t="shared" si="0"/>
        <v>34.879999999999995</v>
      </c>
      <c r="BO35" s="68">
        <f t="shared" si="1"/>
        <v>6.2127659574468086E-2</v>
      </c>
      <c r="BT35" s="2" t="s">
        <v>16</v>
      </c>
      <c r="BU35" s="3" t="s">
        <v>615</v>
      </c>
      <c r="BV35" s="3" t="s">
        <v>615</v>
      </c>
      <c r="BW35" s="2" t="s">
        <v>615</v>
      </c>
      <c r="BX35" s="66">
        <v>11</v>
      </c>
      <c r="BY35" s="3">
        <v>1</v>
      </c>
      <c r="BZ35" s="3">
        <v>6</v>
      </c>
      <c r="CA35" s="3">
        <v>21.5</v>
      </c>
      <c r="CB35" s="3">
        <v>17.5</v>
      </c>
      <c r="CC35" s="3">
        <v>10</v>
      </c>
      <c r="CD35" s="3">
        <v>0.71</v>
      </c>
      <c r="CG35" s="3"/>
      <c r="CH35" s="3"/>
      <c r="CI35" s="63"/>
      <c r="CJ35" s="63"/>
      <c r="CK35" s="63"/>
      <c r="CL35" s="3"/>
      <c r="CM35" s="3"/>
      <c r="CN35" s="3"/>
      <c r="CO35" s="3"/>
      <c r="CP35" s="3"/>
      <c r="CQ35" s="3"/>
    </row>
    <row r="36" spans="1:95" s="2" customFormat="1" x14ac:dyDescent="0.3">
      <c r="A36" s="2" t="s">
        <v>691</v>
      </c>
      <c r="F36" s="2" t="s">
        <v>22</v>
      </c>
      <c r="P36" s="4"/>
      <c r="R36" s="16"/>
      <c r="S36" s="18"/>
      <c r="T36" s="18"/>
      <c r="U36" s="18"/>
      <c r="Y36" s="3"/>
      <c r="Z36" s="64"/>
      <c r="AA36" s="63"/>
      <c r="AB36" s="55"/>
      <c r="AC36" s="3"/>
      <c r="AD36" s="3"/>
      <c r="AE36" s="3"/>
      <c r="AF36" s="3"/>
      <c r="AG36" s="3"/>
      <c r="AH36" s="3"/>
      <c r="AJ36" s="63">
        <v>17</v>
      </c>
      <c r="AK36" s="63">
        <v>1</v>
      </c>
      <c r="AL36" s="55">
        <v>0</v>
      </c>
      <c r="AM36" s="3" t="s">
        <v>629</v>
      </c>
      <c r="AN36" s="3">
        <v>18.600000000000001</v>
      </c>
      <c r="AO36" s="3">
        <v>15.8</v>
      </c>
      <c r="AP36" s="3">
        <v>11.6</v>
      </c>
      <c r="AQ36" s="3">
        <v>0.71</v>
      </c>
      <c r="AR36" s="55">
        <v>34.400000000000006</v>
      </c>
      <c r="AS36" s="68">
        <f>$AR$30*POWER(AQ36, $AT$30)+$AR$31*POWER(AP36, $AT$31)</f>
        <v>0.90870548075568025</v>
      </c>
      <c r="AW36" s="64"/>
      <c r="AX36" s="63"/>
      <c r="AY36" s="62"/>
      <c r="AZ36" s="3"/>
      <c r="BA36" s="3"/>
      <c r="BB36" s="55"/>
      <c r="BC36" s="55"/>
      <c r="BD36" s="55"/>
      <c r="BE36" s="55"/>
      <c r="BF36" s="63">
        <v>29</v>
      </c>
      <c r="BG36" s="63">
        <v>8</v>
      </c>
      <c r="BH36" s="62">
        <v>3</v>
      </c>
      <c r="BI36" s="69">
        <v>0.5</v>
      </c>
      <c r="BJ36" s="3">
        <v>19</v>
      </c>
      <c r="BK36" s="3">
        <v>18.329999999999998</v>
      </c>
      <c r="BL36" s="3">
        <v>7.67</v>
      </c>
      <c r="BM36" s="3">
        <v>0.66</v>
      </c>
      <c r="BN36" s="3">
        <f t="shared" si="0"/>
        <v>37.33</v>
      </c>
      <c r="BO36" s="68">
        <f t="shared" si="1"/>
        <v>8.604954367666233E-2</v>
      </c>
      <c r="BT36" s="3" t="s">
        <v>8</v>
      </c>
      <c r="BU36" s="64">
        <v>30</v>
      </c>
      <c r="BV36" s="63">
        <v>4</v>
      </c>
      <c r="BW36" s="55">
        <v>1</v>
      </c>
      <c r="BX36" s="83">
        <v>16</v>
      </c>
      <c r="BY36" s="3">
        <v>0.9</v>
      </c>
      <c r="BZ36" s="3">
        <v>7.7</v>
      </c>
      <c r="CA36" s="3">
        <v>13.4</v>
      </c>
      <c r="CB36" s="3">
        <v>11.7</v>
      </c>
      <c r="CC36" s="3">
        <v>7.5</v>
      </c>
      <c r="CD36" s="3">
        <v>0.76</v>
      </c>
      <c r="CH36" s="3"/>
      <c r="CI36" s="3"/>
      <c r="CK36" s="63"/>
      <c r="CL36" s="3"/>
      <c r="CM36" s="3"/>
      <c r="CN36" s="3"/>
      <c r="CO36" s="3"/>
      <c r="CP36" s="3"/>
      <c r="CQ36" s="3"/>
    </row>
    <row r="37" spans="1:95" s="2" customFormat="1" x14ac:dyDescent="0.3">
      <c r="A37" s="70" t="s">
        <v>660</v>
      </c>
      <c r="B37" s="71" t="s">
        <v>658</v>
      </c>
      <c r="C37" s="71" t="s">
        <v>659</v>
      </c>
      <c r="D37" s="71" t="s">
        <v>661</v>
      </c>
      <c r="E37" s="86" t="s">
        <v>662</v>
      </c>
      <c r="F37" s="70" t="s">
        <v>660</v>
      </c>
      <c r="G37" s="71" t="s">
        <v>694</v>
      </c>
      <c r="H37" s="71" t="s">
        <v>658</v>
      </c>
      <c r="I37" s="71" t="s">
        <v>659</v>
      </c>
      <c r="J37" s="71" t="s">
        <v>661</v>
      </c>
      <c r="K37" s="71" t="s">
        <v>662</v>
      </c>
      <c r="L37" s="67"/>
      <c r="W37" s="4"/>
      <c r="AA37" s="64"/>
      <c r="AB37" s="63"/>
      <c r="AC37" s="55"/>
      <c r="AD37" s="3"/>
      <c r="AE37" s="3"/>
      <c r="AF37" s="3"/>
      <c r="AG37" s="3"/>
      <c r="AH37" s="3"/>
      <c r="AI37" s="3"/>
      <c r="AJ37" s="63">
        <v>29</v>
      </c>
      <c r="AK37" s="63">
        <v>8</v>
      </c>
      <c r="AL37" s="62">
        <v>3</v>
      </c>
      <c r="AM37" s="3" t="s">
        <v>629</v>
      </c>
      <c r="AN37" s="3">
        <v>19.600000000000001</v>
      </c>
      <c r="AO37" s="3">
        <v>18.2</v>
      </c>
      <c r="AP37" s="3">
        <v>6.4</v>
      </c>
      <c r="AQ37" s="3">
        <v>0.63</v>
      </c>
      <c r="AR37" s="55">
        <v>37.799999999999997</v>
      </c>
      <c r="AS37" s="68">
        <f t="shared" ref="AS37:AS43" si="2">$AR$30*POWER(AQ37, $AT$30)+$AR$31*POWER(AP37, $AT$31)</f>
        <v>0.9065981868773666</v>
      </c>
      <c r="AW37" s="64"/>
      <c r="AX37" s="63"/>
      <c r="AY37" s="62"/>
      <c r="AZ37" s="55"/>
      <c r="BA37" s="55"/>
      <c r="BB37" s="3"/>
      <c r="BD37" s="55"/>
      <c r="BE37" s="55"/>
      <c r="BF37" s="63">
        <v>14</v>
      </c>
      <c r="BG37" s="63">
        <v>6</v>
      </c>
      <c r="BH37" s="62">
        <v>2</v>
      </c>
      <c r="BI37" s="69">
        <v>1.1200000000000001</v>
      </c>
      <c r="BJ37" s="3">
        <v>21.5</v>
      </c>
      <c r="BK37" s="3">
        <v>16.5</v>
      </c>
      <c r="BL37" s="3">
        <v>10.62</v>
      </c>
      <c r="BM37" s="3">
        <v>0.76</v>
      </c>
      <c r="BN37" s="3">
        <f t="shared" si="0"/>
        <v>38</v>
      </c>
      <c r="BO37" s="68">
        <f t="shared" si="1"/>
        <v>7.1563088512241066E-2</v>
      </c>
      <c r="BT37" s="3" t="s">
        <v>23</v>
      </c>
      <c r="BU37" s="3" t="s">
        <v>615</v>
      </c>
      <c r="BV37" s="63" t="s">
        <v>615</v>
      </c>
      <c r="BW37" s="63" t="s">
        <v>615</v>
      </c>
      <c r="BX37" s="83">
        <v>13</v>
      </c>
      <c r="BY37" s="3">
        <v>1.2</v>
      </c>
      <c r="BZ37" s="3">
        <v>8.4</v>
      </c>
      <c r="CA37" s="3">
        <v>18.100000000000001</v>
      </c>
      <c r="CB37" s="3">
        <v>20.9</v>
      </c>
      <c r="CC37" s="3">
        <v>7.5</v>
      </c>
      <c r="CD37" s="3">
        <v>0.65</v>
      </c>
      <c r="CH37" s="3"/>
      <c r="CI37" s="3"/>
      <c r="CK37" s="63"/>
      <c r="CL37" s="3"/>
      <c r="CM37" s="3"/>
      <c r="CN37" s="55"/>
      <c r="CO37" s="55"/>
      <c r="CP37" s="55"/>
      <c r="CQ37" s="55"/>
    </row>
    <row r="38" spans="1:95" s="2" customFormat="1" x14ac:dyDescent="0.3">
      <c r="A38" s="67">
        <v>5</v>
      </c>
      <c r="B38" s="2">
        <v>-0.1766648249237967</v>
      </c>
      <c r="C38" s="2">
        <v>-0.41554428654995429</v>
      </c>
      <c r="D38" s="2">
        <v>0.12584051354276934</v>
      </c>
      <c r="E38" s="66">
        <v>-0.49921089315680062</v>
      </c>
      <c r="F38" s="67">
        <v>5</v>
      </c>
      <c r="H38" s="74">
        <v>-0.11231461802569662</v>
      </c>
      <c r="I38" s="74">
        <v>-3.722651370250931E-2</v>
      </c>
      <c r="J38" s="74">
        <v>1.7470628583424925E-2</v>
      </c>
      <c r="K38" s="74">
        <v>-0.58890163678585028</v>
      </c>
      <c r="L38" s="67"/>
      <c r="N38" s="17"/>
      <c r="O38" s="17"/>
      <c r="P38" s="4"/>
      <c r="Q38" s="18"/>
      <c r="R38" s="18"/>
      <c r="T38" s="17"/>
      <c r="U38" s="17"/>
      <c r="V38" s="17"/>
      <c r="X38" s="19"/>
      <c r="Y38" s="19"/>
      <c r="AA38" s="64"/>
      <c r="AB38" s="63"/>
      <c r="AC38" s="62"/>
      <c r="AD38" s="3"/>
      <c r="AE38" s="3"/>
      <c r="AF38" s="3"/>
      <c r="AG38" s="3"/>
      <c r="AH38" s="3"/>
      <c r="AI38" s="3"/>
      <c r="AJ38" s="63">
        <v>14</v>
      </c>
      <c r="AK38" s="63">
        <v>6</v>
      </c>
      <c r="AL38" s="62">
        <v>2</v>
      </c>
      <c r="AM38" s="3" t="s">
        <v>629</v>
      </c>
      <c r="AN38" s="3">
        <v>19.399999999999999</v>
      </c>
      <c r="AO38" s="3">
        <v>17.399999999999999</v>
      </c>
      <c r="AP38" s="3">
        <v>9.4</v>
      </c>
      <c r="AQ38" s="3">
        <v>0.75</v>
      </c>
      <c r="AR38" s="55">
        <v>36.799999999999997</v>
      </c>
      <c r="AS38" s="68">
        <f t="shared" si="2"/>
        <v>0.94588666823641288</v>
      </c>
      <c r="AW38" s="64"/>
      <c r="AX38" s="63"/>
      <c r="AY38" s="62"/>
      <c r="AZ38" s="55"/>
      <c r="BA38" s="55"/>
      <c r="BB38" s="3"/>
      <c r="BC38" s="3"/>
      <c r="BD38" s="55"/>
      <c r="BE38" s="55"/>
      <c r="BF38" s="63">
        <v>19</v>
      </c>
      <c r="BG38" s="63">
        <v>12</v>
      </c>
      <c r="BH38" s="62">
        <v>3</v>
      </c>
      <c r="BI38" s="69">
        <v>2</v>
      </c>
      <c r="BJ38" s="3">
        <v>20.88</v>
      </c>
      <c r="BK38" s="3">
        <v>20</v>
      </c>
      <c r="BL38" s="3">
        <v>11.38</v>
      </c>
      <c r="BM38" s="3">
        <v>0.71</v>
      </c>
      <c r="BN38" s="3">
        <f t="shared" si="0"/>
        <v>40.879999999999995</v>
      </c>
      <c r="BO38" s="68">
        <f t="shared" si="1"/>
        <v>6.239015817223198E-2</v>
      </c>
      <c r="BT38" s="2" t="s">
        <v>20</v>
      </c>
      <c r="BU38" s="64">
        <v>30</v>
      </c>
      <c r="BV38" s="63">
        <v>1</v>
      </c>
      <c r="BW38" s="55">
        <v>0</v>
      </c>
      <c r="BX38" s="83">
        <v>17</v>
      </c>
      <c r="BY38" s="3">
        <v>2</v>
      </c>
      <c r="BZ38" s="3">
        <v>8.4</v>
      </c>
      <c r="CA38" s="3">
        <v>19.399999999999999</v>
      </c>
      <c r="CB38" s="3">
        <v>16.2</v>
      </c>
      <c r="CC38" s="3">
        <v>11.7</v>
      </c>
      <c r="CD38" s="3">
        <v>0.74</v>
      </c>
      <c r="CH38" s="3"/>
      <c r="CI38" s="3"/>
      <c r="CJ38" s="3"/>
      <c r="CK38" s="63"/>
      <c r="CL38" s="55"/>
      <c r="CM38" s="55"/>
      <c r="CN38" s="55"/>
      <c r="CO38" s="55"/>
      <c r="CP38" s="55"/>
      <c r="CQ38" s="55"/>
    </row>
    <row r="39" spans="1:95" s="2" customFormat="1" x14ac:dyDescent="0.3">
      <c r="A39" s="67">
        <v>8</v>
      </c>
      <c r="B39" s="2">
        <v>-0.1234336684118114</v>
      </c>
      <c r="C39" s="2">
        <v>-0.2547576469462271</v>
      </c>
      <c r="D39" s="2">
        <v>0.21911446242463459</v>
      </c>
      <c r="E39" s="66">
        <v>-0.54360501930044758</v>
      </c>
      <c r="F39" s="67">
        <v>8</v>
      </c>
      <c r="H39" s="74">
        <v>5.4114785035704015E-2</v>
      </c>
      <c r="I39" s="74">
        <v>0.11989689117411366</v>
      </c>
      <c r="J39" s="74">
        <v>0.14572216360520437</v>
      </c>
      <c r="K39" s="74">
        <v>-0.5908145147260403</v>
      </c>
      <c r="L39" s="67"/>
      <c r="N39" s="17"/>
      <c r="O39" s="17"/>
      <c r="P39" s="4"/>
      <c r="Q39" s="18"/>
      <c r="R39" s="18"/>
      <c r="T39" s="17"/>
      <c r="U39" s="17"/>
      <c r="V39" s="17"/>
      <c r="X39" s="19"/>
      <c r="Y39" s="19"/>
      <c r="AA39" s="64"/>
      <c r="AB39" s="63"/>
      <c r="AC39" s="62"/>
      <c r="AD39" s="3"/>
      <c r="AE39" s="3"/>
      <c r="AF39" s="3"/>
      <c r="AG39" s="3"/>
      <c r="AH39" s="3"/>
      <c r="AI39" s="3"/>
      <c r="AJ39" s="63">
        <v>19</v>
      </c>
      <c r="AK39" s="63">
        <v>12</v>
      </c>
      <c r="AL39" s="62">
        <v>3</v>
      </c>
      <c r="AM39" s="3" t="s">
        <v>629</v>
      </c>
      <c r="AN39" s="3">
        <v>19.399999999999999</v>
      </c>
      <c r="AO39" s="3">
        <v>18.600000000000001</v>
      </c>
      <c r="AP39" s="3">
        <v>9.4</v>
      </c>
      <c r="AQ39" s="3">
        <v>0.71</v>
      </c>
      <c r="AR39" s="55">
        <v>38</v>
      </c>
      <c r="AS39" s="68">
        <f t="shared" si="2"/>
        <v>0.92247624176961007</v>
      </c>
      <c r="AW39" s="64"/>
      <c r="AX39" s="63"/>
      <c r="AY39" s="62"/>
      <c r="AZ39" s="5"/>
      <c r="BA39" s="5"/>
      <c r="BB39" s="3"/>
      <c r="BD39" s="15"/>
      <c r="BE39" s="15"/>
      <c r="BF39" s="63">
        <v>14</v>
      </c>
      <c r="BG39" s="63">
        <v>3</v>
      </c>
      <c r="BH39" s="62">
        <v>0</v>
      </c>
      <c r="BI39" s="69">
        <v>1.25</v>
      </c>
      <c r="BJ39" s="3">
        <v>22.88</v>
      </c>
      <c r="BK39" s="3">
        <v>20.12</v>
      </c>
      <c r="BL39" s="3">
        <v>10.119999999999999</v>
      </c>
      <c r="BM39" s="3">
        <v>0.72</v>
      </c>
      <c r="BN39" s="3">
        <f t="shared" si="0"/>
        <v>43</v>
      </c>
      <c r="BO39" s="68">
        <f t="shared" si="1"/>
        <v>7.1146245059288543E-2</v>
      </c>
      <c r="BT39" s="2" t="s">
        <v>19</v>
      </c>
      <c r="BU39" s="64">
        <v>30</v>
      </c>
      <c r="BV39" s="63">
        <v>8</v>
      </c>
      <c r="BW39" s="62">
        <v>3</v>
      </c>
      <c r="BX39" s="83">
        <v>29</v>
      </c>
      <c r="BY39" s="3">
        <v>1.5</v>
      </c>
      <c r="BZ39" s="3">
        <v>7.5</v>
      </c>
      <c r="CA39" s="3">
        <v>19</v>
      </c>
      <c r="CB39" s="3">
        <v>18.329999999999998</v>
      </c>
      <c r="CC39" s="3">
        <v>7.67</v>
      </c>
      <c r="CD39" s="3">
        <v>0.66</v>
      </c>
      <c r="CH39" s="3"/>
      <c r="CI39" s="3"/>
      <c r="CJ39" s="3"/>
      <c r="CK39" s="63"/>
      <c r="CL39" s="55"/>
      <c r="CM39" s="55"/>
      <c r="CN39" s="55"/>
      <c r="CO39" s="55"/>
      <c r="CP39" s="55"/>
      <c r="CQ39" s="55"/>
    </row>
    <row r="40" spans="1:95" s="2" customFormat="1" x14ac:dyDescent="0.3">
      <c r="A40" s="67">
        <v>10</v>
      </c>
      <c r="B40" s="2">
        <v>-9.5690927635476361E-2</v>
      </c>
      <c r="C40" s="2">
        <v>-0.25413565519233805</v>
      </c>
      <c r="D40" s="2">
        <v>0.23280358276121529</v>
      </c>
      <c r="E40" s="66">
        <v>-0.55850692045428985</v>
      </c>
      <c r="F40" s="67">
        <v>10</v>
      </c>
      <c r="H40" s="2">
        <v>0.14713704281164738</v>
      </c>
      <c r="I40" s="2">
        <v>0.1916893410533054</v>
      </c>
      <c r="J40" s="2">
        <v>0.22493523575940513</v>
      </c>
      <c r="K40" s="2">
        <v>-0.55565438800624967</v>
      </c>
      <c r="L40" s="67"/>
      <c r="N40" s="17"/>
      <c r="O40" s="17"/>
      <c r="P40" s="4"/>
      <c r="Q40" s="18"/>
      <c r="R40" s="18"/>
      <c r="T40" s="17"/>
      <c r="U40" s="17"/>
      <c r="V40" s="17"/>
      <c r="X40" s="19"/>
      <c r="Y40" s="19"/>
      <c r="AA40" s="64"/>
      <c r="AB40" s="63"/>
      <c r="AC40" s="62"/>
      <c r="AD40" s="3"/>
      <c r="AE40" s="3"/>
      <c r="AF40" s="3"/>
      <c r="AG40" s="3"/>
      <c r="AH40" s="3"/>
      <c r="AI40" s="3"/>
      <c r="AJ40" s="63">
        <v>14</v>
      </c>
      <c r="AK40" s="63">
        <v>3</v>
      </c>
      <c r="AL40" s="62">
        <v>0</v>
      </c>
      <c r="AM40" s="3" t="s">
        <v>629</v>
      </c>
      <c r="AN40" s="3">
        <v>22.4</v>
      </c>
      <c r="AO40" s="3">
        <v>20.2</v>
      </c>
      <c r="AP40" s="3">
        <v>9.6</v>
      </c>
      <c r="AQ40" s="3">
        <v>0.67</v>
      </c>
      <c r="AR40" s="55">
        <v>42.599999999999994</v>
      </c>
      <c r="AS40" s="68">
        <f t="shared" si="2"/>
        <v>0.89689757109332979</v>
      </c>
      <c r="AV40" s="64"/>
      <c r="AW40" s="63"/>
      <c r="AX40" s="55"/>
      <c r="AY40" s="3"/>
      <c r="AZ40" s="3"/>
      <c r="BA40" s="3"/>
      <c r="BB40" s="3"/>
      <c r="BC40" s="3"/>
      <c r="BD40" s="3"/>
      <c r="BF40" s="63">
        <v>11</v>
      </c>
      <c r="BG40" s="63">
        <v>2</v>
      </c>
      <c r="BH40" s="62">
        <v>1</v>
      </c>
      <c r="BI40" s="69">
        <v>1.38</v>
      </c>
      <c r="BJ40" s="3">
        <v>20.25</v>
      </c>
      <c r="BK40" s="3">
        <v>18</v>
      </c>
      <c r="BL40" s="3">
        <v>9.25</v>
      </c>
      <c r="BM40" s="3">
        <v>0.67</v>
      </c>
      <c r="BN40" s="3">
        <f t="shared" si="0"/>
        <v>38.25</v>
      </c>
      <c r="BO40" s="68">
        <f t="shared" si="1"/>
        <v>7.2432432432432442E-2</v>
      </c>
      <c r="BT40" s="2" t="s">
        <v>634</v>
      </c>
      <c r="BU40" s="3" t="s">
        <v>615</v>
      </c>
      <c r="BV40" s="3" t="s">
        <v>615</v>
      </c>
      <c r="BW40" s="2" t="s">
        <v>615</v>
      </c>
      <c r="BX40" s="83">
        <v>20</v>
      </c>
      <c r="BY40" s="3">
        <v>1.6</v>
      </c>
      <c r="BZ40" s="3">
        <v>10.3</v>
      </c>
      <c r="CA40" s="3">
        <v>19.100000000000001</v>
      </c>
      <c r="CB40" s="3">
        <v>15.3</v>
      </c>
      <c r="CC40" s="3">
        <v>7.7</v>
      </c>
      <c r="CD40" s="3">
        <v>0.73</v>
      </c>
      <c r="CG40" s="64"/>
      <c r="CH40" s="63"/>
      <c r="CI40" s="62"/>
      <c r="CJ40" s="63"/>
      <c r="CL40" s="3"/>
      <c r="CM40" s="3"/>
      <c r="CN40" s="3"/>
      <c r="CO40" s="3"/>
      <c r="CP40" s="3"/>
    </row>
    <row r="41" spans="1:95" s="2" customFormat="1" x14ac:dyDescent="0.3">
      <c r="A41" s="67">
        <v>12</v>
      </c>
      <c r="B41" s="3">
        <v>-0.20659640256044928</v>
      </c>
      <c r="C41" s="3">
        <v>-0.18895011483114896</v>
      </c>
      <c r="D41" s="3">
        <v>0.32857190905115913</v>
      </c>
      <c r="E41" s="66">
        <v>-0.58965580915878391</v>
      </c>
      <c r="F41" s="67">
        <v>12</v>
      </c>
      <c r="H41" s="3">
        <v>7.4520539227547491E-2</v>
      </c>
      <c r="I41" s="3">
        <v>0.16682876109330283</v>
      </c>
      <c r="J41" s="3">
        <v>0.21126542298919521</v>
      </c>
      <c r="K41" s="2">
        <v>-0.58208938594105397</v>
      </c>
      <c r="L41" s="67"/>
      <c r="N41" s="17"/>
      <c r="O41" s="17"/>
      <c r="P41" s="4"/>
      <c r="Q41" s="18"/>
      <c r="R41" s="18"/>
      <c r="T41" s="17"/>
      <c r="U41" s="17"/>
      <c r="V41" s="17"/>
      <c r="X41" s="19"/>
      <c r="Y41" s="19"/>
      <c r="AA41" s="64"/>
      <c r="AB41" s="63"/>
      <c r="AC41" s="62"/>
      <c r="AD41" s="3"/>
      <c r="AE41" s="3"/>
      <c r="AF41" s="3"/>
      <c r="AG41" s="3"/>
      <c r="AH41" s="3"/>
      <c r="AI41" s="3"/>
      <c r="AJ41" s="63">
        <v>11</v>
      </c>
      <c r="AK41" s="63">
        <v>2</v>
      </c>
      <c r="AL41" s="62">
        <v>1</v>
      </c>
      <c r="AM41" s="3" t="s">
        <v>629</v>
      </c>
      <c r="AN41" s="3">
        <v>20.399999999999999</v>
      </c>
      <c r="AO41" s="3">
        <v>17.8</v>
      </c>
      <c r="AP41" s="3">
        <v>9.1999999999999993</v>
      </c>
      <c r="AQ41" s="3">
        <v>0.65</v>
      </c>
      <c r="AR41" s="55">
        <v>38.200000000000003</v>
      </c>
      <c r="AS41" s="68">
        <f t="shared" si="2"/>
        <v>0.88764785729444984</v>
      </c>
      <c r="AU41" s="3"/>
      <c r="AV41" s="64"/>
      <c r="AW41" s="63"/>
      <c r="AX41" s="55"/>
      <c r="AY41" s="3"/>
      <c r="AZ41" s="3"/>
      <c r="BA41" s="3"/>
      <c r="BB41" s="3"/>
      <c r="BC41" s="3"/>
      <c r="BD41" s="3"/>
      <c r="BF41" s="63">
        <v>7</v>
      </c>
      <c r="BG41" s="63">
        <v>2</v>
      </c>
      <c r="BH41" s="62">
        <v>1</v>
      </c>
      <c r="BI41" s="69">
        <v>0.5</v>
      </c>
      <c r="BJ41" s="55">
        <v>19.75</v>
      </c>
      <c r="BK41" s="55">
        <v>10.119999999999999</v>
      </c>
      <c r="BL41" s="55">
        <v>10.5</v>
      </c>
      <c r="BM41" s="55">
        <v>0.86</v>
      </c>
      <c r="BN41" s="3">
        <f t="shared" si="0"/>
        <v>29.869999999999997</v>
      </c>
      <c r="BO41" s="68">
        <f t="shared" si="1"/>
        <v>8.1904761904761897E-2</v>
      </c>
      <c r="BT41" s="2" t="s">
        <v>17</v>
      </c>
      <c r="BU41" s="64">
        <v>30</v>
      </c>
      <c r="BV41" s="63">
        <v>6</v>
      </c>
      <c r="BW41" s="62">
        <v>2</v>
      </c>
      <c r="BX41" s="83">
        <v>14</v>
      </c>
      <c r="BY41" s="3">
        <v>1.3</v>
      </c>
      <c r="BZ41" s="3">
        <v>9.8000000000000007</v>
      </c>
      <c r="CA41" s="3">
        <v>20.5</v>
      </c>
      <c r="CB41" s="3">
        <v>15.8</v>
      </c>
      <c r="CC41" s="3">
        <v>10.3</v>
      </c>
      <c r="CD41" s="3">
        <v>0.76</v>
      </c>
      <c r="CG41" s="64"/>
      <c r="CH41" s="63"/>
      <c r="CI41" s="62"/>
      <c r="CJ41" s="63"/>
      <c r="CL41" s="3"/>
      <c r="CM41" s="55"/>
      <c r="CN41" s="55"/>
      <c r="CO41" s="55"/>
      <c r="CP41" s="55"/>
    </row>
    <row r="42" spans="1:95" s="2" customFormat="1" x14ac:dyDescent="0.3">
      <c r="A42" s="67">
        <v>15</v>
      </c>
      <c r="B42" s="2">
        <v>-9.3514305925225569E-2</v>
      </c>
      <c r="C42" s="2">
        <v>-0.15429854967271753</v>
      </c>
      <c r="D42" s="2">
        <v>0.29583001559504318</v>
      </c>
      <c r="E42" s="66">
        <v>-0.61888830240360238</v>
      </c>
      <c r="F42" s="67">
        <v>15</v>
      </c>
      <c r="H42" s="2">
        <v>-4.0514432838508282E-4</v>
      </c>
      <c r="I42" s="2">
        <v>0.15523092892951032</v>
      </c>
      <c r="J42" s="2">
        <v>0.17827241047892478</v>
      </c>
      <c r="K42" s="2">
        <v>-0.54777605242034322</v>
      </c>
      <c r="L42" s="67"/>
      <c r="N42" s="17"/>
      <c r="O42" s="17"/>
      <c r="P42" s="4"/>
      <c r="Q42" s="18"/>
      <c r="R42" s="18"/>
      <c r="T42" s="17"/>
      <c r="U42" s="17"/>
      <c r="V42" s="17"/>
      <c r="X42" s="19"/>
      <c r="Y42" s="19"/>
      <c r="AA42" s="64"/>
      <c r="AB42" s="63"/>
      <c r="AC42" s="62"/>
      <c r="AD42" s="3"/>
      <c r="AE42" s="3"/>
      <c r="AF42" s="3"/>
      <c r="AG42" s="3"/>
      <c r="AH42" s="3"/>
      <c r="AI42" s="3"/>
      <c r="AJ42" s="63">
        <v>7</v>
      </c>
      <c r="AK42" s="63">
        <v>2</v>
      </c>
      <c r="AL42" s="62">
        <v>1</v>
      </c>
      <c r="AM42" s="3" t="s">
        <v>629</v>
      </c>
      <c r="AN42" s="55">
        <v>19.8</v>
      </c>
      <c r="AO42" s="55">
        <v>10.199999999999999</v>
      </c>
      <c r="AP42" s="55">
        <v>9.4</v>
      </c>
      <c r="AQ42" s="55">
        <v>0.86</v>
      </c>
      <c r="AR42" s="55">
        <v>30</v>
      </c>
      <c r="AS42" s="68">
        <f t="shared" si="2"/>
        <v>1.0072231140015446</v>
      </c>
      <c r="AV42" s="64"/>
      <c r="AW42" s="63"/>
      <c r="AX42" s="55"/>
      <c r="AY42" s="3"/>
      <c r="AZ42" s="3"/>
      <c r="BA42" s="3"/>
      <c r="BB42" s="3"/>
      <c r="BC42" s="3"/>
      <c r="BD42" s="3"/>
      <c r="BF42" s="63">
        <v>14</v>
      </c>
      <c r="BG42" s="63">
        <v>6</v>
      </c>
      <c r="BH42" s="62">
        <v>1</v>
      </c>
      <c r="BI42" s="69">
        <v>1.62</v>
      </c>
      <c r="BJ42" s="3">
        <v>24.12</v>
      </c>
      <c r="BK42" s="2">
        <v>18.62</v>
      </c>
      <c r="BL42" s="55">
        <v>13.62</v>
      </c>
      <c r="BM42" s="55">
        <v>0.67</v>
      </c>
      <c r="BN42" s="3">
        <f t="shared" si="0"/>
        <v>42.74</v>
      </c>
      <c r="BO42" s="68">
        <f t="shared" si="1"/>
        <v>4.9192364170337746E-2</v>
      </c>
      <c r="BT42" s="2" t="s">
        <v>630</v>
      </c>
      <c r="BU42" s="64">
        <v>30</v>
      </c>
      <c r="BV42" s="63">
        <v>12</v>
      </c>
      <c r="BW42" s="62">
        <v>3</v>
      </c>
      <c r="BX42" s="83">
        <v>19</v>
      </c>
      <c r="BY42" s="3">
        <v>2</v>
      </c>
      <c r="BZ42" s="3">
        <v>8</v>
      </c>
      <c r="CA42" s="3">
        <v>20.329999999999998</v>
      </c>
      <c r="CB42" s="3">
        <v>19.440000000000001</v>
      </c>
      <c r="CC42" s="3">
        <v>11.22</v>
      </c>
      <c r="CD42" s="3">
        <v>0.72</v>
      </c>
      <c r="CG42" s="64"/>
      <c r="CH42" s="63"/>
      <c r="CI42" s="62"/>
      <c r="CJ42" s="63"/>
      <c r="CK42" s="58"/>
      <c r="CL42" s="55"/>
      <c r="CM42" s="3"/>
      <c r="CO42" s="55"/>
      <c r="CP42" s="55"/>
    </row>
    <row r="43" spans="1:95" s="2" customFormat="1" x14ac:dyDescent="0.3">
      <c r="A43" s="67">
        <v>20</v>
      </c>
      <c r="B43" s="77">
        <v>4.2575292375493061E-2</v>
      </c>
      <c r="C43" s="77">
        <v>-0.11828140345195806</v>
      </c>
      <c r="D43" s="77">
        <v>0.33932436193511822</v>
      </c>
      <c r="E43" s="79">
        <v>-0.5422678577000577</v>
      </c>
      <c r="F43" s="75">
        <v>20</v>
      </c>
      <c r="G43" s="77"/>
      <c r="H43" s="77">
        <v>-0.12237071468322099</v>
      </c>
      <c r="I43" s="77">
        <v>9.8341158731602471E-2</v>
      </c>
      <c r="J43" s="77">
        <v>0.26523418179767666</v>
      </c>
      <c r="K43" s="77">
        <v>-0.53736301077478754</v>
      </c>
      <c r="L43" s="67"/>
      <c r="N43" s="17"/>
      <c r="O43" s="17"/>
      <c r="P43" s="4"/>
      <c r="Q43" s="18"/>
      <c r="R43" s="18"/>
      <c r="T43" s="17"/>
      <c r="U43" s="17"/>
      <c r="V43" s="17"/>
      <c r="AA43" s="64"/>
      <c r="AB43" s="63"/>
      <c r="AC43" s="62"/>
      <c r="AD43" s="3"/>
      <c r="AE43" s="3"/>
      <c r="AF43" s="55"/>
      <c r="AG43" s="55"/>
      <c r="AH43" s="55"/>
      <c r="AI43" s="55"/>
      <c r="AJ43" s="63">
        <v>14</v>
      </c>
      <c r="AK43" s="63">
        <v>6</v>
      </c>
      <c r="AL43" s="62">
        <v>1</v>
      </c>
      <c r="AM43" s="3" t="s">
        <v>629</v>
      </c>
      <c r="AN43" s="3">
        <v>25.2</v>
      </c>
      <c r="AO43" s="2">
        <v>16.600000000000001</v>
      </c>
      <c r="AP43" s="55">
        <v>13.4</v>
      </c>
      <c r="AQ43" s="55">
        <v>0.65</v>
      </c>
      <c r="AR43" s="55">
        <v>41.8</v>
      </c>
      <c r="AS43" s="68">
        <f t="shared" si="2"/>
        <v>0.86426972115810918</v>
      </c>
      <c r="AV43" s="64"/>
      <c r="AW43" s="63"/>
      <c r="AX43" s="62"/>
      <c r="AY43" s="3"/>
      <c r="AZ43" s="3"/>
      <c r="BA43" s="3"/>
      <c r="BB43" s="3"/>
      <c r="BC43" s="3"/>
      <c r="BD43" s="3"/>
      <c r="BF43" s="63">
        <v>13</v>
      </c>
      <c r="BG43" s="63">
        <v>6</v>
      </c>
      <c r="BH43" s="62">
        <v>2</v>
      </c>
      <c r="BI43" s="69">
        <v>1.75</v>
      </c>
      <c r="BJ43" s="3">
        <v>16.12</v>
      </c>
      <c r="BK43" s="3">
        <v>19.75</v>
      </c>
      <c r="BL43" s="55">
        <v>8.25</v>
      </c>
      <c r="BM43" s="55">
        <v>0.72</v>
      </c>
      <c r="BN43" s="3">
        <f t="shared" si="0"/>
        <v>35.870000000000005</v>
      </c>
      <c r="BO43" s="68">
        <f t="shared" si="1"/>
        <v>8.7272727272727266E-2</v>
      </c>
      <c r="BT43" s="2" t="s">
        <v>7</v>
      </c>
      <c r="BU43" s="64">
        <v>30</v>
      </c>
      <c r="BV43" s="63">
        <v>3</v>
      </c>
      <c r="BW43" s="62">
        <v>0</v>
      </c>
      <c r="BX43" s="83">
        <v>14</v>
      </c>
      <c r="BY43" s="3">
        <v>1.1000000000000001</v>
      </c>
      <c r="BZ43" s="3">
        <v>9.4</v>
      </c>
      <c r="CA43" s="3">
        <v>22.5</v>
      </c>
      <c r="CB43" s="3">
        <v>21</v>
      </c>
      <c r="CC43" s="3">
        <v>9.6999999999999993</v>
      </c>
      <c r="CD43" s="3">
        <v>0.71</v>
      </c>
      <c r="CG43" s="64"/>
      <c r="CH43" s="63"/>
      <c r="CI43" s="62"/>
      <c r="CJ43" s="63"/>
      <c r="CK43" s="58"/>
      <c r="CL43" s="55"/>
      <c r="CM43" s="3"/>
      <c r="CN43" s="3"/>
      <c r="CO43" s="55"/>
      <c r="CP43" s="55"/>
    </row>
    <row r="44" spans="1:95" s="2" customFormat="1" x14ac:dyDescent="0.3">
      <c r="A44" s="70"/>
      <c r="M44" s="17"/>
      <c r="N44" s="17"/>
      <c r="O44" s="4"/>
      <c r="P44" s="18"/>
      <c r="Q44" s="18"/>
      <c r="S44" s="17"/>
      <c r="T44" s="17"/>
      <c r="U44" s="17"/>
      <c r="Z44" s="64"/>
      <c r="AA44" s="63"/>
      <c r="AB44" s="62"/>
      <c r="AC44" s="55"/>
      <c r="AD44" s="55"/>
      <c r="AE44" s="3"/>
      <c r="AG44" s="55"/>
      <c r="AH44" s="55"/>
      <c r="AJ44" s="63">
        <v>13</v>
      </c>
      <c r="AK44" s="63">
        <v>6</v>
      </c>
      <c r="AL44" s="62">
        <v>2</v>
      </c>
      <c r="AM44" s="3" t="s">
        <v>629</v>
      </c>
      <c r="AN44" s="3">
        <v>15.8</v>
      </c>
      <c r="AO44" s="3">
        <v>19</v>
      </c>
      <c r="AP44" s="55">
        <v>7.8</v>
      </c>
      <c r="AQ44" s="55">
        <v>0.7</v>
      </c>
      <c r="AR44" s="55">
        <v>34.799999999999997</v>
      </c>
      <c r="AS44" s="68">
        <f>$AR$30*POWER(AQ44, $AT$30)+$AR$31*POWER(AP44, $AT$31)</f>
        <v>0.93112397791839852</v>
      </c>
      <c r="AV44" s="64"/>
      <c r="AW44" s="63"/>
      <c r="AX44" s="62"/>
      <c r="AY44" s="3"/>
      <c r="AZ44" s="3"/>
      <c r="BA44" s="3"/>
      <c r="BB44" s="3"/>
      <c r="BC44" s="3"/>
      <c r="BD44" s="3"/>
      <c r="BF44" s="63">
        <v>10</v>
      </c>
      <c r="BG44" s="63">
        <v>5</v>
      </c>
      <c r="BH44" s="62">
        <v>2</v>
      </c>
      <c r="BI44" s="69">
        <v>0.75</v>
      </c>
      <c r="BJ44" s="3">
        <v>21.12</v>
      </c>
      <c r="BK44" s="2">
        <v>19.62</v>
      </c>
      <c r="BL44" s="15">
        <v>11.62</v>
      </c>
      <c r="BM44" s="15">
        <v>0.74</v>
      </c>
      <c r="BN44" s="3">
        <f t="shared" si="0"/>
        <v>40.74</v>
      </c>
      <c r="BO44" s="68">
        <f t="shared" si="1"/>
        <v>6.3683304647160072E-2</v>
      </c>
      <c r="BT44" s="2" t="s">
        <v>631</v>
      </c>
      <c r="BU44" s="64">
        <v>30</v>
      </c>
      <c r="BV44" s="63">
        <v>2</v>
      </c>
      <c r="BW44" s="62">
        <v>1</v>
      </c>
      <c r="BX44" s="83">
        <v>11</v>
      </c>
      <c r="BY44" s="3">
        <v>1.8</v>
      </c>
      <c r="BZ44" s="3">
        <v>8.8000000000000007</v>
      </c>
      <c r="CA44" s="3">
        <v>19.399999999999999</v>
      </c>
      <c r="CB44" s="3">
        <v>17.7</v>
      </c>
      <c r="CC44" s="3">
        <v>8.4</v>
      </c>
      <c r="CD44" s="3">
        <v>0.67</v>
      </c>
      <c r="CG44" s="64"/>
      <c r="CH44" s="63"/>
      <c r="CI44" s="62"/>
      <c r="CJ44" s="63"/>
      <c r="CK44" s="18"/>
      <c r="CL44" s="5"/>
      <c r="CM44" s="3"/>
      <c r="CO44" s="15"/>
      <c r="CP44" s="15"/>
    </row>
    <row r="45" spans="1:95" s="2" customFormat="1" x14ac:dyDescent="0.3">
      <c r="M45" s="17"/>
      <c r="N45" s="17"/>
      <c r="O45" s="4"/>
      <c r="P45" s="18"/>
      <c r="Q45" s="18"/>
      <c r="S45" s="17"/>
      <c r="T45" s="17"/>
      <c r="U45" s="17"/>
      <c r="Z45" s="64"/>
      <c r="AA45" s="63"/>
      <c r="AB45" s="62"/>
      <c r="AC45" s="55"/>
      <c r="AD45" s="55"/>
      <c r="AE45" s="3"/>
      <c r="AF45" s="3"/>
      <c r="AG45" s="55"/>
      <c r="AH45" s="55"/>
      <c r="AJ45" s="63">
        <v>10</v>
      </c>
      <c r="AK45" s="63">
        <v>5</v>
      </c>
      <c r="AL45" s="62">
        <v>2</v>
      </c>
      <c r="AM45" s="3" t="s">
        <v>628</v>
      </c>
      <c r="AN45" s="3">
        <v>23.8</v>
      </c>
      <c r="AO45" s="2">
        <v>20.8</v>
      </c>
      <c r="AP45" s="15">
        <v>13.4</v>
      </c>
      <c r="AQ45" s="15">
        <v>0.74</v>
      </c>
      <c r="AR45" s="55">
        <v>44.6</v>
      </c>
      <c r="AS45" s="68">
        <f>$AR$30*POWER(AQ45, $AT$30)+$AR$31*POWER(AP45, $AT$31)</f>
        <v>0.9182764730325168</v>
      </c>
      <c r="AV45" s="64"/>
      <c r="AW45" s="63"/>
      <c r="AX45" s="62"/>
      <c r="AY45" s="3"/>
      <c r="AZ45" s="3"/>
      <c r="BA45" s="3"/>
      <c r="BB45" s="3"/>
      <c r="BC45" s="3"/>
      <c r="BD45" s="3"/>
      <c r="BT45" s="2" t="s">
        <v>633</v>
      </c>
      <c r="BU45" s="3" t="s">
        <v>615</v>
      </c>
      <c r="BV45" s="3" t="s">
        <v>615</v>
      </c>
      <c r="BW45" s="2" t="s">
        <v>615</v>
      </c>
      <c r="BX45" s="83">
        <v>16</v>
      </c>
      <c r="BY45" s="3">
        <v>1</v>
      </c>
      <c r="BZ45" s="3">
        <v>9.6</v>
      </c>
      <c r="CA45" s="55">
        <v>20.7</v>
      </c>
      <c r="CB45" s="55">
        <v>21.4</v>
      </c>
      <c r="CC45" s="55">
        <v>12.3</v>
      </c>
      <c r="CD45" s="55">
        <v>0.68</v>
      </c>
      <c r="CN45" s="55"/>
    </row>
    <row r="46" spans="1:95" x14ac:dyDescent="0.3">
      <c r="A46" s="2"/>
      <c r="B46" s="2"/>
      <c r="C46" s="17"/>
      <c r="D46" s="17"/>
      <c r="E46" s="4"/>
      <c r="J46" s="3" t="s">
        <v>692</v>
      </c>
      <c r="L46" s="2" t="s">
        <v>666</v>
      </c>
      <c r="M46" s="2" t="s">
        <v>113</v>
      </c>
      <c r="N46" s="2" t="s">
        <v>46</v>
      </c>
      <c r="O46" s="2" t="s">
        <v>57</v>
      </c>
      <c r="P46" s="2" t="s">
        <v>60</v>
      </c>
      <c r="Q46" s="2" t="s">
        <v>28</v>
      </c>
      <c r="R46" s="5"/>
      <c r="S46" s="6"/>
      <c r="T46" s="6"/>
      <c r="U46" s="7"/>
      <c r="W46" s="6"/>
      <c r="Y46" s="2"/>
      <c r="Z46" s="64"/>
      <c r="AA46" s="63"/>
      <c r="AB46" s="62"/>
      <c r="AC46" s="5"/>
      <c r="AD46" s="5"/>
      <c r="AF46" s="2"/>
      <c r="AG46" s="15"/>
      <c r="AH46" s="15"/>
      <c r="AK46" s="2"/>
      <c r="AL46" s="63"/>
      <c r="AM46" s="62"/>
      <c r="AN46" s="55"/>
      <c r="AO46" s="55"/>
      <c r="AP46" s="55"/>
      <c r="AQ46" s="57"/>
      <c r="AR46" s="55"/>
      <c r="AS46" s="9"/>
      <c r="AU46" s="2"/>
      <c r="AV46" s="64"/>
      <c r="AW46" s="63"/>
      <c r="AX46" s="62"/>
      <c r="BF46" s="3" t="s">
        <v>657</v>
      </c>
      <c r="BT46" s="2" t="s">
        <v>5</v>
      </c>
      <c r="BU46" s="64">
        <v>30</v>
      </c>
      <c r="BV46" s="63">
        <v>2</v>
      </c>
      <c r="BW46" s="62">
        <v>1</v>
      </c>
      <c r="BX46" s="83">
        <v>7</v>
      </c>
      <c r="BY46" s="3">
        <v>0.8</v>
      </c>
      <c r="BZ46" s="3">
        <v>15.6</v>
      </c>
      <c r="CA46" s="55">
        <v>20.2</v>
      </c>
      <c r="CB46" s="55">
        <v>10.3</v>
      </c>
      <c r="CC46" s="55">
        <v>10.7</v>
      </c>
      <c r="CD46" s="55">
        <v>0.87</v>
      </c>
      <c r="CN46" s="55"/>
    </row>
    <row r="47" spans="1:95" x14ac:dyDescent="0.3">
      <c r="A47" s="2"/>
      <c r="B47" s="2"/>
      <c r="C47" s="17"/>
      <c r="D47" s="17"/>
      <c r="E47" s="4"/>
      <c r="H47" s="3" t="s">
        <v>10</v>
      </c>
      <c r="J47" s="3">
        <v>13</v>
      </c>
      <c r="K47" s="2"/>
      <c r="L47" s="9">
        <v>1</v>
      </c>
      <c r="M47" s="3">
        <v>11</v>
      </c>
      <c r="N47" s="3">
        <v>22.67</v>
      </c>
      <c r="O47" s="3">
        <v>17.670000000000002</v>
      </c>
      <c r="P47" s="3">
        <v>11.73</v>
      </c>
      <c r="Q47" s="3">
        <v>0.75</v>
      </c>
      <c r="R47" s="55"/>
      <c r="W47" s="6"/>
      <c r="AK47" s="2"/>
      <c r="AL47" s="63"/>
      <c r="AM47" s="62"/>
      <c r="AN47" s="55"/>
      <c r="AO47" s="55"/>
      <c r="AP47" s="55"/>
      <c r="AQ47" s="57"/>
      <c r="AR47" s="55"/>
      <c r="AS47" s="9"/>
      <c r="AU47" s="2"/>
      <c r="AV47" s="64"/>
      <c r="AW47" s="63"/>
      <c r="AX47" s="62"/>
      <c r="BF47" s="2" t="s">
        <v>680</v>
      </c>
      <c r="BG47" s="2" t="s">
        <v>113</v>
      </c>
      <c r="BH47" s="2" t="s">
        <v>61</v>
      </c>
      <c r="BI47" s="2" t="s">
        <v>666</v>
      </c>
      <c r="BJ47" s="2" t="s">
        <v>46</v>
      </c>
      <c r="BK47" s="2" t="s">
        <v>57</v>
      </c>
      <c r="BL47" s="2" t="s">
        <v>60</v>
      </c>
      <c r="BM47" s="2" t="s">
        <v>28</v>
      </c>
      <c r="BN47" s="2" t="s">
        <v>643</v>
      </c>
      <c r="BO47" s="2" t="s">
        <v>669</v>
      </c>
      <c r="BT47" s="2" t="s">
        <v>21</v>
      </c>
      <c r="BU47" s="3" t="s">
        <v>615</v>
      </c>
      <c r="BV47" s="3" t="s">
        <v>615</v>
      </c>
      <c r="BW47" s="3" t="s">
        <v>615</v>
      </c>
      <c r="BX47" s="83">
        <v>17</v>
      </c>
      <c r="BY47" s="55">
        <v>2.2000000000000002</v>
      </c>
      <c r="BZ47" s="55">
        <v>11.9</v>
      </c>
      <c r="CA47" s="55">
        <v>22.4</v>
      </c>
      <c r="CB47" s="55">
        <v>17.8</v>
      </c>
      <c r="CC47" s="55">
        <v>13</v>
      </c>
      <c r="CD47" s="55">
        <v>0.79</v>
      </c>
      <c r="CN47" s="55"/>
    </row>
    <row r="48" spans="1:95" x14ac:dyDescent="0.3">
      <c r="A48" s="2"/>
      <c r="B48" s="2"/>
      <c r="C48" s="17"/>
      <c r="D48" s="17"/>
      <c r="E48" s="4"/>
      <c r="H48" s="2" t="s">
        <v>13</v>
      </c>
      <c r="I48" s="64"/>
      <c r="J48" s="63">
        <v>14</v>
      </c>
      <c r="K48" s="55"/>
      <c r="L48" s="9">
        <v>1.88</v>
      </c>
      <c r="M48" s="3">
        <v>11.47</v>
      </c>
      <c r="N48" s="3">
        <v>19.600000000000001</v>
      </c>
      <c r="O48" s="3">
        <v>22.2</v>
      </c>
      <c r="P48" s="3">
        <v>8.33</v>
      </c>
      <c r="Q48" s="3">
        <v>0.74</v>
      </c>
      <c r="R48" s="55"/>
      <c r="Z48" s="6"/>
      <c r="AA48" s="7"/>
      <c r="AG48" s="6"/>
      <c r="AK48" s="2"/>
      <c r="AL48" s="63"/>
      <c r="AM48" s="62"/>
      <c r="AN48" s="55"/>
      <c r="AO48" s="55"/>
      <c r="AP48" s="55"/>
      <c r="AQ48" s="5" t="s">
        <v>671</v>
      </c>
      <c r="AR48" s="15">
        <v>1</v>
      </c>
      <c r="AS48" s="7" t="s">
        <v>673</v>
      </c>
      <c r="AT48" s="3">
        <v>0.5</v>
      </c>
      <c r="AU48" s="2"/>
      <c r="AV48" s="64"/>
      <c r="AW48" s="63"/>
      <c r="AX48" s="62"/>
      <c r="BA48" s="55"/>
      <c r="BB48" s="55"/>
      <c r="BC48" s="55"/>
      <c r="BD48" s="55"/>
      <c r="BF48" s="62">
        <v>13</v>
      </c>
      <c r="BG48" s="63">
        <v>3</v>
      </c>
      <c r="BH48" s="55">
        <v>1</v>
      </c>
      <c r="BI48" s="3">
        <v>1.83</v>
      </c>
      <c r="BJ48" s="3">
        <v>18.5</v>
      </c>
      <c r="BK48" s="3">
        <v>20.75</v>
      </c>
      <c r="BL48" s="3">
        <v>7.58</v>
      </c>
      <c r="BM48" s="3">
        <v>0.74</v>
      </c>
      <c r="BN48" s="61">
        <f t="shared" ref="BN48:BN59" si="3">BJ48+BK49</f>
        <v>29.67</v>
      </c>
      <c r="BO48" s="68">
        <f>BM48/BL48</f>
        <v>9.7625329815303433E-2</v>
      </c>
      <c r="BT48" s="2" t="s">
        <v>6</v>
      </c>
      <c r="BU48" s="3" t="s">
        <v>615</v>
      </c>
      <c r="BV48" s="3" t="s">
        <v>615</v>
      </c>
      <c r="BW48" s="3" t="s">
        <v>615</v>
      </c>
      <c r="BX48" s="83">
        <v>20</v>
      </c>
      <c r="BY48" s="55">
        <v>1.2</v>
      </c>
      <c r="BZ48" s="55">
        <v>15.6</v>
      </c>
      <c r="CA48" s="55">
        <v>20.100000000000001</v>
      </c>
      <c r="CB48" s="55">
        <v>13.5</v>
      </c>
      <c r="CC48" s="55">
        <v>12.1</v>
      </c>
      <c r="CD48" s="55">
        <v>0.84</v>
      </c>
      <c r="CN48" s="55"/>
    </row>
    <row r="49" spans="1:521" x14ac:dyDescent="0.3">
      <c r="A49" s="2"/>
      <c r="B49" s="2"/>
      <c r="C49" s="17"/>
      <c r="D49" s="17"/>
      <c r="E49" s="4"/>
      <c r="H49" s="2" t="s">
        <v>16</v>
      </c>
      <c r="J49" s="3">
        <v>11</v>
      </c>
      <c r="K49" s="2"/>
      <c r="L49" s="9">
        <v>1.25</v>
      </c>
      <c r="M49" s="3">
        <v>9</v>
      </c>
      <c r="N49" s="3">
        <v>22.23</v>
      </c>
      <c r="O49" s="3">
        <v>16.690000000000001</v>
      </c>
      <c r="P49" s="3">
        <v>9.5399999999999991</v>
      </c>
      <c r="Q49" s="3">
        <v>0.74</v>
      </c>
      <c r="R49" s="57"/>
      <c r="W49" s="6"/>
      <c r="AK49" s="2"/>
      <c r="AL49" s="63"/>
      <c r="AM49" s="62"/>
      <c r="AN49" s="55"/>
      <c r="AO49" s="55"/>
      <c r="AP49" s="55"/>
      <c r="AQ49" s="5" t="s">
        <v>672</v>
      </c>
      <c r="AR49" s="9">
        <v>0.6</v>
      </c>
      <c r="AS49" s="7" t="s">
        <v>674</v>
      </c>
      <c r="AT49" s="3">
        <v>-0.9</v>
      </c>
      <c r="AU49" s="2"/>
      <c r="AV49" s="64"/>
      <c r="AW49" s="63"/>
      <c r="AX49" s="62"/>
      <c r="AY49" s="55"/>
      <c r="AZ49" s="55"/>
      <c r="BB49" s="2"/>
      <c r="BC49" s="55"/>
      <c r="BD49" s="55"/>
      <c r="BF49" s="63">
        <v>16</v>
      </c>
      <c r="BG49" s="63">
        <v>4</v>
      </c>
      <c r="BH49" s="55">
        <v>1</v>
      </c>
      <c r="BI49" s="3">
        <v>1.17</v>
      </c>
      <c r="BJ49" s="3">
        <v>13.75</v>
      </c>
      <c r="BK49" s="3">
        <v>11.17</v>
      </c>
      <c r="BL49" s="3">
        <v>7.42</v>
      </c>
      <c r="BM49" s="3">
        <v>0.76</v>
      </c>
      <c r="BN49" s="61">
        <f t="shared" si="3"/>
        <v>30.75</v>
      </c>
      <c r="BO49" s="68">
        <f t="shared" ref="BO49:BO59" si="4">BM49/BL49</f>
        <v>0.10242587601078168</v>
      </c>
      <c r="BT49" s="2" t="s">
        <v>12</v>
      </c>
      <c r="BU49" s="64">
        <v>30</v>
      </c>
      <c r="BV49" s="63">
        <v>6</v>
      </c>
      <c r="BW49" s="62">
        <v>1</v>
      </c>
      <c r="BX49" s="83">
        <v>14</v>
      </c>
      <c r="BY49" s="55">
        <v>1.4</v>
      </c>
      <c r="BZ49" s="55">
        <v>9.6</v>
      </c>
      <c r="CA49" s="3">
        <v>24</v>
      </c>
      <c r="CB49" s="2">
        <v>18.7</v>
      </c>
      <c r="CC49" s="55">
        <v>13.8</v>
      </c>
      <c r="CD49" s="55">
        <v>0.68</v>
      </c>
      <c r="CN49" s="55"/>
    </row>
    <row r="50" spans="1:521" x14ac:dyDescent="0.3">
      <c r="A50" s="2"/>
      <c r="B50" s="2"/>
      <c r="C50" s="17"/>
      <c r="D50" s="17"/>
      <c r="E50" s="4"/>
      <c r="H50" s="3" t="s">
        <v>8</v>
      </c>
      <c r="I50" s="64"/>
      <c r="J50" s="63">
        <v>12</v>
      </c>
      <c r="K50" s="55"/>
      <c r="L50" s="9">
        <v>1.1200000000000001</v>
      </c>
      <c r="M50" s="3">
        <v>11</v>
      </c>
      <c r="N50" s="3">
        <v>20.53</v>
      </c>
      <c r="O50" s="3">
        <v>16.600000000000001</v>
      </c>
      <c r="P50" s="3">
        <v>11.2</v>
      </c>
      <c r="Q50" s="3">
        <v>0.73</v>
      </c>
      <c r="R50" s="57"/>
      <c r="Z50" s="6"/>
      <c r="AA50" s="7"/>
      <c r="AG50" s="6"/>
      <c r="AJ50" s="3" t="s">
        <v>652</v>
      </c>
      <c r="AU50" s="2"/>
      <c r="AV50" s="64"/>
      <c r="AW50" s="63"/>
      <c r="AX50" s="62"/>
      <c r="AY50" s="55"/>
      <c r="AZ50" s="55"/>
      <c r="BC50" s="55"/>
      <c r="BD50" s="55"/>
      <c r="BF50" s="63">
        <v>17</v>
      </c>
      <c r="BG50" s="63">
        <v>1</v>
      </c>
      <c r="BH50" s="55">
        <v>0</v>
      </c>
      <c r="BI50" s="3">
        <v>2.25</v>
      </c>
      <c r="BJ50" s="3">
        <v>19.329999999999998</v>
      </c>
      <c r="BK50" s="3">
        <v>17</v>
      </c>
      <c r="BL50" s="3">
        <v>12.58</v>
      </c>
      <c r="BM50" s="3">
        <v>0.74</v>
      </c>
      <c r="BN50" s="61">
        <f t="shared" si="3"/>
        <v>37.659999999999997</v>
      </c>
      <c r="BO50" s="68">
        <f t="shared" si="4"/>
        <v>5.8823529411764705E-2</v>
      </c>
      <c r="BS50" s="6"/>
      <c r="BT50" s="2" t="s">
        <v>11</v>
      </c>
      <c r="BU50" s="64">
        <v>30</v>
      </c>
      <c r="BV50" s="63">
        <v>6</v>
      </c>
      <c r="BW50" s="62">
        <v>2</v>
      </c>
      <c r="BX50" s="83">
        <v>13</v>
      </c>
      <c r="BY50" s="55">
        <v>1.7</v>
      </c>
      <c r="BZ50" s="55">
        <v>12.3</v>
      </c>
      <c r="CA50" s="3">
        <v>16.600000000000001</v>
      </c>
      <c r="CB50" s="3">
        <v>17.899999999999999</v>
      </c>
      <c r="CC50" s="55">
        <v>8.8000000000000007</v>
      </c>
      <c r="CD50" s="55">
        <v>0.72</v>
      </c>
      <c r="CN50" s="55"/>
      <c r="CT50" s="6"/>
      <c r="CU50" s="7"/>
      <c r="CZ50" s="6"/>
      <c r="DD50" s="6"/>
      <c r="DE50" s="7"/>
      <c r="DJ50" s="6"/>
      <c r="DU50" s="6"/>
      <c r="DV50" s="7"/>
      <c r="EA50" s="6"/>
      <c r="EE50" s="6"/>
      <c r="EF50" s="7"/>
      <c r="EK50" s="6"/>
      <c r="EV50" s="6"/>
      <c r="EW50" s="7"/>
      <c r="FB50" s="6"/>
      <c r="FF50" s="6"/>
      <c r="FG50" s="7"/>
      <c r="FL50" s="6"/>
      <c r="FW50" s="6"/>
      <c r="FX50" s="7"/>
      <c r="GC50" s="6"/>
      <c r="GG50" s="6"/>
      <c r="GH50" s="7"/>
      <c r="GM50" s="6"/>
      <c r="GX50" s="6"/>
      <c r="GY50" s="7"/>
      <c r="HD50" s="6"/>
      <c r="HH50" s="6"/>
      <c r="HI50" s="7"/>
      <c r="HN50" s="6"/>
      <c r="HY50" s="6"/>
      <c r="HZ50" s="7"/>
      <c r="IE50" s="6"/>
      <c r="II50" s="6"/>
      <c r="IJ50" s="7"/>
      <c r="IO50" s="6"/>
      <c r="IZ50" s="6"/>
      <c r="JA50" s="7"/>
      <c r="JF50" s="6"/>
      <c r="JJ50" s="6"/>
      <c r="JK50" s="7"/>
      <c r="JP50" s="6"/>
      <c r="KA50" s="6"/>
      <c r="KB50" s="7"/>
      <c r="KG50" s="6"/>
      <c r="KK50" s="6"/>
      <c r="KL50" s="7"/>
      <c r="KQ50" s="6"/>
      <c r="LB50" s="6"/>
      <c r="LC50" s="7"/>
      <c r="LH50" s="6"/>
      <c r="LL50" s="6"/>
      <c r="LM50" s="7"/>
      <c r="LR50" s="6"/>
      <c r="MC50" s="6"/>
      <c r="MD50" s="7"/>
      <c r="MI50" s="6"/>
      <c r="MM50" s="6"/>
      <c r="MN50" s="7"/>
      <c r="MS50" s="6"/>
      <c r="ND50" s="6"/>
      <c r="NE50" s="7"/>
      <c r="NJ50" s="6"/>
      <c r="NN50" s="6"/>
      <c r="NO50" s="7"/>
      <c r="NT50" s="6"/>
      <c r="OE50" s="6"/>
      <c r="OF50" s="7"/>
      <c r="OK50" s="6"/>
      <c r="OO50" s="6"/>
      <c r="OP50" s="7"/>
      <c r="OU50" s="6"/>
      <c r="PF50" s="6"/>
      <c r="PG50" s="7"/>
      <c r="PL50" s="6"/>
      <c r="PP50" s="6"/>
      <c r="PQ50" s="7"/>
      <c r="PV50" s="6"/>
      <c r="QG50" s="6"/>
      <c r="QH50" s="7"/>
      <c r="QM50" s="6"/>
      <c r="QQ50" s="6"/>
      <c r="QR50" s="7"/>
      <c r="QW50" s="6"/>
      <c r="RH50" s="6"/>
      <c r="RI50" s="7"/>
      <c r="RN50" s="6"/>
      <c r="RR50" s="6"/>
      <c r="RS50" s="7"/>
      <c r="RX50" s="6"/>
      <c r="SI50" s="6"/>
      <c r="SJ50" s="7"/>
      <c r="SO50" s="6"/>
      <c r="SS50" s="6"/>
      <c r="ST50" s="7"/>
      <c r="SY50" s="6"/>
    </row>
    <row r="51" spans="1:521" x14ac:dyDescent="0.3">
      <c r="A51" s="2"/>
      <c r="B51" s="2"/>
      <c r="C51" s="17"/>
      <c r="D51" s="17"/>
      <c r="E51" s="4"/>
      <c r="H51" s="3" t="s">
        <v>23</v>
      </c>
      <c r="J51" s="63">
        <v>10</v>
      </c>
      <c r="K51" s="63"/>
      <c r="L51" s="9">
        <v>2.5</v>
      </c>
      <c r="M51" s="3">
        <v>10.67</v>
      </c>
      <c r="N51" s="3">
        <v>17.2</v>
      </c>
      <c r="O51" s="3">
        <v>20.47</v>
      </c>
      <c r="P51" s="3">
        <v>10.07</v>
      </c>
      <c r="Q51" s="3">
        <v>0.68</v>
      </c>
      <c r="R51" s="57"/>
      <c r="W51" s="6"/>
      <c r="AA51" s="6"/>
      <c r="AB51" s="7"/>
      <c r="AH51" s="6"/>
      <c r="AJ51" s="2" t="s">
        <v>680</v>
      </c>
      <c r="AK51" s="3" t="s">
        <v>677</v>
      </c>
      <c r="AL51" s="3" t="s">
        <v>678</v>
      </c>
      <c r="AM51" s="2" t="s">
        <v>666</v>
      </c>
      <c r="AN51" s="2" t="s">
        <v>46</v>
      </c>
      <c r="AO51" s="2" t="s">
        <v>57</v>
      </c>
      <c r="AP51" s="2" t="s">
        <v>60</v>
      </c>
      <c r="AQ51" s="2" t="s">
        <v>28</v>
      </c>
      <c r="AR51" s="2" t="s">
        <v>643</v>
      </c>
      <c r="AS51" s="2" t="s">
        <v>675</v>
      </c>
      <c r="AU51" s="2"/>
      <c r="AV51" s="64"/>
      <c r="AW51" s="63"/>
      <c r="AX51" s="62"/>
      <c r="AY51" s="5"/>
      <c r="AZ51" s="5"/>
      <c r="BB51" s="2"/>
      <c r="BC51" s="15"/>
      <c r="BD51" s="15"/>
      <c r="BF51" s="63">
        <v>29</v>
      </c>
      <c r="BG51" s="63">
        <v>8</v>
      </c>
      <c r="BH51" s="62">
        <v>3</v>
      </c>
      <c r="BI51" s="3">
        <v>0.64</v>
      </c>
      <c r="BJ51" s="3">
        <v>19</v>
      </c>
      <c r="BK51" s="3">
        <v>18.329999999999998</v>
      </c>
      <c r="BL51" s="3">
        <v>7.67</v>
      </c>
      <c r="BM51" s="3">
        <v>0.66</v>
      </c>
      <c r="BN51" s="61">
        <f t="shared" si="3"/>
        <v>35.83</v>
      </c>
      <c r="BO51" s="68">
        <f t="shared" si="4"/>
        <v>8.604954367666233E-2</v>
      </c>
      <c r="BR51" s="5"/>
      <c r="BS51" s="5"/>
      <c r="BT51" s="2" t="s">
        <v>18</v>
      </c>
      <c r="BU51" s="64">
        <v>30</v>
      </c>
      <c r="BV51" s="63">
        <v>5</v>
      </c>
      <c r="BW51" s="62">
        <v>2</v>
      </c>
      <c r="BX51" s="83">
        <v>10</v>
      </c>
      <c r="BY51" s="5">
        <v>1.2</v>
      </c>
      <c r="BZ51" s="5">
        <v>9.4</v>
      </c>
      <c r="CA51" s="3">
        <v>19.8</v>
      </c>
      <c r="CB51" s="2">
        <v>19.100000000000001</v>
      </c>
      <c r="CC51" s="15">
        <v>12</v>
      </c>
      <c r="CD51" s="15">
        <v>0.74</v>
      </c>
      <c r="CE51" s="7"/>
      <c r="CS51" s="5"/>
      <c r="CT51" s="5"/>
      <c r="CU51" s="6"/>
      <c r="CV51" s="7"/>
      <c r="CY51" s="5"/>
      <c r="DA51" s="7"/>
      <c r="DE51" s="6"/>
      <c r="DF51" s="7"/>
      <c r="DK51" s="7"/>
      <c r="DT51" s="5"/>
      <c r="DU51" s="5"/>
      <c r="DV51" s="6"/>
      <c r="DW51" s="7"/>
      <c r="DZ51" s="5"/>
      <c r="EB51" s="6"/>
      <c r="EF51" s="6"/>
      <c r="EG51" s="7"/>
      <c r="EL51" s="6"/>
      <c r="EU51" s="5"/>
      <c r="EV51" s="5"/>
      <c r="EW51" s="6"/>
      <c r="EX51" s="7"/>
      <c r="FA51" s="5"/>
      <c r="FC51" s="6"/>
      <c r="FG51" s="6"/>
      <c r="FH51" s="7"/>
      <c r="FM51" s="6"/>
      <c r="FV51" s="5"/>
      <c r="FW51" s="5"/>
      <c r="FX51" s="6"/>
      <c r="FY51" s="7"/>
      <c r="GB51" s="5"/>
      <c r="GD51" s="6"/>
      <c r="GH51" s="6"/>
      <c r="GI51" s="7"/>
      <c r="GN51" s="6"/>
      <c r="GW51" s="5"/>
      <c r="GX51" s="5"/>
      <c r="GY51" s="6"/>
      <c r="GZ51" s="7"/>
      <c r="HC51" s="5"/>
      <c r="HE51" s="7"/>
      <c r="HI51" s="6"/>
      <c r="HJ51" s="7"/>
      <c r="HO51" s="7"/>
      <c r="HX51" s="5"/>
      <c r="HY51" s="5"/>
      <c r="HZ51" s="6"/>
      <c r="IA51" s="7"/>
      <c r="ID51" s="5"/>
      <c r="IF51" s="6"/>
      <c r="IJ51" s="6"/>
      <c r="IK51" s="7"/>
      <c r="IP51" s="6"/>
      <c r="IY51" s="5"/>
      <c r="IZ51" s="5"/>
      <c r="JA51" s="6"/>
      <c r="JB51" s="7"/>
      <c r="JE51" s="5"/>
      <c r="JG51" s="6"/>
      <c r="JK51" s="6"/>
      <c r="JL51" s="7"/>
      <c r="JQ51" s="6"/>
      <c r="JZ51" s="5"/>
      <c r="KA51" s="5"/>
      <c r="KB51" s="6"/>
      <c r="KC51" s="7"/>
      <c r="KF51" s="5"/>
      <c r="KH51" s="6"/>
      <c r="KL51" s="6"/>
      <c r="KM51" s="7"/>
      <c r="KR51" s="6"/>
      <c r="LA51" s="5"/>
      <c r="LB51" s="5"/>
      <c r="LC51" s="6"/>
      <c r="LD51" s="7"/>
      <c r="LG51" s="5"/>
      <c r="LI51" s="6"/>
      <c r="LM51" s="6"/>
      <c r="LN51" s="7"/>
      <c r="LS51" s="6"/>
      <c r="MB51" s="5"/>
      <c r="MC51" s="5"/>
      <c r="MD51" s="6"/>
      <c r="ME51" s="7"/>
      <c r="MH51" s="5"/>
      <c r="MJ51" s="6"/>
      <c r="MN51" s="6"/>
      <c r="MO51" s="7"/>
      <c r="MT51" s="6"/>
      <c r="NC51" s="5"/>
      <c r="ND51" s="5"/>
      <c r="NE51" s="6"/>
      <c r="NF51" s="7"/>
      <c r="NI51" s="5"/>
      <c r="NK51" s="6"/>
      <c r="NO51" s="6"/>
      <c r="NP51" s="7"/>
      <c r="NU51" s="6"/>
      <c r="OD51" s="5"/>
      <c r="OE51" s="5"/>
      <c r="OF51" s="6"/>
      <c r="OG51" s="7"/>
      <c r="OJ51" s="5"/>
      <c r="OL51" s="6"/>
      <c r="OP51" s="6"/>
      <c r="OQ51" s="7"/>
      <c r="OV51" s="6"/>
      <c r="PE51" s="5"/>
      <c r="PF51" s="5"/>
      <c r="PG51" s="6"/>
      <c r="PH51" s="7"/>
      <c r="PK51" s="5"/>
      <c r="PM51" s="6"/>
      <c r="PQ51" s="6"/>
      <c r="PR51" s="7"/>
      <c r="PW51" s="6"/>
      <c r="QF51" s="5"/>
      <c r="QG51" s="5"/>
      <c r="QH51" s="6"/>
      <c r="QI51" s="7"/>
      <c r="QL51" s="5"/>
      <c r="QN51" s="6"/>
      <c r="QR51" s="6"/>
      <c r="QS51" s="7"/>
      <c r="QX51" s="6"/>
      <c r="RG51" s="5"/>
      <c r="RH51" s="5"/>
      <c r="RI51" s="6"/>
      <c r="RJ51" s="7"/>
      <c r="RM51" s="5"/>
      <c r="RO51" s="6"/>
      <c r="RS51" s="6"/>
      <c r="RT51" s="7"/>
      <c r="RY51" s="6"/>
      <c r="SH51" s="5"/>
      <c r="SI51" s="5"/>
      <c r="SJ51" s="6"/>
      <c r="SK51" s="7"/>
      <c r="SN51" s="5"/>
      <c r="SP51" s="6"/>
      <c r="ST51" s="6"/>
      <c r="SU51" s="7"/>
      <c r="SZ51" s="6"/>
    </row>
    <row r="52" spans="1:521" x14ac:dyDescent="0.3">
      <c r="A52" s="67"/>
      <c r="B52" s="2"/>
      <c r="C52" s="2"/>
      <c r="D52" s="2"/>
      <c r="E52" s="2"/>
      <c r="H52" s="2" t="s">
        <v>20</v>
      </c>
      <c r="I52" s="64"/>
      <c r="J52" s="63">
        <v>17</v>
      </c>
      <c r="K52" s="55"/>
      <c r="L52" s="9">
        <v>3.38</v>
      </c>
      <c r="M52" s="3">
        <v>8.8699999999999992</v>
      </c>
      <c r="N52" s="3">
        <v>19.07</v>
      </c>
      <c r="O52" s="3">
        <v>15.73</v>
      </c>
      <c r="P52" s="3">
        <v>12</v>
      </c>
      <c r="Q52" s="3">
        <v>0.71</v>
      </c>
      <c r="R52" s="57"/>
      <c r="W52" s="6"/>
      <c r="Y52" s="2"/>
      <c r="Z52" s="64"/>
      <c r="AA52" s="63"/>
      <c r="AB52" s="55"/>
      <c r="AJ52" s="62">
        <v>13</v>
      </c>
      <c r="AK52" s="63">
        <v>3</v>
      </c>
      <c r="AL52" s="55">
        <v>1</v>
      </c>
      <c r="AM52" s="3">
        <v>1.6</v>
      </c>
      <c r="AN52" s="3">
        <v>17.5</v>
      </c>
      <c r="AO52" s="3">
        <v>21.4</v>
      </c>
      <c r="AP52" s="3">
        <v>7.1</v>
      </c>
      <c r="AQ52" s="3">
        <v>0.74</v>
      </c>
      <c r="AR52" s="15">
        <f>AN52+AO52</f>
        <v>38.9</v>
      </c>
      <c r="AS52" s="9">
        <f>$AR$48*(POWER(AQ52, $AT$48))+$AR$49*(POWER(AP52, $AT$49))</f>
        <v>0.9630385917287696</v>
      </c>
      <c r="AW52" s="5"/>
      <c r="AX52" s="7"/>
      <c r="BC52" s="6"/>
      <c r="BD52" s="7"/>
      <c r="BF52" s="63">
        <v>14</v>
      </c>
      <c r="BG52" s="63">
        <v>6</v>
      </c>
      <c r="BH52" s="62">
        <v>2</v>
      </c>
      <c r="BI52" s="3">
        <v>1.17</v>
      </c>
      <c r="BJ52" s="3">
        <v>20.25</v>
      </c>
      <c r="BK52" s="3">
        <v>16.829999999999998</v>
      </c>
      <c r="BL52" s="3">
        <v>11.08</v>
      </c>
      <c r="BM52" s="3">
        <v>0.76</v>
      </c>
      <c r="BN52" s="61">
        <f t="shared" si="3"/>
        <v>39.69</v>
      </c>
      <c r="BO52" s="68">
        <f t="shared" si="4"/>
        <v>6.8592057761732855E-2</v>
      </c>
      <c r="BR52" s="5"/>
      <c r="BS52" s="68"/>
      <c r="BT52" s="6"/>
      <c r="BU52" s="7"/>
      <c r="BX52" s="5"/>
      <c r="BZ52" s="6"/>
      <c r="CD52" s="6"/>
      <c r="CE52" s="7"/>
      <c r="CJ52" s="6"/>
      <c r="CS52" s="5"/>
      <c r="CT52" s="5"/>
      <c r="CU52" s="6"/>
      <c r="CV52" s="7"/>
      <c r="CY52" s="5"/>
      <c r="DA52" s="6"/>
      <c r="DE52" s="6"/>
      <c r="DF52" s="7"/>
      <c r="DK52" s="6"/>
      <c r="DT52" s="5"/>
      <c r="DU52" s="5"/>
      <c r="DV52" s="6"/>
      <c r="DW52" s="7"/>
      <c r="DZ52" s="5"/>
      <c r="EB52" s="6"/>
      <c r="EF52" s="6"/>
      <c r="EG52" s="7"/>
      <c r="EL52" s="6"/>
      <c r="EU52" s="5"/>
      <c r="EV52" s="5"/>
      <c r="EW52" s="6"/>
      <c r="EX52" s="7"/>
      <c r="FA52" s="5"/>
      <c r="FC52" s="6"/>
      <c r="FG52" s="6"/>
      <c r="FH52" s="7"/>
      <c r="FM52" s="6"/>
      <c r="FV52" s="5"/>
      <c r="FW52" s="5"/>
      <c r="FX52" s="6"/>
      <c r="FY52" s="7"/>
      <c r="GB52" s="5"/>
      <c r="GD52" s="6"/>
      <c r="GH52" s="6"/>
      <c r="GI52" s="7"/>
      <c r="GN52" s="6"/>
      <c r="GW52" s="5"/>
      <c r="GX52" s="5"/>
      <c r="GY52" s="6"/>
      <c r="GZ52" s="7"/>
      <c r="HC52" s="5"/>
      <c r="HE52" s="6"/>
      <c r="HI52" s="6"/>
      <c r="HJ52" s="7"/>
      <c r="HO52" s="6"/>
      <c r="HT52" s="8"/>
      <c r="HU52" s="8"/>
      <c r="HV52" s="8"/>
      <c r="HX52" s="5"/>
      <c r="HY52" s="5"/>
      <c r="HZ52" s="6"/>
      <c r="IA52" s="7"/>
      <c r="ID52" s="5"/>
      <c r="IF52" s="6"/>
      <c r="IJ52" s="6"/>
      <c r="IK52" s="7"/>
      <c r="IP52" s="6"/>
      <c r="IY52" s="5"/>
      <c r="IZ52" s="5"/>
      <c r="JA52" s="6"/>
      <c r="JB52" s="7"/>
      <c r="JE52" s="5"/>
      <c r="JG52" s="6"/>
      <c r="JK52" s="6"/>
      <c r="JL52" s="7"/>
      <c r="JQ52" s="6"/>
      <c r="JZ52" s="5"/>
      <c r="KA52" s="5"/>
      <c r="KB52" s="6"/>
      <c r="KC52" s="7"/>
      <c r="KF52" s="5"/>
      <c r="KH52" s="6"/>
      <c r="KL52" s="6"/>
      <c r="KM52" s="7"/>
      <c r="KR52" s="6"/>
      <c r="LA52" s="5"/>
      <c r="LB52" s="5"/>
      <c r="LC52" s="6"/>
      <c r="LD52" s="7"/>
      <c r="LG52" s="5"/>
      <c r="LI52" s="6"/>
      <c r="LM52" s="6"/>
      <c r="LN52" s="7"/>
      <c r="LS52" s="6"/>
      <c r="MB52" s="5"/>
      <c r="MC52" s="5"/>
      <c r="MD52" s="6"/>
      <c r="ME52" s="7"/>
      <c r="MH52" s="5"/>
      <c r="MJ52" s="6"/>
      <c r="MN52" s="6"/>
      <c r="MO52" s="7"/>
      <c r="MT52" s="6"/>
      <c r="NC52" s="5"/>
      <c r="ND52" s="5"/>
      <c r="NE52" s="6"/>
      <c r="NF52" s="7"/>
      <c r="NI52" s="5"/>
      <c r="NK52" s="6"/>
      <c r="NO52" s="6"/>
      <c r="NP52" s="7"/>
      <c r="NU52" s="6"/>
      <c r="OD52" s="5"/>
      <c r="OE52" s="5"/>
      <c r="OF52" s="6"/>
      <c r="OG52" s="7"/>
      <c r="OJ52" s="5"/>
      <c r="OL52" s="6"/>
      <c r="OP52" s="6"/>
      <c r="OQ52" s="7"/>
      <c r="OV52" s="6"/>
      <c r="PE52" s="5"/>
      <c r="PF52" s="5"/>
      <c r="PG52" s="6"/>
      <c r="PH52" s="7"/>
      <c r="PK52" s="5"/>
      <c r="PM52" s="6"/>
      <c r="PQ52" s="6"/>
      <c r="PR52" s="7"/>
      <c r="PW52" s="6"/>
      <c r="QF52" s="5"/>
      <c r="QG52" s="5"/>
      <c r="QH52" s="6"/>
      <c r="QI52" s="7"/>
      <c r="QL52" s="5"/>
      <c r="QN52" s="7"/>
      <c r="QR52" s="6"/>
      <c r="QS52" s="7"/>
      <c r="QX52" s="7"/>
      <c r="RG52" s="5"/>
      <c r="RH52" s="5"/>
      <c r="RI52" s="6"/>
      <c r="RJ52" s="7"/>
      <c r="RM52" s="5"/>
      <c r="RO52" s="6"/>
      <c r="RS52" s="6"/>
      <c r="RT52" s="7"/>
      <c r="RY52" s="6"/>
      <c r="SH52" s="5"/>
      <c r="SI52" s="5"/>
      <c r="SJ52" s="6"/>
      <c r="SK52" s="7"/>
      <c r="SN52" s="5"/>
      <c r="SP52" s="6"/>
      <c r="ST52" s="6"/>
      <c r="SU52" s="7"/>
      <c r="SZ52" s="6"/>
    </row>
    <row r="53" spans="1:521" x14ac:dyDescent="0.3">
      <c r="A53" s="67"/>
      <c r="C53" s="68"/>
      <c r="E53" s="68"/>
      <c r="H53" s="2" t="s">
        <v>19</v>
      </c>
      <c r="I53" s="64"/>
      <c r="J53" s="63">
        <v>12</v>
      </c>
      <c r="K53" s="62"/>
      <c r="L53" s="9">
        <v>1.75</v>
      </c>
      <c r="M53" s="3">
        <v>7.47</v>
      </c>
      <c r="N53" s="3">
        <v>19.87</v>
      </c>
      <c r="O53" s="3">
        <v>18.329999999999998</v>
      </c>
      <c r="P53" s="3">
        <v>9</v>
      </c>
      <c r="Q53" s="3">
        <v>0.68</v>
      </c>
      <c r="R53" s="57"/>
      <c r="W53" s="6"/>
      <c r="Z53" s="64"/>
      <c r="AA53" s="63"/>
      <c r="AB53" s="55"/>
      <c r="AJ53" s="63">
        <v>16</v>
      </c>
      <c r="AK53" s="63">
        <v>4</v>
      </c>
      <c r="AL53" s="55">
        <v>1</v>
      </c>
      <c r="AM53" s="3">
        <v>0.9</v>
      </c>
      <c r="AN53" s="3">
        <v>13.4</v>
      </c>
      <c r="AO53" s="3">
        <v>11.7</v>
      </c>
      <c r="AP53" s="3">
        <v>7.5</v>
      </c>
      <c r="AQ53" s="3">
        <v>0.76</v>
      </c>
      <c r="AR53" s="15">
        <f t="shared" ref="AR53:AR63" si="5">AN53+AO53</f>
        <v>25.1</v>
      </c>
      <c r="AS53" s="9">
        <f t="shared" ref="AS53:AS63" si="6">$AR$48*(POWER(AQ53, $AT$48))+$AR$49*(POWER(AP53, $AT$49))</f>
        <v>0.96963773864746561</v>
      </c>
      <c r="AW53" s="5"/>
      <c r="BD53" s="7"/>
      <c r="BF53" s="63">
        <v>19</v>
      </c>
      <c r="BG53" s="63">
        <v>12</v>
      </c>
      <c r="BH53" s="62">
        <v>3</v>
      </c>
      <c r="BI53" s="3">
        <v>1.06</v>
      </c>
      <c r="BJ53" s="3">
        <v>20.329999999999998</v>
      </c>
      <c r="BK53" s="3">
        <v>19.440000000000001</v>
      </c>
      <c r="BL53" s="3">
        <v>11.22</v>
      </c>
      <c r="BM53" s="3">
        <v>0.72</v>
      </c>
      <c r="BN53" s="61">
        <f t="shared" si="3"/>
        <v>41</v>
      </c>
      <c r="BO53" s="68">
        <f t="shared" si="4"/>
        <v>6.4171122994652399E-2</v>
      </c>
      <c r="BR53" s="5"/>
      <c r="BS53" s="5"/>
      <c r="BT53" s="6"/>
      <c r="BU53" s="7"/>
      <c r="BW53" s="2"/>
      <c r="BX53" s="2"/>
      <c r="BY53" s="2"/>
      <c r="BZ53" s="2"/>
      <c r="CD53" s="6"/>
      <c r="CE53" s="7"/>
      <c r="CJ53" s="6"/>
      <c r="CS53" s="5"/>
      <c r="CT53" s="5"/>
      <c r="CU53" s="6"/>
      <c r="CV53" s="7"/>
      <c r="CY53" s="5"/>
      <c r="DA53" s="6"/>
      <c r="DE53" s="6"/>
      <c r="DF53" s="7"/>
      <c r="DK53" s="6"/>
      <c r="DT53" s="5"/>
      <c r="DU53" s="5"/>
      <c r="DV53" s="6"/>
      <c r="DW53" s="7"/>
      <c r="DZ53" s="5"/>
      <c r="EB53" s="6"/>
      <c r="EF53" s="6"/>
      <c r="EG53" s="7"/>
      <c r="EL53" s="6"/>
      <c r="EU53" s="5"/>
      <c r="EV53" s="5"/>
      <c r="EW53" s="6"/>
      <c r="EX53" s="7"/>
      <c r="FA53" s="5"/>
      <c r="FC53" s="6"/>
      <c r="FG53" s="6"/>
      <c r="FH53" s="7"/>
      <c r="FM53" s="6"/>
      <c r="FV53" s="5"/>
      <c r="FW53" s="5"/>
      <c r="FX53" s="6"/>
      <c r="FY53" s="7"/>
      <c r="GB53" s="5"/>
      <c r="GD53" s="6"/>
      <c r="GH53" s="6"/>
      <c r="GI53" s="7"/>
      <c r="GN53" s="6"/>
      <c r="GW53" s="5"/>
      <c r="GX53" s="5"/>
      <c r="GY53" s="6"/>
      <c r="GZ53" s="7"/>
      <c r="HC53" s="5"/>
      <c r="HE53" s="6"/>
      <c r="HI53" s="6"/>
      <c r="HJ53" s="7"/>
      <c r="HO53" s="6"/>
      <c r="IY53" s="5"/>
      <c r="IZ53" s="5"/>
      <c r="JA53" s="6"/>
      <c r="JB53" s="7"/>
      <c r="JE53" s="5"/>
      <c r="JG53" s="6"/>
      <c r="JK53" s="6"/>
      <c r="JL53" s="7"/>
      <c r="JQ53" s="6"/>
      <c r="JZ53" s="5"/>
      <c r="KA53" s="5"/>
      <c r="KB53" s="6"/>
      <c r="KC53" s="7"/>
      <c r="KF53" s="5"/>
      <c r="KH53" s="6"/>
      <c r="KL53" s="6"/>
      <c r="KM53" s="7"/>
      <c r="KR53" s="6"/>
      <c r="LA53" s="5"/>
      <c r="LB53" s="5"/>
      <c r="LC53" s="6"/>
      <c r="LD53" s="7"/>
      <c r="LG53" s="5"/>
      <c r="LI53" s="7"/>
      <c r="LM53" s="6"/>
      <c r="LN53" s="7"/>
      <c r="LS53" s="7"/>
      <c r="MB53" s="5"/>
      <c r="MC53" s="5"/>
      <c r="MD53" s="6"/>
      <c r="ME53" s="7"/>
      <c r="MH53" s="5"/>
      <c r="MJ53" s="6"/>
      <c r="MN53" s="6"/>
      <c r="MO53" s="7"/>
      <c r="MT53" s="6"/>
      <c r="NC53" s="5"/>
      <c r="ND53" s="5"/>
      <c r="NE53" s="6"/>
      <c r="NF53" s="7"/>
      <c r="NI53" s="5"/>
      <c r="NK53" s="6"/>
      <c r="NO53" s="6"/>
      <c r="NP53" s="7"/>
      <c r="NU53" s="6"/>
      <c r="OD53" s="5"/>
      <c r="OE53" s="5"/>
      <c r="OF53" s="6"/>
      <c r="OG53" s="7"/>
      <c r="OJ53" s="5"/>
      <c r="OL53" s="6"/>
      <c r="OP53" s="6"/>
      <c r="OQ53" s="7"/>
      <c r="OV53" s="6"/>
      <c r="PE53" s="5"/>
      <c r="PF53" s="5"/>
      <c r="PG53" s="6"/>
      <c r="PH53" s="7"/>
      <c r="PK53" s="5"/>
      <c r="PM53" s="6"/>
      <c r="PQ53" s="6"/>
      <c r="PR53" s="7"/>
      <c r="PW53" s="6"/>
      <c r="QF53" s="5"/>
      <c r="QG53" s="5"/>
      <c r="QH53" s="6"/>
      <c r="QI53" s="7"/>
      <c r="QL53" s="5"/>
      <c r="QN53" s="6"/>
      <c r="QR53" s="6"/>
      <c r="QS53" s="7"/>
      <c r="QX53" s="6"/>
      <c r="RG53" s="5"/>
      <c r="RH53" s="5"/>
      <c r="RI53" s="6"/>
      <c r="RJ53" s="7"/>
      <c r="RM53" s="5"/>
      <c r="RO53" s="6"/>
      <c r="RS53" s="6"/>
      <c r="RT53" s="7"/>
      <c r="RY53" s="6"/>
      <c r="SH53" s="5"/>
      <c r="SI53" s="5"/>
      <c r="SJ53" s="6"/>
      <c r="SK53" s="7"/>
      <c r="SN53" s="5"/>
      <c r="SP53" s="6"/>
      <c r="ST53" s="6"/>
      <c r="SU53" s="7"/>
      <c r="SZ53" s="6"/>
    </row>
    <row r="54" spans="1:521" x14ac:dyDescent="0.3">
      <c r="A54" s="67"/>
      <c r="H54" s="2" t="s">
        <v>634</v>
      </c>
      <c r="J54" s="3">
        <v>12</v>
      </c>
      <c r="K54" s="2"/>
      <c r="L54" s="9">
        <v>1.88</v>
      </c>
      <c r="M54" s="3">
        <v>9.4700000000000006</v>
      </c>
      <c r="N54" s="3">
        <v>19.47</v>
      </c>
      <c r="O54" s="3">
        <v>19.600000000000001</v>
      </c>
      <c r="P54" s="3">
        <v>10.07</v>
      </c>
      <c r="Q54" s="3">
        <v>0.7</v>
      </c>
      <c r="R54" s="57"/>
      <c r="W54" s="6"/>
      <c r="Y54" s="2"/>
      <c r="Z54" s="64"/>
      <c r="AA54" s="63"/>
      <c r="AB54" s="55"/>
      <c r="AJ54" s="63">
        <v>17</v>
      </c>
      <c r="AK54" s="63">
        <v>1</v>
      </c>
      <c r="AL54" s="55">
        <v>0</v>
      </c>
      <c r="AM54" s="3">
        <v>2</v>
      </c>
      <c r="AN54" s="3">
        <v>19.399999999999999</v>
      </c>
      <c r="AO54" s="3">
        <v>16.2</v>
      </c>
      <c r="AP54" s="3">
        <v>11.7</v>
      </c>
      <c r="AQ54" s="3">
        <v>0.74</v>
      </c>
      <c r="AR54" s="15">
        <f t="shared" si="5"/>
        <v>35.599999999999994</v>
      </c>
      <c r="AS54" s="9">
        <f t="shared" si="6"/>
        <v>0.92581442371034117</v>
      </c>
      <c r="AW54" s="5"/>
      <c r="BD54" s="7"/>
      <c r="BF54" s="63">
        <v>14</v>
      </c>
      <c r="BG54" s="63">
        <v>3</v>
      </c>
      <c r="BH54" s="62">
        <v>0</v>
      </c>
      <c r="BI54" s="3">
        <v>1.17</v>
      </c>
      <c r="BJ54" s="3">
        <v>23.17</v>
      </c>
      <c r="BK54" s="3">
        <v>20.67</v>
      </c>
      <c r="BL54" s="3">
        <v>10.58</v>
      </c>
      <c r="BM54" s="3">
        <v>0.72</v>
      </c>
      <c r="BN54" s="61">
        <f t="shared" si="3"/>
        <v>38.840000000000003</v>
      </c>
      <c r="BO54" s="68">
        <f t="shared" si="4"/>
        <v>6.8052930056710773E-2</v>
      </c>
      <c r="BR54" s="5"/>
      <c r="BS54" s="5"/>
      <c r="BT54" s="6"/>
      <c r="BU54" s="7"/>
      <c r="CD54" s="6"/>
      <c r="CE54" s="7"/>
      <c r="CJ54" s="6"/>
      <c r="CS54" s="5"/>
      <c r="CT54" s="5"/>
      <c r="CU54" s="6"/>
      <c r="CV54" s="7"/>
      <c r="CY54" s="5"/>
      <c r="DA54" s="7"/>
      <c r="DE54" s="6"/>
      <c r="DF54" s="7"/>
      <c r="DK54" s="7"/>
      <c r="DT54" s="5"/>
      <c r="DU54" s="5"/>
      <c r="DV54" s="6"/>
      <c r="DW54" s="7"/>
      <c r="DZ54" s="5"/>
      <c r="EB54" s="6"/>
      <c r="EF54" s="6"/>
      <c r="EG54" s="7"/>
      <c r="EL54" s="6"/>
      <c r="EU54" s="5"/>
      <c r="EV54" s="5"/>
      <c r="EW54" s="6"/>
      <c r="EX54" s="7"/>
      <c r="FA54" s="5"/>
      <c r="FC54" s="6"/>
      <c r="FG54" s="6"/>
      <c r="FH54" s="7"/>
      <c r="FM54" s="6"/>
      <c r="FV54" s="5"/>
      <c r="FW54" s="5"/>
      <c r="FX54" s="6"/>
      <c r="FY54" s="7"/>
      <c r="GB54" s="5"/>
      <c r="GD54" s="6"/>
      <c r="GH54" s="6"/>
      <c r="GI54" s="7"/>
      <c r="GN54" s="6"/>
      <c r="GW54" s="5"/>
      <c r="GX54" s="5"/>
      <c r="GY54" s="6"/>
      <c r="GZ54" s="7"/>
      <c r="HC54" s="5"/>
      <c r="HE54" s="6"/>
      <c r="HI54" s="6"/>
      <c r="HJ54" s="7"/>
      <c r="HO54" s="6"/>
      <c r="IY54" s="5"/>
      <c r="IZ54" s="5"/>
      <c r="JA54" s="6"/>
      <c r="JB54" s="7"/>
      <c r="JE54" s="5"/>
      <c r="JG54" s="6"/>
      <c r="JK54" s="6"/>
      <c r="JL54" s="7"/>
      <c r="JQ54" s="6"/>
      <c r="JZ54" s="5"/>
      <c r="KA54" s="5"/>
      <c r="KB54" s="6"/>
      <c r="KC54" s="7"/>
      <c r="KF54" s="5"/>
      <c r="KH54" s="6"/>
      <c r="KL54" s="6"/>
      <c r="KM54" s="7"/>
      <c r="KR54" s="6"/>
      <c r="LA54" s="5"/>
      <c r="LB54" s="5"/>
      <c r="LC54" s="6"/>
      <c r="LD54" s="7"/>
      <c r="LG54" s="5"/>
      <c r="LI54" s="6"/>
      <c r="LM54" s="6"/>
      <c r="LN54" s="7"/>
      <c r="LS54" s="6"/>
      <c r="MB54" s="5"/>
      <c r="MC54" s="5"/>
      <c r="MD54" s="6"/>
      <c r="ME54" s="7"/>
      <c r="MH54" s="5"/>
      <c r="MJ54" s="6"/>
      <c r="MN54" s="6"/>
      <c r="MO54" s="7"/>
      <c r="MT54" s="6"/>
      <c r="NC54" s="5"/>
      <c r="ND54" s="5"/>
      <c r="NE54" s="6"/>
      <c r="NF54" s="7"/>
      <c r="NI54" s="5"/>
      <c r="NK54" s="6"/>
      <c r="NO54" s="6"/>
      <c r="NP54" s="7"/>
      <c r="NU54" s="6"/>
      <c r="NZ54" s="8"/>
      <c r="OA54" s="8"/>
      <c r="OB54" s="8"/>
      <c r="OD54" s="5"/>
      <c r="OE54" s="5"/>
      <c r="OF54" s="6"/>
      <c r="OG54" s="7"/>
      <c r="OJ54" s="5"/>
      <c r="OL54" s="6"/>
      <c r="OP54" s="6"/>
      <c r="OQ54" s="7"/>
      <c r="OV54" s="6"/>
      <c r="PE54" s="5"/>
      <c r="PF54" s="5"/>
      <c r="PG54" s="6"/>
      <c r="PH54" s="7"/>
      <c r="PK54" s="5"/>
      <c r="PM54" s="6"/>
      <c r="PQ54" s="6"/>
      <c r="PR54" s="7"/>
      <c r="PW54" s="6"/>
      <c r="QF54" s="5"/>
      <c r="QG54" s="5"/>
      <c r="QH54" s="6"/>
      <c r="QI54" s="7"/>
      <c r="QL54" s="5"/>
      <c r="QN54" s="6"/>
      <c r="QR54" s="6"/>
      <c r="QS54" s="7"/>
      <c r="QX54" s="6"/>
      <c r="RG54" s="5"/>
      <c r="RH54" s="5"/>
      <c r="RI54" s="6"/>
      <c r="RJ54" s="7"/>
      <c r="RM54" s="5"/>
      <c r="RO54" s="7"/>
      <c r="RS54" s="6"/>
      <c r="RT54" s="7"/>
      <c r="RY54" s="7"/>
      <c r="SH54" s="5"/>
      <c r="SI54" s="5"/>
      <c r="SJ54" s="6"/>
      <c r="SK54" s="7"/>
      <c r="SN54" s="5"/>
      <c r="SP54" s="6"/>
      <c r="ST54" s="6"/>
      <c r="SU54" s="7"/>
      <c r="SZ54" s="6"/>
    </row>
    <row r="55" spans="1:521" x14ac:dyDescent="0.3">
      <c r="A55" s="67"/>
      <c r="B55" s="2"/>
      <c r="C55" s="2"/>
      <c r="D55" s="2"/>
      <c r="E55" s="2"/>
      <c r="H55" s="2" t="s">
        <v>17</v>
      </c>
      <c r="I55" s="64"/>
      <c r="J55" s="63">
        <v>12</v>
      </c>
      <c r="K55" s="62"/>
      <c r="L55" s="9">
        <v>1.25</v>
      </c>
      <c r="M55" s="3">
        <v>12.33</v>
      </c>
      <c r="N55" s="3">
        <v>19.670000000000002</v>
      </c>
      <c r="O55" s="3">
        <v>16.8</v>
      </c>
      <c r="P55" s="3">
        <v>10.8</v>
      </c>
      <c r="Q55" s="3">
        <v>0.78</v>
      </c>
      <c r="R55" s="57"/>
      <c r="W55" s="6"/>
      <c r="Y55" s="2"/>
      <c r="Z55" s="64"/>
      <c r="AA55" s="63"/>
      <c r="AB55" s="62"/>
      <c r="AJ55" s="63">
        <v>29</v>
      </c>
      <c r="AK55" s="63">
        <v>8</v>
      </c>
      <c r="AL55" s="62">
        <v>3</v>
      </c>
      <c r="AM55" s="3">
        <v>0.56000000000000005</v>
      </c>
      <c r="AN55" s="3">
        <v>19</v>
      </c>
      <c r="AO55" s="3">
        <v>18.329999999999998</v>
      </c>
      <c r="AP55" s="3">
        <v>7.67</v>
      </c>
      <c r="AQ55" s="3">
        <v>0.66</v>
      </c>
      <c r="AR55" s="15">
        <f t="shared" si="5"/>
        <v>37.33</v>
      </c>
      <c r="AS55" s="9">
        <f t="shared" si="6"/>
        <v>0.90830755373414351</v>
      </c>
      <c r="BD55" s="7"/>
      <c r="BF55" s="63">
        <v>11</v>
      </c>
      <c r="BG55" s="63">
        <v>2</v>
      </c>
      <c r="BH55" s="62">
        <v>1</v>
      </c>
      <c r="BI55" s="3">
        <v>2</v>
      </c>
      <c r="BJ55" s="3">
        <v>20</v>
      </c>
      <c r="BK55" s="3">
        <v>15.67</v>
      </c>
      <c r="BL55" s="3">
        <v>7.83</v>
      </c>
      <c r="BM55" s="3">
        <v>0.7</v>
      </c>
      <c r="BN55" s="61">
        <f t="shared" si="3"/>
        <v>31</v>
      </c>
      <c r="BO55" s="68">
        <f t="shared" si="4"/>
        <v>8.9399744572158366E-2</v>
      </c>
      <c r="BR55" s="5"/>
      <c r="BS55" s="5"/>
      <c r="BT55" s="6"/>
      <c r="BU55" s="7"/>
      <c r="BX55" s="5"/>
      <c r="BZ55" s="6"/>
      <c r="CD55" s="6"/>
      <c r="CE55" s="7"/>
      <c r="CS55" s="5"/>
      <c r="CT55" s="5"/>
      <c r="CU55" s="6"/>
      <c r="CV55" s="7"/>
      <c r="CY55" s="5"/>
      <c r="DA55" s="6"/>
      <c r="DE55" s="6"/>
      <c r="DF55" s="7"/>
      <c r="DK55" s="6"/>
      <c r="DT55" s="5"/>
      <c r="DU55" s="5"/>
      <c r="DV55" s="6"/>
      <c r="DW55" s="7"/>
      <c r="DZ55" s="5"/>
      <c r="EB55" s="6"/>
      <c r="EF55" s="6"/>
      <c r="EG55" s="7"/>
      <c r="EL55" s="6"/>
      <c r="EU55" s="5"/>
      <c r="EV55" s="5"/>
      <c r="EW55" s="6"/>
      <c r="EX55" s="7"/>
      <c r="FA55" s="5"/>
      <c r="FC55" s="6"/>
      <c r="FG55" s="6"/>
      <c r="FH55" s="7"/>
      <c r="FM55" s="6"/>
      <c r="FV55" s="5"/>
      <c r="FW55" s="5"/>
      <c r="FX55" s="6"/>
      <c r="FY55" s="7"/>
      <c r="GB55" s="5"/>
      <c r="GD55" s="6"/>
      <c r="GH55" s="6"/>
      <c r="GI55" s="7"/>
      <c r="GN55" s="6"/>
      <c r="GW55" s="5"/>
      <c r="GX55" s="5"/>
      <c r="GY55" s="6"/>
      <c r="GZ55" s="7"/>
      <c r="HC55" s="5"/>
      <c r="HE55" s="6"/>
      <c r="HI55" s="6"/>
      <c r="HJ55" s="7"/>
      <c r="HO55" s="6"/>
      <c r="IY55" s="5"/>
      <c r="IZ55" s="5"/>
      <c r="JA55" s="6"/>
      <c r="JB55" s="7"/>
      <c r="JE55" s="5"/>
      <c r="JG55" s="6"/>
      <c r="JK55" s="6"/>
      <c r="JL55" s="7"/>
      <c r="JQ55" s="6"/>
      <c r="JZ55" s="5"/>
      <c r="KA55" s="5"/>
      <c r="KB55" s="6"/>
      <c r="KC55" s="7"/>
      <c r="KF55" s="5"/>
      <c r="KH55" s="7"/>
      <c r="KL55" s="6"/>
      <c r="KM55" s="7"/>
      <c r="KR55" s="7"/>
      <c r="LA55" s="5"/>
      <c r="LB55" s="5"/>
      <c r="LC55" s="6"/>
      <c r="LD55" s="7"/>
      <c r="LG55" s="5"/>
      <c r="LI55" s="6"/>
      <c r="LM55" s="6"/>
      <c r="LN55" s="7"/>
      <c r="LS55" s="6"/>
      <c r="MB55" s="5"/>
      <c r="MC55" s="5"/>
      <c r="MD55" s="6"/>
      <c r="ME55" s="7"/>
      <c r="MH55" s="5"/>
      <c r="MJ55" s="6"/>
      <c r="MN55" s="6"/>
      <c r="MO55" s="7"/>
      <c r="MT55" s="6"/>
      <c r="NC55" s="5"/>
      <c r="ND55" s="5"/>
      <c r="NE55" s="6"/>
      <c r="NF55" s="7"/>
      <c r="NI55" s="5"/>
      <c r="NK55" s="6"/>
      <c r="NO55" s="6"/>
      <c r="NP55" s="7"/>
      <c r="NU55" s="6"/>
      <c r="PE55" s="5"/>
      <c r="PF55" s="5"/>
      <c r="PG55" s="6"/>
      <c r="PH55" s="7"/>
      <c r="PK55" s="5"/>
      <c r="PM55" s="7"/>
      <c r="PQ55" s="6"/>
      <c r="PR55" s="7"/>
      <c r="PW55" s="7"/>
      <c r="QF55" s="5"/>
      <c r="QG55" s="5"/>
      <c r="QH55" s="6"/>
      <c r="QI55" s="7"/>
      <c r="QL55" s="5"/>
      <c r="QN55" s="6"/>
      <c r="QR55" s="6"/>
      <c r="QS55" s="7"/>
      <c r="QX55" s="6"/>
      <c r="RG55" s="5"/>
      <c r="RH55" s="5"/>
      <c r="RI55" s="6"/>
      <c r="RJ55" s="7"/>
      <c r="RM55" s="5"/>
      <c r="RO55" s="6"/>
      <c r="RS55" s="6"/>
      <c r="RT55" s="7"/>
      <c r="RY55" s="6"/>
      <c r="SH55" s="5"/>
      <c r="SI55" s="5"/>
      <c r="SJ55" s="6"/>
      <c r="SK55" s="7"/>
      <c r="SN55" s="5"/>
      <c r="SP55" s="6"/>
      <c r="ST55" s="6"/>
      <c r="SU55" s="7"/>
      <c r="SZ55" s="6"/>
    </row>
    <row r="56" spans="1:521" x14ac:dyDescent="0.3">
      <c r="A56" s="67"/>
      <c r="B56" s="74"/>
      <c r="C56" s="74"/>
      <c r="D56" s="2"/>
      <c r="E56" s="2"/>
      <c r="H56" s="2" t="s">
        <v>630</v>
      </c>
      <c r="I56" s="64"/>
      <c r="J56" s="63">
        <v>18</v>
      </c>
      <c r="K56" s="62"/>
      <c r="L56" s="9">
        <v>2</v>
      </c>
      <c r="M56" s="3">
        <v>7</v>
      </c>
      <c r="N56" s="3">
        <v>16.670000000000002</v>
      </c>
      <c r="O56" s="3">
        <v>18</v>
      </c>
      <c r="P56" s="3">
        <v>13.67</v>
      </c>
      <c r="Q56" s="3">
        <v>0.75</v>
      </c>
      <c r="R56" s="57"/>
      <c r="W56" s="7"/>
      <c r="Y56" s="2"/>
      <c r="Z56" s="64"/>
      <c r="AA56" s="63"/>
      <c r="AB56" s="62"/>
      <c r="AJ56" s="63">
        <v>14</v>
      </c>
      <c r="AK56" s="63">
        <v>6</v>
      </c>
      <c r="AL56" s="62">
        <v>2</v>
      </c>
      <c r="AM56" s="3">
        <v>1.3</v>
      </c>
      <c r="AN56" s="3">
        <v>20.5</v>
      </c>
      <c r="AO56" s="3">
        <v>15.8</v>
      </c>
      <c r="AP56" s="3">
        <v>10.3</v>
      </c>
      <c r="AQ56" s="3">
        <v>0.76</v>
      </c>
      <c r="AR56" s="15">
        <f t="shared" si="5"/>
        <v>36.299999999999997</v>
      </c>
      <c r="AS56" s="9">
        <f t="shared" si="6"/>
        <v>0.94533234111810982</v>
      </c>
      <c r="BD56" s="7"/>
      <c r="BF56" s="63">
        <v>7</v>
      </c>
      <c r="BG56" s="63">
        <v>2</v>
      </c>
      <c r="BH56" s="62">
        <v>1</v>
      </c>
      <c r="BI56" s="3">
        <v>0.67</v>
      </c>
      <c r="BJ56" s="55">
        <v>20.420000000000002</v>
      </c>
      <c r="BK56" s="55">
        <v>11</v>
      </c>
      <c r="BL56" s="55">
        <v>10.33</v>
      </c>
      <c r="BM56" s="55">
        <v>0.86</v>
      </c>
      <c r="BN56" s="61">
        <f t="shared" si="3"/>
        <v>37.840000000000003</v>
      </c>
      <c r="BO56" s="68">
        <f t="shared" si="4"/>
        <v>8.325266214908035E-2</v>
      </c>
      <c r="BR56" s="5"/>
      <c r="BS56" s="5"/>
      <c r="BT56" s="2"/>
      <c r="BU56" s="2"/>
      <c r="BV56" s="2"/>
      <c r="BW56" s="2"/>
      <c r="BX56" s="2"/>
      <c r="BY56" s="2"/>
      <c r="BZ56" s="2"/>
      <c r="CA56" s="2"/>
      <c r="CB56" s="2"/>
      <c r="CC56" s="2"/>
      <c r="CD56" s="2"/>
      <c r="CE56" s="2"/>
      <c r="CF56" s="7"/>
      <c r="CT56" s="5"/>
      <c r="CU56" s="5"/>
      <c r="CV56" s="6"/>
      <c r="CW56" s="7"/>
      <c r="CZ56" s="5"/>
      <c r="DB56" s="6"/>
      <c r="DF56" s="6"/>
      <c r="DG56" s="7"/>
      <c r="DL56" s="6"/>
      <c r="DU56" s="5"/>
      <c r="DV56" s="5"/>
      <c r="DW56" s="6"/>
      <c r="DX56" s="7"/>
      <c r="EA56" s="5"/>
      <c r="EC56" s="6"/>
      <c r="EG56" s="6"/>
      <c r="EH56" s="7"/>
      <c r="EM56" s="6"/>
      <c r="EV56" s="5"/>
      <c r="EW56" s="5"/>
      <c r="EX56" s="6"/>
      <c r="EY56" s="7"/>
      <c r="FB56" s="5"/>
      <c r="FD56" s="6"/>
      <c r="FH56" s="6"/>
      <c r="FI56" s="7"/>
      <c r="FN56" s="6"/>
      <c r="FS56" s="8"/>
      <c r="FT56" s="8"/>
      <c r="FU56" s="8"/>
      <c r="FW56" s="5"/>
      <c r="FX56" s="5"/>
      <c r="FY56" s="6"/>
      <c r="FZ56" s="7"/>
      <c r="GC56" s="5"/>
      <c r="GE56" s="6"/>
      <c r="GI56" s="6"/>
      <c r="GJ56" s="7"/>
      <c r="GO56" s="6"/>
      <c r="GX56" s="5"/>
      <c r="GY56" s="5"/>
      <c r="GZ56" s="6"/>
      <c r="HA56" s="7"/>
      <c r="HD56" s="5"/>
      <c r="HF56" s="6"/>
      <c r="HJ56" s="6"/>
      <c r="HK56" s="7"/>
      <c r="HP56" s="6"/>
      <c r="IZ56" s="5"/>
      <c r="JA56" s="5"/>
      <c r="JB56" s="6"/>
      <c r="JC56" s="7"/>
      <c r="JF56" s="5"/>
      <c r="JH56" s="6"/>
      <c r="JL56" s="6"/>
      <c r="JM56" s="7"/>
      <c r="JR56" s="6"/>
      <c r="KA56" s="5"/>
      <c r="KB56" s="5"/>
      <c r="KC56" s="6"/>
      <c r="KD56" s="7"/>
      <c r="KG56" s="5"/>
      <c r="KI56" s="6"/>
      <c r="KM56" s="6"/>
      <c r="KN56" s="7"/>
      <c r="KS56" s="6"/>
      <c r="LB56" s="5"/>
      <c r="LC56" s="5"/>
      <c r="LD56" s="6"/>
      <c r="LE56" s="7"/>
      <c r="LH56" s="5"/>
      <c r="LJ56" s="7"/>
      <c r="LN56" s="6"/>
      <c r="LO56" s="7"/>
      <c r="LT56" s="7"/>
      <c r="MC56" s="5"/>
      <c r="MD56" s="5"/>
      <c r="ME56" s="6"/>
      <c r="MF56" s="7"/>
      <c r="MI56" s="5"/>
      <c r="MK56" s="6"/>
      <c r="MO56" s="6"/>
      <c r="MP56" s="7"/>
      <c r="MU56" s="6"/>
      <c r="ND56" s="5"/>
      <c r="NE56" s="5"/>
      <c r="NF56" s="6"/>
      <c r="NG56" s="7"/>
      <c r="NJ56" s="5"/>
      <c r="NL56" s="7"/>
      <c r="NP56" s="6"/>
      <c r="NQ56" s="7"/>
      <c r="NV56" s="7"/>
      <c r="PF56" s="5"/>
      <c r="PG56" s="5"/>
      <c r="PH56" s="6"/>
      <c r="PI56" s="7"/>
      <c r="PL56" s="5"/>
      <c r="PN56" s="6"/>
      <c r="PR56" s="6"/>
      <c r="PS56" s="7"/>
      <c r="PX56" s="6"/>
      <c r="QG56" s="5"/>
      <c r="QH56" s="5"/>
      <c r="QI56" s="6"/>
      <c r="QJ56" s="7"/>
      <c r="QM56" s="5"/>
      <c r="QO56" s="6"/>
      <c r="QS56" s="6"/>
      <c r="QT56" s="7"/>
      <c r="QY56" s="6"/>
      <c r="RH56" s="5"/>
      <c r="RI56" s="5"/>
      <c r="RJ56" s="6"/>
      <c r="RK56" s="7"/>
      <c r="RN56" s="5"/>
      <c r="RP56" s="6"/>
      <c r="RT56" s="6"/>
      <c r="RU56" s="7"/>
      <c r="RZ56" s="6"/>
      <c r="SI56" s="5"/>
      <c r="SJ56" s="5"/>
      <c r="SK56" s="6"/>
      <c r="SL56" s="7"/>
      <c r="SO56" s="5"/>
      <c r="SQ56" s="6"/>
      <c r="SU56" s="6"/>
      <c r="SV56" s="7"/>
      <c r="TA56" s="6"/>
    </row>
    <row r="57" spans="1:521" x14ac:dyDescent="0.3">
      <c r="A57" s="67"/>
      <c r="B57" s="2"/>
      <c r="C57" s="2"/>
      <c r="D57" s="2"/>
      <c r="E57" s="2"/>
      <c r="H57" s="2" t="s">
        <v>7</v>
      </c>
      <c r="I57" s="64"/>
      <c r="J57" s="63">
        <v>10</v>
      </c>
      <c r="K57" s="62"/>
      <c r="L57" s="9">
        <v>0.88</v>
      </c>
      <c r="M57" s="3">
        <v>12.87</v>
      </c>
      <c r="N57" s="3">
        <v>23.87</v>
      </c>
      <c r="O57" s="3">
        <v>22.8</v>
      </c>
      <c r="P57" s="3">
        <v>12.73</v>
      </c>
      <c r="Q57" s="3">
        <v>0.73</v>
      </c>
      <c r="R57" s="57"/>
      <c r="W57" s="6"/>
      <c r="Y57" s="2"/>
      <c r="Z57" s="64"/>
      <c r="AA57" s="63"/>
      <c r="AB57" s="62"/>
      <c r="AJ57" s="63">
        <v>19</v>
      </c>
      <c r="AK57" s="63">
        <v>12</v>
      </c>
      <c r="AL57" s="62">
        <v>3</v>
      </c>
      <c r="AM57" s="3">
        <v>0.95</v>
      </c>
      <c r="AN57" s="3">
        <v>20.329999999999998</v>
      </c>
      <c r="AO57" s="3">
        <v>19.440000000000001</v>
      </c>
      <c r="AP57" s="3">
        <v>11.22</v>
      </c>
      <c r="AQ57" s="3">
        <v>0.72</v>
      </c>
      <c r="AR57" s="15">
        <f t="shared" si="5"/>
        <v>39.769999999999996</v>
      </c>
      <c r="AS57" s="9">
        <f t="shared" si="6"/>
        <v>0.91662979445155357</v>
      </c>
      <c r="BD57" s="7"/>
      <c r="BF57" s="63">
        <v>14</v>
      </c>
      <c r="BG57" s="63">
        <v>6</v>
      </c>
      <c r="BH57" s="62">
        <v>1</v>
      </c>
      <c r="BI57" s="3">
        <v>1.42</v>
      </c>
      <c r="BJ57" s="3">
        <v>23.17</v>
      </c>
      <c r="BK57" s="2">
        <v>17.420000000000002</v>
      </c>
      <c r="BL57" s="55">
        <v>14.58</v>
      </c>
      <c r="BM57" s="55">
        <v>0.69</v>
      </c>
      <c r="BN57" s="61">
        <f t="shared" si="3"/>
        <v>40.17</v>
      </c>
      <c r="BO57" s="68">
        <f t="shared" si="4"/>
        <v>4.7325102880658429E-2</v>
      </c>
      <c r="BR57" s="5"/>
      <c r="BS57" s="5"/>
      <c r="BW57" s="2"/>
      <c r="CE57" s="55"/>
      <c r="CI57" s="2"/>
      <c r="CT57" s="5"/>
      <c r="CU57" s="5"/>
      <c r="CV57" s="6"/>
      <c r="CW57" s="7"/>
      <c r="CZ57" s="5"/>
      <c r="DB57" s="6"/>
      <c r="DF57" s="6"/>
      <c r="DG57" s="7"/>
      <c r="DL57" s="6"/>
      <c r="DU57" s="5"/>
      <c r="DV57" s="5"/>
      <c r="DW57" s="6"/>
      <c r="DX57" s="7"/>
      <c r="EA57" s="5"/>
      <c r="EC57" s="6"/>
      <c r="EG57" s="6"/>
      <c r="EH57" s="7"/>
      <c r="EM57" s="6"/>
      <c r="EV57" s="5"/>
      <c r="EW57" s="5"/>
      <c r="EX57" s="6"/>
      <c r="EY57" s="7"/>
      <c r="FB57" s="5"/>
      <c r="FD57" s="6"/>
      <c r="FH57" s="6"/>
      <c r="FI57" s="7"/>
      <c r="FN57" s="6"/>
      <c r="GX57" s="5"/>
      <c r="GY57" s="5"/>
      <c r="GZ57" s="6"/>
      <c r="HA57" s="7"/>
      <c r="HD57" s="5"/>
      <c r="HF57" s="6"/>
      <c r="HJ57" s="6"/>
      <c r="HK57" s="7"/>
      <c r="HP57" s="6"/>
      <c r="IZ57" s="5"/>
      <c r="JA57" s="5"/>
      <c r="JB57" s="6"/>
      <c r="JC57" s="7"/>
      <c r="JF57" s="5"/>
      <c r="JH57" s="7"/>
      <c r="JL57" s="6"/>
      <c r="JM57" s="7"/>
      <c r="JR57" s="7"/>
      <c r="KA57" s="5"/>
      <c r="KB57" s="5"/>
      <c r="KC57" s="6"/>
      <c r="KD57" s="7"/>
      <c r="KG57" s="5"/>
      <c r="KI57" s="7"/>
      <c r="KM57" s="6"/>
      <c r="KN57" s="7"/>
      <c r="KS57" s="7"/>
      <c r="LB57" s="5"/>
      <c r="LC57" s="5"/>
      <c r="LD57" s="6"/>
      <c r="LE57" s="7"/>
      <c r="LH57" s="5"/>
      <c r="LJ57" s="6"/>
      <c r="LN57" s="6"/>
      <c r="LO57" s="7"/>
      <c r="LT57" s="6"/>
      <c r="MC57" s="5"/>
      <c r="MD57" s="5"/>
      <c r="ME57" s="6"/>
      <c r="MF57" s="7"/>
      <c r="MI57" s="5"/>
      <c r="MK57" s="6"/>
      <c r="MO57" s="6"/>
      <c r="MP57" s="7"/>
      <c r="MU57" s="6"/>
      <c r="ND57" s="5"/>
      <c r="NE57" s="5"/>
      <c r="NF57" s="6"/>
      <c r="NG57" s="7"/>
      <c r="NJ57" s="5"/>
      <c r="NL57" s="6"/>
      <c r="NP57" s="6"/>
      <c r="NQ57" s="7"/>
      <c r="NV57" s="6"/>
      <c r="PF57" s="5"/>
      <c r="PG57" s="5"/>
      <c r="PH57" s="6"/>
      <c r="PI57" s="7"/>
      <c r="PL57" s="5"/>
      <c r="PN57" s="6"/>
      <c r="PR57" s="6"/>
      <c r="PS57" s="7"/>
      <c r="PX57" s="6"/>
      <c r="QG57" s="5"/>
      <c r="QH57" s="5"/>
      <c r="QI57" s="6"/>
      <c r="QJ57" s="7"/>
      <c r="QM57" s="5"/>
      <c r="QO57" s="6"/>
      <c r="QS57" s="6"/>
      <c r="QT57" s="7"/>
      <c r="QY57" s="6"/>
      <c r="RH57" s="5"/>
      <c r="RI57" s="5"/>
      <c r="RJ57" s="6"/>
      <c r="RK57" s="7"/>
      <c r="RN57" s="5"/>
      <c r="RP57" s="6"/>
      <c r="RT57" s="6"/>
      <c r="RU57" s="7"/>
      <c r="RZ57" s="6"/>
      <c r="SI57" s="5"/>
      <c r="SJ57" s="5"/>
      <c r="SK57" s="6"/>
      <c r="SL57" s="7"/>
      <c r="SO57" s="5"/>
      <c r="SQ57" s="7"/>
      <c r="SU57" s="6"/>
      <c r="SV57" s="7"/>
      <c r="TA57" s="7"/>
    </row>
    <row r="58" spans="1:521" x14ac:dyDescent="0.3">
      <c r="A58" s="67"/>
      <c r="B58" s="2"/>
      <c r="C58" s="2"/>
      <c r="D58" s="2"/>
      <c r="E58" s="2"/>
      <c r="H58" s="2" t="s">
        <v>631</v>
      </c>
      <c r="I58" s="64"/>
      <c r="J58" s="63">
        <v>17</v>
      </c>
      <c r="K58" s="62"/>
      <c r="L58" s="9">
        <v>2.5</v>
      </c>
      <c r="M58" s="3">
        <v>8.67</v>
      </c>
      <c r="N58" s="3">
        <v>17.93</v>
      </c>
      <c r="O58" s="3">
        <v>14.8</v>
      </c>
      <c r="P58" s="3">
        <v>6.2</v>
      </c>
      <c r="Q58" s="3">
        <v>0.7</v>
      </c>
      <c r="R58" s="57"/>
      <c r="W58" s="6"/>
      <c r="Y58" s="2"/>
      <c r="Z58" s="64"/>
      <c r="AA58" s="63"/>
      <c r="AB58" s="62"/>
      <c r="AJ58" s="63">
        <v>14</v>
      </c>
      <c r="AK58" s="63">
        <v>3</v>
      </c>
      <c r="AL58" s="62">
        <v>0</v>
      </c>
      <c r="AM58" s="3">
        <v>1.1000000000000001</v>
      </c>
      <c r="AN58" s="3">
        <v>22.5</v>
      </c>
      <c r="AO58" s="3">
        <v>21</v>
      </c>
      <c r="AP58" s="3">
        <v>9.6999999999999993</v>
      </c>
      <c r="AQ58" s="3">
        <v>0.71</v>
      </c>
      <c r="AR58" s="15">
        <f t="shared" si="5"/>
        <v>43.5</v>
      </c>
      <c r="AS58" s="9">
        <f t="shared" si="6"/>
        <v>0.9202498221894444</v>
      </c>
      <c r="BD58" s="7"/>
      <c r="BF58" s="63">
        <v>13</v>
      </c>
      <c r="BG58" s="63">
        <v>6</v>
      </c>
      <c r="BH58" s="62">
        <v>2</v>
      </c>
      <c r="BI58" s="3">
        <v>1.83</v>
      </c>
      <c r="BJ58" s="3">
        <v>18.5</v>
      </c>
      <c r="BK58" s="3">
        <v>17</v>
      </c>
      <c r="BL58" s="55">
        <v>9.42</v>
      </c>
      <c r="BM58" s="55">
        <v>0.72</v>
      </c>
      <c r="BN58" s="61">
        <f t="shared" si="3"/>
        <v>35.92</v>
      </c>
      <c r="BO58" s="68">
        <f t="shared" si="4"/>
        <v>7.6433121019108277E-2</v>
      </c>
      <c r="BR58" s="5"/>
      <c r="BS58" s="5"/>
      <c r="BT58" s="2"/>
      <c r="BU58" s="64"/>
      <c r="BV58" s="63"/>
      <c r="BW58" s="55"/>
      <c r="BX58" s="62"/>
      <c r="CE58" s="55"/>
      <c r="CF58" s="2"/>
      <c r="CI58" s="2"/>
      <c r="CJ58" s="2"/>
      <c r="CT58" s="5"/>
      <c r="CU58" s="5"/>
      <c r="CV58" s="6"/>
      <c r="CW58" s="7"/>
      <c r="CZ58" s="5"/>
      <c r="DB58" s="6"/>
      <c r="DF58" s="6"/>
      <c r="DG58" s="7"/>
      <c r="DL58" s="6"/>
      <c r="DU58" s="5"/>
      <c r="DV58" s="5"/>
      <c r="DW58" s="6"/>
      <c r="DX58" s="7"/>
      <c r="EA58" s="5"/>
      <c r="EC58" s="6"/>
      <c r="EG58" s="6"/>
      <c r="EH58" s="7"/>
      <c r="EM58" s="6"/>
      <c r="EV58" s="5"/>
      <c r="EW58" s="5"/>
      <c r="EX58" s="6"/>
      <c r="EY58" s="7"/>
      <c r="FB58" s="5"/>
      <c r="FD58" s="6"/>
      <c r="FH58" s="6"/>
      <c r="FI58" s="7"/>
      <c r="FN58" s="6"/>
      <c r="GX58" s="5"/>
      <c r="GY58" s="5"/>
      <c r="GZ58" s="6"/>
      <c r="HA58" s="7"/>
      <c r="HD58" s="5"/>
      <c r="HF58" s="7"/>
      <c r="HJ58" s="6"/>
      <c r="HK58" s="7"/>
      <c r="HP58" s="7"/>
      <c r="IZ58" s="5"/>
      <c r="JA58" s="5"/>
      <c r="JB58" s="6"/>
      <c r="JC58" s="7"/>
      <c r="JF58" s="5"/>
      <c r="JH58" s="6"/>
      <c r="JL58" s="6"/>
      <c r="JM58" s="7"/>
      <c r="JR58" s="6"/>
      <c r="KA58" s="5"/>
      <c r="KB58" s="5"/>
      <c r="KC58" s="6"/>
      <c r="KD58" s="7"/>
      <c r="KG58" s="5"/>
      <c r="KI58" s="6"/>
      <c r="KM58" s="6"/>
      <c r="KN58" s="7"/>
      <c r="KS58" s="6"/>
      <c r="LB58" s="5"/>
      <c r="LC58" s="5"/>
      <c r="LD58" s="6"/>
      <c r="LE58" s="7"/>
      <c r="LH58" s="5"/>
      <c r="LJ58" s="6"/>
      <c r="LN58" s="6"/>
      <c r="LO58" s="7"/>
      <c r="LT58" s="6"/>
      <c r="MC58" s="5"/>
      <c r="MD58" s="5"/>
      <c r="ME58" s="6"/>
      <c r="MF58" s="7"/>
      <c r="MI58" s="5"/>
      <c r="MK58" s="6"/>
      <c r="MO58" s="6"/>
      <c r="MP58" s="7"/>
      <c r="MU58" s="6"/>
      <c r="ND58" s="5"/>
      <c r="NE58" s="5"/>
      <c r="NF58" s="6"/>
      <c r="NG58" s="7"/>
      <c r="NJ58" s="5"/>
      <c r="NL58" s="6"/>
      <c r="NP58" s="6"/>
      <c r="NQ58" s="7"/>
      <c r="NV58" s="6"/>
      <c r="PF58" s="5"/>
      <c r="PG58" s="5"/>
      <c r="PH58" s="6"/>
      <c r="PI58" s="7"/>
      <c r="PL58" s="5"/>
      <c r="PN58" s="7"/>
      <c r="PR58" s="6"/>
      <c r="PS58" s="7"/>
      <c r="PX58" s="7"/>
      <c r="QG58" s="5"/>
      <c r="QH58" s="5"/>
      <c r="QI58" s="6"/>
      <c r="QJ58" s="7"/>
      <c r="QM58" s="5"/>
      <c r="QO58" s="6"/>
      <c r="QS58" s="6"/>
      <c r="QT58" s="7"/>
      <c r="QY58" s="6"/>
      <c r="RH58" s="5"/>
      <c r="RI58" s="5"/>
      <c r="RJ58" s="6"/>
      <c r="RK58" s="7"/>
      <c r="RN58" s="5"/>
      <c r="RP58" s="6"/>
      <c r="RT58" s="6"/>
      <c r="RU58" s="7"/>
      <c r="RZ58" s="6"/>
      <c r="SE58" s="8"/>
      <c r="SF58" s="8"/>
      <c r="SG58" s="8"/>
      <c r="SI58" s="5"/>
      <c r="SJ58" s="5"/>
      <c r="SK58" s="6"/>
      <c r="SL58" s="7"/>
      <c r="SO58" s="5"/>
      <c r="SQ58" s="6"/>
      <c r="SU58" s="6"/>
      <c r="SV58" s="7"/>
      <c r="TA58" s="6"/>
    </row>
    <row r="59" spans="1:521" x14ac:dyDescent="0.3">
      <c r="A59" s="67"/>
      <c r="H59" s="2" t="s">
        <v>633</v>
      </c>
      <c r="J59" s="63">
        <v>14</v>
      </c>
      <c r="K59" s="2"/>
      <c r="L59" s="9">
        <v>1.25</v>
      </c>
      <c r="M59" s="3">
        <v>8.8699999999999992</v>
      </c>
      <c r="N59" s="55">
        <v>21.8</v>
      </c>
      <c r="O59" s="55">
        <v>19.13</v>
      </c>
      <c r="P59" s="55">
        <v>13.87</v>
      </c>
      <c r="Q59" s="55">
        <v>0.73</v>
      </c>
      <c r="R59" s="55"/>
      <c r="W59" s="6"/>
      <c r="Y59" s="2"/>
      <c r="Z59" s="64"/>
      <c r="AA59" s="63"/>
      <c r="AB59" s="62"/>
      <c r="AJ59" s="63">
        <v>11</v>
      </c>
      <c r="AK59" s="63">
        <v>2</v>
      </c>
      <c r="AL59" s="62">
        <v>1</v>
      </c>
      <c r="AM59" s="3">
        <v>1.8</v>
      </c>
      <c r="AN59" s="3">
        <v>19.399999999999999</v>
      </c>
      <c r="AO59" s="3">
        <v>17.7</v>
      </c>
      <c r="AP59" s="3">
        <v>8.4</v>
      </c>
      <c r="AQ59" s="3">
        <v>0.67</v>
      </c>
      <c r="AR59" s="15">
        <f t="shared" si="5"/>
        <v>37.099999999999994</v>
      </c>
      <c r="AS59" s="9">
        <f t="shared" si="6"/>
        <v>0.90690426751467568</v>
      </c>
      <c r="BF59" s="63">
        <v>10</v>
      </c>
      <c r="BG59" s="63">
        <v>5</v>
      </c>
      <c r="BH59" s="62">
        <v>2</v>
      </c>
      <c r="BI59" s="3">
        <v>1.5</v>
      </c>
      <c r="BJ59" s="3">
        <v>21.17</v>
      </c>
      <c r="BK59" s="2">
        <v>17.420000000000002</v>
      </c>
      <c r="BL59" s="15">
        <v>11.33</v>
      </c>
      <c r="BM59" s="15">
        <v>0.71</v>
      </c>
      <c r="BN59" s="61">
        <f t="shared" si="3"/>
        <v>21.17</v>
      </c>
      <c r="BO59" s="68">
        <f t="shared" si="4"/>
        <v>6.266548984995586E-2</v>
      </c>
      <c r="BR59" s="5"/>
      <c r="BS59" s="5"/>
      <c r="BT59" s="2"/>
      <c r="BW59" s="2"/>
      <c r="BX59" s="2"/>
      <c r="CE59" s="57"/>
      <c r="CH59" s="63"/>
      <c r="CI59" s="63"/>
      <c r="CJ59" s="63"/>
      <c r="CT59" s="5"/>
      <c r="CU59" s="5"/>
      <c r="CV59" s="6"/>
      <c r="CW59" s="7"/>
      <c r="CZ59" s="5"/>
      <c r="DB59" s="6"/>
      <c r="DF59" s="6"/>
      <c r="DG59" s="7"/>
      <c r="DL59" s="6"/>
      <c r="DU59" s="5"/>
      <c r="DV59" s="5"/>
      <c r="DW59" s="6"/>
      <c r="DX59" s="7"/>
      <c r="EA59" s="5"/>
      <c r="EC59" s="6"/>
      <c r="EG59" s="6"/>
      <c r="EH59" s="7"/>
      <c r="EM59" s="6"/>
      <c r="EV59" s="5"/>
      <c r="EW59" s="5"/>
      <c r="EX59" s="6"/>
      <c r="EY59" s="7"/>
      <c r="FB59" s="5"/>
      <c r="FD59" s="6"/>
      <c r="FH59" s="6"/>
      <c r="FI59" s="7"/>
      <c r="FN59" s="6"/>
      <c r="GX59" s="5"/>
      <c r="GY59" s="5"/>
      <c r="GZ59" s="6"/>
      <c r="HA59" s="7"/>
      <c r="HD59" s="5"/>
      <c r="HF59" s="6"/>
      <c r="HJ59" s="6"/>
      <c r="HK59" s="7"/>
      <c r="HP59" s="6"/>
      <c r="IZ59" s="5"/>
      <c r="JA59" s="5"/>
      <c r="JB59" s="6"/>
      <c r="JC59" s="7"/>
      <c r="JF59" s="5"/>
      <c r="JH59" s="6"/>
      <c r="JL59" s="6"/>
      <c r="JM59" s="7"/>
      <c r="JR59" s="6"/>
      <c r="KA59" s="5"/>
      <c r="KB59" s="5"/>
      <c r="KC59" s="6"/>
      <c r="KD59" s="7"/>
      <c r="KG59" s="5"/>
      <c r="KI59" s="6"/>
      <c r="KM59" s="6"/>
      <c r="KN59" s="7"/>
      <c r="KS59" s="6"/>
      <c r="LB59" s="5"/>
      <c r="LC59" s="5"/>
      <c r="LD59" s="6"/>
      <c r="LE59" s="7"/>
      <c r="LH59" s="5"/>
      <c r="LJ59" s="6"/>
      <c r="LN59" s="6"/>
      <c r="LO59" s="7"/>
      <c r="LT59" s="6"/>
      <c r="MC59" s="5"/>
      <c r="MD59" s="5"/>
      <c r="ME59" s="6"/>
      <c r="MF59" s="7"/>
      <c r="MI59" s="5"/>
      <c r="MK59" s="6"/>
      <c r="MO59" s="6"/>
      <c r="MP59" s="7"/>
      <c r="MU59" s="6"/>
      <c r="ND59" s="5"/>
      <c r="NE59" s="5"/>
      <c r="NF59" s="6"/>
      <c r="NG59" s="7"/>
      <c r="NJ59" s="5"/>
      <c r="NL59" s="7"/>
      <c r="NP59" s="6"/>
      <c r="NQ59" s="7"/>
      <c r="NV59" s="7"/>
      <c r="PF59" s="5"/>
      <c r="PG59" s="5"/>
      <c r="PH59" s="6"/>
      <c r="PI59" s="7"/>
      <c r="PL59" s="5"/>
      <c r="PN59" s="6"/>
      <c r="PR59" s="6"/>
      <c r="PS59" s="7"/>
      <c r="PX59" s="6"/>
      <c r="QG59" s="5"/>
      <c r="QH59" s="5"/>
      <c r="QI59" s="6"/>
      <c r="QJ59" s="7"/>
      <c r="QM59" s="5"/>
      <c r="QO59" s="7"/>
      <c r="QS59" s="6"/>
      <c r="QT59" s="7"/>
      <c r="QY59" s="7"/>
      <c r="RH59" s="5"/>
      <c r="RI59" s="5"/>
      <c r="RJ59" s="6"/>
      <c r="RK59" s="7"/>
      <c r="RN59" s="5"/>
      <c r="RP59" s="6"/>
      <c r="RT59" s="6"/>
      <c r="RU59" s="7"/>
      <c r="RZ59" s="6"/>
    </row>
    <row r="60" spans="1:521" x14ac:dyDescent="0.3">
      <c r="A60" s="67"/>
      <c r="B60" s="2"/>
      <c r="C60" s="2"/>
      <c r="D60" s="2"/>
      <c r="E60" s="2"/>
      <c r="H60" s="2" t="s">
        <v>5</v>
      </c>
      <c r="I60" s="64"/>
      <c r="J60" s="63">
        <v>4</v>
      </c>
      <c r="K60" s="62"/>
      <c r="L60" s="9">
        <v>0.5</v>
      </c>
      <c r="M60" s="3">
        <v>15.93</v>
      </c>
      <c r="N60" s="55">
        <v>17.53</v>
      </c>
      <c r="O60" s="55">
        <v>12.33</v>
      </c>
      <c r="P60" s="55">
        <v>9</v>
      </c>
      <c r="Q60" s="55">
        <v>0.88</v>
      </c>
      <c r="R60" s="55"/>
      <c r="W60" s="6"/>
      <c r="Y60" s="2"/>
      <c r="Z60" s="64"/>
      <c r="AA60" s="63"/>
      <c r="AB60" s="62"/>
      <c r="AE60" s="55"/>
      <c r="AF60" s="55"/>
      <c r="AG60" s="55"/>
      <c r="AH60" s="55"/>
      <c r="AJ60" s="63">
        <v>7</v>
      </c>
      <c r="AK60" s="63">
        <v>2</v>
      </c>
      <c r="AL60" s="62">
        <v>1</v>
      </c>
      <c r="AM60" s="3">
        <v>0.8</v>
      </c>
      <c r="AN60" s="55">
        <v>20.2</v>
      </c>
      <c r="AO60" s="55">
        <v>10.3</v>
      </c>
      <c r="AP60" s="55">
        <v>10.7</v>
      </c>
      <c r="AQ60" s="55">
        <v>0.87</v>
      </c>
      <c r="AR60" s="15">
        <f t="shared" si="5"/>
        <v>30.5</v>
      </c>
      <c r="AS60" s="9">
        <f t="shared" si="6"/>
        <v>1.0038111021844494</v>
      </c>
      <c r="AT60" s="7"/>
      <c r="BJ60" s="6"/>
      <c r="BR60" s="5"/>
      <c r="BS60" s="5"/>
      <c r="BU60" s="64"/>
      <c r="BV60" s="63"/>
      <c r="BW60" s="55"/>
      <c r="BX60" s="63"/>
      <c r="CE60" s="57"/>
      <c r="CF60" s="2"/>
      <c r="CI60" s="2"/>
      <c r="CJ60" s="63"/>
      <c r="CT60" s="5"/>
      <c r="CU60" s="5"/>
      <c r="CV60" s="6"/>
      <c r="CW60" s="7"/>
      <c r="CZ60" s="5"/>
      <c r="DB60" s="6"/>
      <c r="DF60" s="6"/>
      <c r="DG60" s="7"/>
      <c r="DL60" s="6"/>
      <c r="DU60" s="5"/>
      <c r="DV60" s="5"/>
      <c r="DW60" s="6"/>
      <c r="DX60" s="7"/>
      <c r="EA60" s="5"/>
      <c r="EC60" s="6"/>
      <c r="EG60" s="6"/>
      <c r="EH60" s="7"/>
      <c r="EM60" s="6"/>
      <c r="EV60" s="5"/>
      <c r="EW60" s="5"/>
      <c r="EX60" s="6"/>
      <c r="EY60" s="7"/>
      <c r="FB60" s="5"/>
      <c r="FD60" s="6"/>
      <c r="FH60" s="6"/>
      <c r="FI60" s="7"/>
      <c r="FN60" s="6"/>
      <c r="GX60" s="5"/>
      <c r="GY60" s="5"/>
      <c r="GZ60" s="6"/>
      <c r="HA60" s="7"/>
      <c r="HD60" s="5"/>
      <c r="HF60" s="6"/>
      <c r="HJ60" s="6"/>
      <c r="HK60" s="7"/>
      <c r="HP60" s="6"/>
      <c r="IV60" s="8"/>
      <c r="IW60" s="8"/>
      <c r="IX60" s="8"/>
      <c r="IZ60" s="5"/>
      <c r="JA60" s="5"/>
      <c r="JB60" s="6"/>
      <c r="JC60" s="7"/>
      <c r="JF60" s="5"/>
      <c r="JH60" s="6"/>
      <c r="JL60" s="6"/>
      <c r="JM60" s="7"/>
      <c r="JR60" s="6"/>
      <c r="KA60" s="5"/>
      <c r="KB60" s="5"/>
      <c r="KC60" s="6"/>
      <c r="KD60" s="7"/>
      <c r="KG60" s="5"/>
      <c r="KI60" s="6"/>
      <c r="KM60" s="6"/>
      <c r="KN60" s="7"/>
      <c r="KS60" s="6"/>
      <c r="LB60" s="5"/>
      <c r="LC60" s="5"/>
      <c r="LD60" s="6"/>
      <c r="LE60" s="7"/>
      <c r="LH60" s="5"/>
      <c r="LJ60" s="6"/>
      <c r="LN60" s="6"/>
      <c r="LO60" s="7"/>
      <c r="LT60" s="6"/>
      <c r="MC60" s="5"/>
      <c r="MD60" s="5"/>
      <c r="ME60" s="6"/>
      <c r="MF60" s="7"/>
      <c r="MI60" s="5"/>
      <c r="MK60" s="7"/>
      <c r="MO60" s="6"/>
      <c r="MP60" s="7"/>
      <c r="MU60" s="7"/>
      <c r="ND60" s="5"/>
      <c r="NE60" s="5"/>
      <c r="NF60" s="6"/>
      <c r="NG60" s="7"/>
      <c r="NJ60" s="5"/>
      <c r="NL60" s="6"/>
      <c r="NP60" s="6"/>
      <c r="NQ60" s="7"/>
      <c r="NV60" s="6"/>
      <c r="PF60" s="5"/>
      <c r="PG60" s="5"/>
      <c r="PH60" s="6"/>
      <c r="PI60" s="7"/>
      <c r="PL60" s="5"/>
      <c r="PN60" s="6"/>
      <c r="PR60" s="6"/>
      <c r="PS60" s="7"/>
      <c r="PX60" s="6"/>
      <c r="QG60" s="5"/>
      <c r="QH60" s="5"/>
      <c r="QI60" s="6"/>
      <c r="QJ60" s="7"/>
      <c r="QM60" s="5"/>
      <c r="QO60" s="6"/>
      <c r="QS60" s="6"/>
      <c r="QT60" s="7"/>
      <c r="QY60" s="6"/>
      <c r="RH60" s="5"/>
      <c r="RI60" s="5"/>
      <c r="RJ60" s="6"/>
      <c r="RK60" s="7"/>
      <c r="RN60" s="5"/>
      <c r="RP60" s="6"/>
      <c r="RT60" s="6"/>
      <c r="RU60" s="7"/>
      <c r="RZ60" s="6"/>
    </row>
    <row r="61" spans="1:521" x14ac:dyDescent="0.3">
      <c r="A61" s="2"/>
      <c r="B61" s="74"/>
      <c r="C61" s="74"/>
      <c r="D61" s="2"/>
      <c r="E61" s="74"/>
      <c r="H61" s="2" t="s">
        <v>21</v>
      </c>
      <c r="J61" s="63">
        <v>12</v>
      </c>
      <c r="L61" s="61">
        <v>2.25</v>
      </c>
      <c r="M61" s="55">
        <v>12</v>
      </c>
      <c r="N61" s="55">
        <v>18.600000000000001</v>
      </c>
      <c r="O61" s="55">
        <v>13.47</v>
      </c>
      <c r="P61" s="55">
        <v>11.6</v>
      </c>
      <c r="Q61" s="55">
        <v>0.8</v>
      </c>
      <c r="R61" s="55"/>
      <c r="W61" s="6"/>
      <c r="Y61" s="2"/>
      <c r="Z61" s="64"/>
      <c r="AA61" s="63"/>
      <c r="AB61" s="62"/>
      <c r="AC61" s="55"/>
      <c r="AD61" s="55"/>
      <c r="AF61" s="2"/>
      <c r="AG61" s="55"/>
      <c r="AH61" s="55"/>
      <c r="AJ61" s="63">
        <v>14</v>
      </c>
      <c r="AK61" s="63">
        <v>6</v>
      </c>
      <c r="AL61" s="62">
        <v>1</v>
      </c>
      <c r="AM61" s="3">
        <v>1.4</v>
      </c>
      <c r="AN61" s="3">
        <v>24</v>
      </c>
      <c r="AO61" s="2">
        <v>18.7</v>
      </c>
      <c r="AP61" s="55">
        <v>13.8</v>
      </c>
      <c r="AQ61" s="55">
        <v>0.68</v>
      </c>
      <c r="AR61" s="15">
        <f t="shared" si="5"/>
        <v>42.7</v>
      </c>
      <c r="AS61" s="9">
        <f t="shared" si="6"/>
        <v>0.88114866338507125</v>
      </c>
      <c r="BI61" s="6"/>
      <c r="BN61" s="8"/>
      <c r="BO61" s="8"/>
      <c r="BP61" s="8"/>
      <c r="BR61" s="5"/>
      <c r="BS61" s="5"/>
      <c r="BV61" s="63"/>
      <c r="BW61" s="63"/>
      <c r="BX61" s="63"/>
      <c r="CE61" s="57"/>
      <c r="CF61" s="2"/>
      <c r="CI61" s="2"/>
      <c r="CJ61" s="63"/>
      <c r="CM61" s="55"/>
      <c r="CN61" s="55"/>
      <c r="CO61" s="55"/>
      <c r="CP61" s="55"/>
      <c r="CQ61" s="8"/>
      <c r="CR61" s="8"/>
      <c r="CT61" s="5"/>
      <c r="CU61" s="5"/>
      <c r="CV61" s="6"/>
      <c r="CW61" s="7"/>
      <c r="CZ61" s="5"/>
      <c r="DB61" s="6"/>
      <c r="DF61" s="6"/>
      <c r="DG61" s="7"/>
      <c r="DL61" s="6"/>
      <c r="DQ61" s="8"/>
      <c r="DR61" s="8"/>
      <c r="DS61" s="8"/>
      <c r="DU61" s="5"/>
      <c r="DV61" s="5"/>
      <c r="DW61" s="6"/>
      <c r="DX61" s="7"/>
      <c r="EA61" s="5"/>
      <c r="EC61" s="6"/>
      <c r="EG61" s="6"/>
      <c r="EH61" s="7"/>
      <c r="EM61" s="6"/>
      <c r="ER61" s="8"/>
      <c r="ES61" s="8"/>
      <c r="ET61" s="8"/>
      <c r="EV61" s="5"/>
      <c r="EW61" s="5"/>
      <c r="EX61" s="6"/>
      <c r="EY61" s="7"/>
      <c r="FB61" s="5"/>
      <c r="FD61" s="6"/>
      <c r="FH61" s="6"/>
      <c r="FI61" s="7"/>
      <c r="FN61" s="6"/>
      <c r="GT61" s="8"/>
      <c r="GU61" s="8"/>
      <c r="GV61" s="8"/>
      <c r="GX61" s="5"/>
      <c r="GY61" s="5"/>
      <c r="GZ61" s="6"/>
      <c r="HA61" s="7"/>
      <c r="HD61" s="5"/>
      <c r="HF61" s="7"/>
      <c r="HJ61" s="6"/>
      <c r="HK61" s="7"/>
      <c r="HP61" s="7"/>
      <c r="JW61" s="8"/>
      <c r="JX61" s="8"/>
      <c r="JY61" s="8"/>
      <c r="KA61" s="5"/>
      <c r="KB61" s="5"/>
      <c r="KC61" s="6"/>
      <c r="KD61" s="7"/>
      <c r="KG61" s="5"/>
      <c r="KI61" s="7"/>
      <c r="KM61" s="6"/>
      <c r="KN61" s="7"/>
      <c r="KS61" s="7"/>
      <c r="KX61" s="8"/>
      <c r="KY61" s="8"/>
      <c r="KZ61" s="8"/>
      <c r="LB61" s="5"/>
      <c r="LC61" s="5"/>
      <c r="LD61" s="6"/>
      <c r="LE61" s="7"/>
      <c r="LH61" s="5"/>
      <c r="LJ61" s="6"/>
      <c r="LN61" s="6"/>
      <c r="LO61" s="7"/>
      <c r="LT61" s="6"/>
      <c r="LY61" s="8"/>
      <c r="LZ61" s="8"/>
      <c r="MA61" s="8"/>
      <c r="MC61" s="5"/>
      <c r="MD61" s="5"/>
      <c r="ME61" s="6"/>
      <c r="MF61" s="7"/>
      <c r="MI61" s="5"/>
      <c r="MK61" s="6"/>
      <c r="MO61" s="6"/>
      <c r="MP61" s="7"/>
      <c r="MU61" s="6"/>
      <c r="MZ61" s="8"/>
      <c r="NA61" s="8"/>
      <c r="NB61" s="8"/>
      <c r="ND61" s="5"/>
      <c r="NE61" s="5"/>
      <c r="NF61" s="6"/>
      <c r="NG61" s="7"/>
      <c r="NJ61" s="5"/>
      <c r="NL61" s="6"/>
      <c r="NP61" s="6"/>
      <c r="NQ61" s="7"/>
      <c r="NV61" s="6"/>
      <c r="PB61" s="8"/>
      <c r="PC61" s="8"/>
      <c r="PD61" s="8"/>
      <c r="PF61" s="5"/>
      <c r="PG61" s="5"/>
      <c r="PH61" s="6"/>
      <c r="PI61" s="7"/>
      <c r="PL61" s="5"/>
      <c r="PN61" s="6"/>
      <c r="PR61" s="6"/>
      <c r="PS61" s="7"/>
      <c r="PX61" s="6"/>
      <c r="QC61" s="8"/>
      <c r="QD61" s="8"/>
      <c r="QE61" s="8"/>
      <c r="QG61" s="5"/>
      <c r="QH61" s="5"/>
      <c r="QI61" s="6"/>
      <c r="QJ61" s="7"/>
      <c r="QM61" s="5"/>
      <c r="QO61" s="6"/>
      <c r="QS61" s="6"/>
      <c r="QT61" s="7"/>
      <c r="QY61" s="6"/>
      <c r="RD61" s="8"/>
      <c r="RE61" s="8"/>
      <c r="RF61" s="8"/>
      <c r="RH61" s="5"/>
      <c r="RI61" s="5"/>
      <c r="RJ61" s="6"/>
      <c r="RK61" s="7"/>
      <c r="RN61" s="5"/>
      <c r="RP61" s="7"/>
      <c r="RT61" s="6"/>
      <c r="RU61" s="7"/>
      <c r="RZ61" s="7"/>
    </row>
    <row r="62" spans="1:521" x14ac:dyDescent="0.3">
      <c r="H62" s="2" t="s">
        <v>6</v>
      </c>
      <c r="J62" s="63">
        <v>6</v>
      </c>
      <c r="L62" s="61">
        <v>0.75</v>
      </c>
      <c r="M62" s="55">
        <v>18.399999999999999</v>
      </c>
      <c r="N62" s="55">
        <v>17.2</v>
      </c>
      <c r="O62" s="55">
        <v>13.73</v>
      </c>
      <c r="P62" s="55">
        <v>8.1300000000000008</v>
      </c>
      <c r="Q62" s="55">
        <v>0.85</v>
      </c>
      <c r="R62" s="55"/>
      <c r="W62" s="6"/>
      <c r="X62" s="5"/>
      <c r="Y62" s="2"/>
      <c r="Z62" s="64"/>
      <c r="AA62" s="63"/>
      <c r="AB62" s="62"/>
      <c r="AC62" s="55"/>
      <c r="AD62" s="55"/>
      <c r="AG62" s="55"/>
      <c r="AH62" s="55"/>
      <c r="AJ62" s="63">
        <v>13</v>
      </c>
      <c r="AK62" s="63">
        <v>6</v>
      </c>
      <c r="AL62" s="62">
        <v>2</v>
      </c>
      <c r="AM62" s="3">
        <v>1.7</v>
      </c>
      <c r="AN62" s="3">
        <v>16.600000000000001</v>
      </c>
      <c r="AO62" s="3">
        <v>17.899999999999999</v>
      </c>
      <c r="AP62" s="55">
        <v>8.8000000000000007</v>
      </c>
      <c r="AQ62" s="55">
        <v>0.72</v>
      </c>
      <c r="AR62" s="15">
        <f t="shared" si="5"/>
        <v>34.5</v>
      </c>
      <c r="AS62" s="9">
        <f t="shared" si="6"/>
        <v>0.93327367626905811</v>
      </c>
      <c r="BH62" s="5"/>
      <c r="BI62" s="6"/>
      <c r="BT62" s="2"/>
      <c r="BU62" s="64"/>
      <c r="BV62" s="63"/>
      <c r="BW62" s="55"/>
      <c r="BX62" s="63"/>
      <c r="CE62" s="57"/>
      <c r="CF62" s="2"/>
      <c r="CJ62" s="63"/>
      <c r="CK62" s="55"/>
      <c r="CL62" s="55"/>
      <c r="CM62" s="55"/>
      <c r="CN62" s="55"/>
      <c r="CO62" s="55"/>
      <c r="CP62" s="55"/>
    </row>
    <row r="63" spans="1:521" x14ac:dyDescent="0.3">
      <c r="H63" s="2" t="s">
        <v>12</v>
      </c>
      <c r="I63" s="64"/>
      <c r="J63" s="63">
        <v>9</v>
      </c>
      <c r="K63" s="62"/>
      <c r="L63" s="61">
        <v>1.38</v>
      </c>
      <c r="M63" s="55">
        <v>11.4</v>
      </c>
      <c r="N63" s="3">
        <v>20.27</v>
      </c>
      <c r="O63" s="2">
        <v>18.07</v>
      </c>
      <c r="P63" s="55">
        <v>13.47</v>
      </c>
      <c r="Q63" s="55">
        <v>0.73</v>
      </c>
      <c r="R63" s="55"/>
      <c r="Y63" s="2"/>
      <c r="Z63" s="64"/>
      <c r="AA63" s="63"/>
      <c r="AB63" s="62"/>
      <c r="AC63" s="5"/>
      <c r="AD63" s="5"/>
      <c r="AF63" s="2"/>
      <c r="AG63" s="15"/>
      <c r="AH63" s="15"/>
      <c r="AJ63" s="63">
        <v>10</v>
      </c>
      <c r="AK63" s="63">
        <v>5</v>
      </c>
      <c r="AL63" s="62">
        <v>2</v>
      </c>
      <c r="AM63" s="3">
        <v>1.2</v>
      </c>
      <c r="AN63" s="3">
        <v>19.8</v>
      </c>
      <c r="AO63" s="2">
        <v>19.100000000000001</v>
      </c>
      <c r="AP63" s="15">
        <v>12</v>
      </c>
      <c r="AQ63" s="15">
        <v>0.74</v>
      </c>
      <c r="AR63" s="15">
        <f t="shared" si="5"/>
        <v>38.900000000000006</v>
      </c>
      <c r="AS63" s="9">
        <f t="shared" si="6"/>
        <v>0.92433696940360344</v>
      </c>
      <c r="AV63" s="80" t="s">
        <v>683</v>
      </c>
      <c r="BC63" s="6"/>
      <c r="BD63" s="7"/>
      <c r="BF63" s="80" t="s">
        <v>684</v>
      </c>
      <c r="BM63" s="6"/>
      <c r="BN63" s="7"/>
      <c r="BS63" s="6"/>
      <c r="BT63" s="2"/>
      <c r="BU63" s="64"/>
      <c r="BV63" s="63"/>
      <c r="BW63" s="62"/>
      <c r="BX63" s="63"/>
      <c r="CE63" s="57"/>
      <c r="CF63" s="2"/>
      <c r="CJ63" s="63"/>
      <c r="CK63" s="55"/>
      <c r="CL63" s="55"/>
      <c r="CM63" s="55"/>
      <c r="CN63" s="55"/>
      <c r="CO63" s="55"/>
      <c r="CP63" s="55"/>
      <c r="CU63" s="6"/>
      <c r="CV63" s="7"/>
      <c r="DA63" s="6"/>
      <c r="DE63" s="6"/>
      <c r="DF63" s="7"/>
      <c r="DK63" s="6"/>
      <c r="DV63" s="6"/>
      <c r="DW63" s="7"/>
      <c r="EB63" s="6"/>
      <c r="EF63" s="6"/>
      <c r="EG63" s="7"/>
      <c r="EL63" s="6"/>
      <c r="EW63" s="6"/>
      <c r="EX63" s="7"/>
      <c r="FC63" s="6"/>
      <c r="FG63" s="6"/>
      <c r="FH63" s="7"/>
      <c r="FM63" s="6"/>
      <c r="FX63" s="6"/>
      <c r="FY63" s="7"/>
      <c r="GD63" s="6"/>
      <c r="GH63" s="6"/>
      <c r="GI63" s="7"/>
      <c r="GN63" s="6"/>
      <c r="GY63" s="6"/>
      <c r="GZ63" s="7"/>
      <c r="HE63" s="6"/>
      <c r="HI63" s="6"/>
      <c r="HJ63" s="7"/>
      <c r="HO63" s="6"/>
      <c r="HZ63" s="6"/>
      <c r="IA63" s="7"/>
      <c r="IF63" s="6"/>
      <c r="IJ63" s="6"/>
      <c r="IK63" s="7"/>
      <c r="IP63" s="6"/>
      <c r="JA63" s="6"/>
      <c r="JB63" s="7"/>
      <c r="JG63" s="6"/>
      <c r="JK63" s="6"/>
      <c r="JL63" s="7"/>
      <c r="JQ63" s="6"/>
      <c r="KB63" s="6"/>
      <c r="KC63" s="7"/>
      <c r="KH63" s="6"/>
      <c r="KL63" s="6"/>
      <c r="KM63" s="7"/>
      <c r="KR63" s="6"/>
      <c r="LC63" s="6"/>
      <c r="LD63" s="7"/>
      <c r="LI63" s="6"/>
      <c r="LM63" s="6"/>
      <c r="LN63" s="7"/>
      <c r="LS63" s="6"/>
      <c r="MD63" s="6"/>
      <c r="ME63" s="7"/>
      <c r="MJ63" s="6"/>
      <c r="MN63" s="6"/>
      <c r="MO63" s="7"/>
      <c r="MT63" s="6"/>
      <c r="NE63" s="6"/>
      <c r="NF63" s="7"/>
      <c r="NK63" s="6"/>
      <c r="NO63" s="6"/>
      <c r="NP63" s="7"/>
      <c r="NU63" s="6"/>
      <c r="OF63" s="6"/>
      <c r="OG63" s="7"/>
      <c r="OL63" s="6"/>
      <c r="OP63" s="6"/>
      <c r="OQ63" s="7"/>
      <c r="OV63" s="6"/>
      <c r="PG63" s="6"/>
      <c r="PH63" s="7"/>
      <c r="PM63" s="6"/>
      <c r="PQ63" s="6"/>
      <c r="PR63" s="7"/>
      <c r="PW63" s="6"/>
      <c r="QH63" s="6"/>
      <c r="QI63" s="7"/>
      <c r="QN63" s="6"/>
      <c r="QR63" s="6"/>
      <c r="QS63" s="7"/>
      <c r="QX63" s="6"/>
      <c r="RI63" s="6"/>
      <c r="RJ63" s="7"/>
      <c r="RO63" s="6"/>
      <c r="RS63" s="6"/>
      <c r="RT63" s="7"/>
      <c r="RY63" s="6"/>
      <c r="SJ63" s="6"/>
      <c r="SK63" s="7"/>
      <c r="SP63" s="6"/>
      <c r="ST63" s="6"/>
      <c r="SU63" s="7"/>
      <c r="SZ63" s="6"/>
    </row>
    <row r="64" spans="1:521" x14ac:dyDescent="0.3">
      <c r="H64" s="2" t="s">
        <v>11</v>
      </c>
      <c r="I64" s="64"/>
      <c r="J64" s="63">
        <v>18</v>
      </c>
      <c r="K64" s="62"/>
      <c r="L64" s="61">
        <v>1.88</v>
      </c>
      <c r="M64" s="55">
        <v>8.67</v>
      </c>
      <c r="N64" s="3">
        <v>18.73</v>
      </c>
      <c r="O64" s="3">
        <v>15.67</v>
      </c>
      <c r="P64" s="55">
        <v>10.199999999999999</v>
      </c>
      <c r="Q64" s="55">
        <v>0.73</v>
      </c>
      <c r="R64" s="55"/>
      <c r="W64" s="6"/>
      <c r="X64" s="5"/>
      <c r="Z64" s="5"/>
      <c r="AA64" s="6"/>
      <c r="AB64" s="7"/>
      <c r="AG64" s="5"/>
      <c r="AH64" s="6"/>
      <c r="AQ64" s="5"/>
      <c r="AR64" s="5"/>
      <c r="AS64" s="6"/>
      <c r="AV64" s="70" t="s">
        <v>660</v>
      </c>
      <c r="AW64" s="71" t="s">
        <v>658</v>
      </c>
      <c r="AX64" s="71" t="s">
        <v>659</v>
      </c>
      <c r="AY64" s="71" t="s">
        <v>661</v>
      </c>
      <c r="AZ64" s="71" t="s">
        <v>662</v>
      </c>
      <c r="BA64" s="71" t="s">
        <v>665</v>
      </c>
      <c r="BB64" s="71" t="s">
        <v>676</v>
      </c>
      <c r="BC64" s="71" t="s">
        <v>667</v>
      </c>
      <c r="BD64" s="72"/>
      <c r="BF64" s="70" t="s">
        <v>660</v>
      </c>
      <c r="BG64" s="71" t="s">
        <v>658</v>
      </c>
      <c r="BH64" s="71" t="s">
        <v>659</v>
      </c>
      <c r="BI64" s="71" t="s">
        <v>661</v>
      </c>
      <c r="BJ64" s="71" t="s">
        <v>662</v>
      </c>
      <c r="BK64" s="71" t="s">
        <v>665</v>
      </c>
      <c r="BL64" s="71" t="s">
        <v>676</v>
      </c>
      <c r="BM64" s="71" t="s">
        <v>667</v>
      </c>
      <c r="BN64" s="72"/>
      <c r="BT64" s="2"/>
      <c r="BW64" s="2"/>
      <c r="BX64" s="63"/>
      <c r="CE64" s="57"/>
      <c r="CF64" s="7"/>
      <c r="CV64" s="6"/>
      <c r="CW64" s="7"/>
      <c r="DB64" s="6"/>
      <c r="DF64" s="6"/>
      <c r="DG64" s="7"/>
      <c r="DL64" s="6"/>
      <c r="DW64" s="6"/>
      <c r="DX64" s="7"/>
      <c r="EC64" s="6"/>
      <c r="EG64" s="6"/>
      <c r="EH64" s="7"/>
      <c r="EM64" s="6"/>
      <c r="EX64" s="6"/>
      <c r="EY64" s="7"/>
      <c r="FD64" s="6"/>
      <c r="FH64" s="6"/>
      <c r="FI64" s="7"/>
      <c r="FN64" s="6"/>
      <c r="FY64" s="6"/>
      <c r="FZ64" s="7"/>
      <c r="GE64" s="6"/>
      <c r="GI64" s="6"/>
      <c r="GJ64" s="7"/>
      <c r="GO64" s="6"/>
      <c r="GZ64" s="6"/>
      <c r="HA64" s="7"/>
      <c r="HF64" s="6"/>
      <c r="HJ64" s="6"/>
      <c r="HK64" s="7"/>
      <c r="HP64" s="6"/>
      <c r="IA64" s="6"/>
      <c r="IB64" s="7"/>
      <c r="IG64" s="6"/>
      <c r="IK64" s="6"/>
      <c r="IL64" s="7"/>
      <c r="IQ64" s="6"/>
      <c r="JB64" s="6"/>
      <c r="JC64" s="7"/>
      <c r="JH64" s="6"/>
      <c r="JL64" s="6"/>
      <c r="JM64" s="7"/>
      <c r="JR64" s="6"/>
      <c r="KC64" s="6"/>
      <c r="KD64" s="7"/>
      <c r="KI64" s="7"/>
      <c r="KM64" s="6"/>
      <c r="KN64" s="7"/>
      <c r="KS64" s="7"/>
      <c r="LD64" s="6"/>
      <c r="LE64" s="7"/>
      <c r="LJ64" s="6"/>
      <c r="LN64" s="6"/>
      <c r="LO64" s="7"/>
      <c r="LT64" s="6"/>
      <c r="ME64" s="6"/>
      <c r="MF64" s="7"/>
      <c r="MK64" s="6"/>
      <c r="MO64" s="6"/>
      <c r="MP64" s="7"/>
      <c r="MU64" s="6"/>
      <c r="NF64" s="6"/>
      <c r="NG64" s="7"/>
      <c r="NL64" s="6"/>
      <c r="NP64" s="6"/>
      <c r="NQ64" s="7"/>
      <c r="NV64" s="6"/>
      <c r="OG64" s="6"/>
      <c r="OH64" s="7"/>
      <c r="OM64" s="6"/>
      <c r="OQ64" s="6"/>
      <c r="OR64" s="7"/>
      <c r="OW64" s="6"/>
      <c r="PH64" s="6"/>
      <c r="PI64" s="7"/>
      <c r="PN64" s="7"/>
      <c r="PR64" s="6"/>
      <c r="PS64" s="7"/>
      <c r="PX64" s="7"/>
      <c r="QI64" s="6"/>
      <c r="QJ64" s="7"/>
      <c r="QO64" s="6"/>
      <c r="QS64" s="6"/>
      <c r="QT64" s="7"/>
      <c r="QY64" s="6"/>
      <c r="RJ64" s="6"/>
      <c r="RK64" s="7"/>
      <c r="RP64" s="6"/>
      <c r="RT64" s="6"/>
      <c r="RU64" s="7"/>
      <c r="RZ64" s="6"/>
      <c r="SK64" s="6"/>
      <c r="SL64" s="7"/>
      <c r="SQ64" s="6"/>
      <c r="SU64" s="6"/>
      <c r="SV64" s="7"/>
      <c r="TA64" s="6"/>
    </row>
    <row r="65" spans="8:521" x14ac:dyDescent="0.3">
      <c r="H65" s="2" t="s">
        <v>18</v>
      </c>
      <c r="I65" s="64"/>
      <c r="J65" s="63">
        <v>11</v>
      </c>
      <c r="K65" s="62"/>
      <c r="L65" s="9">
        <v>2.38</v>
      </c>
      <c r="M65" s="5">
        <v>7.4</v>
      </c>
      <c r="N65" s="3">
        <v>16.53</v>
      </c>
      <c r="O65" s="2">
        <v>11.53</v>
      </c>
      <c r="P65" s="15">
        <v>10.27</v>
      </c>
      <c r="Q65" s="15">
        <v>0.7</v>
      </c>
      <c r="W65" s="7"/>
      <c r="X65" s="5"/>
      <c r="Z65" s="5"/>
      <c r="AA65" s="6"/>
      <c r="AB65" s="7"/>
      <c r="AG65" s="5"/>
      <c r="AH65" s="7"/>
      <c r="AM65" s="8"/>
      <c r="AN65" s="8"/>
      <c r="AQ65" s="5" t="s">
        <v>671</v>
      </c>
      <c r="AR65" s="15">
        <v>0.95</v>
      </c>
      <c r="AS65" s="7" t="s">
        <v>673</v>
      </c>
      <c r="AT65" s="3">
        <v>0.5</v>
      </c>
      <c r="AV65" s="67">
        <v>5</v>
      </c>
      <c r="AW65" s="2">
        <f>CORREL(AN34:AN45, AK34:AK45)</f>
        <v>1.1058519341916571E-2</v>
      </c>
      <c r="AX65" s="2">
        <f>CORREL(AP34:AP45, AK34:AK45)</f>
        <v>-0.16035911828942234</v>
      </c>
      <c r="AY65" s="2">
        <f>CORREL(AO34:AO45, AK34:AK45)</f>
        <v>0.17297059243811877</v>
      </c>
      <c r="AZ65" s="2">
        <f>CORREL(AQ34:AQ45, AK34:AK45)</f>
        <v>-0.24110769676010191</v>
      </c>
      <c r="BA65" s="2"/>
      <c r="BB65" s="2"/>
      <c r="BC65" s="2"/>
      <c r="BD65" s="73"/>
      <c r="BF65" s="67">
        <v>5</v>
      </c>
      <c r="BG65" s="2">
        <f>CORREL(AN34:AN45, AJ34:AJ45)</f>
        <v>-0.1766648249237967</v>
      </c>
      <c r="BH65" s="2">
        <f>CORREL(AP34:AP45, AJ34:AJ45)</f>
        <v>-0.41554428654995429</v>
      </c>
      <c r="BI65" s="2">
        <f>CORREL(AO34:AO45, AJ34:AJ45)</f>
        <v>0.12584051354276934</v>
      </c>
      <c r="BJ65" s="2">
        <f>CORREL(AQ34:AQ45, AJ34:AJ45)</f>
        <v>-0.49921089315680062</v>
      </c>
      <c r="BK65" s="2"/>
      <c r="BL65" s="2"/>
      <c r="BM65" s="2"/>
      <c r="BN65" s="73"/>
      <c r="BT65" s="2"/>
      <c r="BU65" s="64"/>
      <c r="BV65" s="63"/>
      <c r="BW65" s="62"/>
      <c r="BX65" s="63"/>
      <c r="CE65" s="57"/>
      <c r="CF65" s="7"/>
      <c r="CV65" s="6"/>
      <c r="CW65" s="7"/>
      <c r="DB65" s="6"/>
      <c r="DF65" s="6"/>
      <c r="DG65" s="7"/>
      <c r="DL65" s="6"/>
      <c r="DW65" s="6"/>
      <c r="DX65" s="7"/>
      <c r="EC65" s="6"/>
      <c r="EG65" s="6"/>
      <c r="EH65" s="7"/>
      <c r="EM65" s="6"/>
      <c r="EX65" s="6"/>
      <c r="EY65" s="7"/>
      <c r="FD65" s="6"/>
      <c r="FH65" s="6"/>
      <c r="FI65" s="7"/>
      <c r="FN65" s="6"/>
      <c r="FY65" s="6"/>
      <c r="FZ65" s="7"/>
      <c r="GE65" s="6"/>
      <c r="GI65" s="6"/>
      <c r="GJ65" s="7"/>
      <c r="GO65" s="6"/>
      <c r="GZ65" s="6"/>
      <c r="HA65" s="7"/>
      <c r="HF65" s="6"/>
      <c r="HJ65" s="6"/>
      <c r="HK65" s="7"/>
      <c r="HP65" s="6"/>
      <c r="HU65" s="8"/>
      <c r="HV65" s="8"/>
      <c r="HW65" s="8"/>
      <c r="IA65" s="6"/>
      <c r="IB65" s="7"/>
      <c r="IG65" s="6"/>
      <c r="IK65" s="6"/>
      <c r="IL65" s="7"/>
      <c r="IQ65" s="6"/>
      <c r="JB65" s="6"/>
      <c r="JC65" s="7"/>
      <c r="JH65" s="6"/>
      <c r="JL65" s="6"/>
      <c r="JM65" s="7"/>
      <c r="JR65" s="6"/>
      <c r="KC65" s="6"/>
      <c r="KD65" s="7"/>
      <c r="KI65" s="6"/>
      <c r="KM65" s="6"/>
      <c r="KN65" s="7"/>
      <c r="KS65" s="6"/>
      <c r="LD65" s="6"/>
      <c r="LE65" s="7"/>
      <c r="LJ65" s="6"/>
      <c r="LN65" s="6"/>
      <c r="LO65" s="7"/>
      <c r="LT65" s="6"/>
      <c r="ME65" s="6"/>
      <c r="MF65" s="7"/>
      <c r="MK65" s="6"/>
      <c r="MO65" s="6"/>
      <c r="MP65" s="7"/>
      <c r="MU65" s="6"/>
      <c r="NF65" s="6"/>
      <c r="NG65" s="7"/>
      <c r="NL65" s="6"/>
      <c r="NP65" s="6"/>
      <c r="NQ65" s="7"/>
      <c r="NV65" s="6"/>
      <c r="OG65" s="6"/>
      <c r="OH65" s="7"/>
      <c r="OM65" s="7"/>
      <c r="OQ65" s="6"/>
      <c r="OR65" s="7"/>
      <c r="OW65" s="7"/>
      <c r="PH65" s="6"/>
      <c r="PI65" s="7"/>
      <c r="PN65" s="6"/>
      <c r="PR65" s="6"/>
      <c r="PS65" s="7"/>
      <c r="PX65" s="6"/>
      <c r="QI65" s="6"/>
      <c r="QJ65" s="7"/>
      <c r="QO65" s="6"/>
      <c r="QS65" s="6"/>
      <c r="QT65" s="7"/>
      <c r="QY65" s="6"/>
      <c r="RJ65" s="6"/>
      <c r="RK65" s="7"/>
      <c r="RP65" s="7"/>
      <c r="RT65" s="6"/>
      <c r="RU65" s="7"/>
      <c r="RZ65" s="7"/>
      <c r="SK65" s="6"/>
      <c r="SL65" s="7"/>
      <c r="SQ65" s="6"/>
      <c r="SU65" s="6"/>
      <c r="SV65" s="7"/>
      <c r="TA65" s="6"/>
    </row>
    <row r="66" spans="8:521" x14ac:dyDescent="0.3">
      <c r="O66" s="5"/>
      <c r="R66" s="5"/>
      <c r="W66" s="6"/>
      <c r="X66" s="5"/>
      <c r="Z66" s="5"/>
      <c r="AA66" s="6"/>
      <c r="AB66" s="7"/>
      <c r="AG66" s="5"/>
      <c r="AH66" s="6"/>
      <c r="AJ66" s="2" t="s">
        <v>655</v>
      </c>
      <c r="AP66" s="5"/>
      <c r="AQ66" s="5" t="s">
        <v>672</v>
      </c>
      <c r="AR66" s="9">
        <v>0.6</v>
      </c>
      <c r="AS66" s="7" t="s">
        <v>674</v>
      </c>
      <c r="AT66" s="3">
        <v>-0.5</v>
      </c>
      <c r="AV66" s="67">
        <v>6</v>
      </c>
      <c r="AW66" s="2"/>
      <c r="AX66" s="2"/>
      <c r="AY66" s="2"/>
      <c r="AZ66" s="2"/>
      <c r="BA66" s="2"/>
      <c r="BB66" s="2"/>
      <c r="BC66" s="2"/>
      <c r="BD66" s="73"/>
      <c r="BF66" s="67">
        <v>6</v>
      </c>
      <c r="BG66" s="2"/>
      <c r="BH66" s="2"/>
      <c r="BI66" s="2"/>
      <c r="BJ66" s="2"/>
      <c r="BK66" s="2"/>
      <c r="BL66" s="2"/>
      <c r="BM66" s="2"/>
      <c r="BN66" s="73"/>
      <c r="BT66" s="2"/>
      <c r="BU66" s="64"/>
      <c r="BV66" s="63"/>
      <c r="BW66" s="62"/>
      <c r="BX66" s="63"/>
      <c r="CE66" s="57"/>
      <c r="CF66" s="7"/>
      <c r="CV66" s="6"/>
      <c r="CW66" s="7"/>
      <c r="DB66" s="6"/>
      <c r="DF66" s="6"/>
      <c r="DG66" s="7"/>
      <c r="DL66" s="6"/>
      <c r="DW66" s="6"/>
      <c r="DX66" s="7"/>
      <c r="EC66" s="6"/>
      <c r="EG66" s="6"/>
      <c r="EH66" s="7"/>
      <c r="EM66" s="6"/>
      <c r="EX66" s="6"/>
      <c r="EY66" s="7"/>
      <c r="FD66" s="6"/>
      <c r="FH66" s="6"/>
      <c r="FI66" s="7"/>
      <c r="FN66" s="6"/>
      <c r="FY66" s="6"/>
      <c r="FZ66" s="7"/>
      <c r="GE66" s="6"/>
      <c r="GI66" s="6"/>
      <c r="GJ66" s="7"/>
      <c r="GO66" s="6"/>
      <c r="GZ66" s="6"/>
      <c r="HA66" s="7"/>
      <c r="HF66" s="6"/>
      <c r="HJ66" s="6"/>
      <c r="HK66" s="7"/>
      <c r="HP66" s="6"/>
      <c r="JB66" s="6"/>
      <c r="JC66" s="7"/>
      <c r="JH66" s="6"/>
      <c r="JL66" s="6"/>
      <c r="JM66" s="7"/>
      <c r="JR66" s="6"/>
      <c r="KC66" s="6"/>
      <c r="KD66" s="7"/>
      <c r="KI66" s="6"/>
      <c r="KM66" s="6"/>
      <c r="KN66" s="7"/>
      <c r="KS66" s="6"/>
      <c r="LD66" s="6"/>
      <c r="LE66" s="7"/>
      <c r="LJ66" s="6"/>
      <c r="LN66" s="6"/>
      <c r="LO66" s="7"/>
      <c r="LT66" s="6"/>
      <c r="ME66" s="6"/>
      <c r="MF66" s="7"/>
      <c r="MK66" s="6"/>
      <c r="MO66" s="6"/>
      <c r="MP66" s="7"/>
      <c r="MU66" s="6"/>
      <c r="NF66" s="6"/>
      <c r="NG66" s="7"/>
      <c r="NL66" s="6"/>
      <c r="NP66" s="6"/>
      <c r="NQ66" s="7"/>
      <c r="NV66" s="6"/>
      <c r="OG66" s="6"/>
      <c r="OH66" s="7"/>
      <c r="OM66" s="6"/>
      <c r="OQ66" s="6"/>
      <c r="OR66" s="7"/>
      <c r="OW66" s="6"/>
      <c r="PH66" s="6"/>
      <c r="PI66" s="7"/>
      <c r="PN66" s="7"/>
      <c r="PR66" s="6"/>
      <c r="PS66" s="7"/>
      <c r="PX66" s="7"/>
      <c r="QI66" s="6"/>
      <c r="QJ66" s="7"/>
      <c r="QO66" s="6"/>
      <c r="QS66" s="6"/>
      <c r="QT66" s="7"/>
      <c r="QY66" s="6"/>
      <c r="RJ66" s="6"/>
      <c r="RK66" s="7"/>
      <c r="RP66" s="6"/>
      <c r="RT66" s="6"/>
      <c r="RU66" s="7"/>
      <c r="RZ66" s="6"/>
      <c r="SK66" s="6"/>
      <c r="SL66" s="7"/>
      <c r="SQ66" s="7"/>
      <c r="SU66" s="6"/>
      <c r="SV66" s="7"/>
      <c r="TA66" s="7"/>
    </row>
    <row r="67" spans="8:521" x14ac:dyDescent="0.3">
      <c r="O67" s="5"/>
      <c r="R67" s="5"/>
      <c r="W67" s="6"/>
      <c r="X67" s="5"/>
      <c r="Z67" s="5"/>
      <c r="AA67" s="6"/>
      <c r="AB67" s="7"/>
      <c r="AG67" s="5"/>
      <c r="AH67" s="6"/>
      <c r="AJ67" s="2" t="s">
        <v>680</v>
      </c>
      <c r="AK67" s="2" t="s">
        <v>677</v>
      </c>
      <c r="AL67" s="2" t="s">
        <v>678</v>
      </c>
      <c r="AM67" s="2" t="s">
        <v>46</v>
      </c>
      <c r="AN67" s="2" t="s">
        <v>57</v>
      </c>
      <c r="AO67" s="2" t="s">
        <v>60</v>
      </c>
      <c r="AP67" s="2" t="s">
        <v>28</v>
      </c>
      <c r="AQ67" s="2" t="s">
        <v>670</v>
      </c>
      <c r="AR67" s="2" t="s">
        <v>675</v>
      </c>
      <c r="AV67" s="67">
        <v>7</v>
      </c>
      <c r="AW67" s="2"/>
      <c r="AX67" s="2"/>
      <c r="AY67" s="2"/>
      <c r="AZ67" s="2"/>
      <c r="BA67" s="2"/>
      <c r="BB67" s="2"/>
      <c r="BC67" s="2"/>
      <c r="BD67" s="66"/>
      <c r="BF67" s="67">
        <v>7</v>
      </c>
      <c r="BG67" s="2"/>
      <c r="BH67" s="2"/>
      <c r="BI67" s="2"/>
      <c r="BJ67" s="2"/>
      <c r="BK67" s="2"/>
      <c r="BL67" s="2"/>
      <c r="BM67" s="2"/>
      <c r="BN67" s="66"/>
      <c r="BT67" s="2"/>
      <c r="BU67" s="64"/>
      <c r="BV67" s="63"/>
      <c r="BW67" s="62"/>
      <c r="BX67" s="63"/>
      <c r="CE67" s="57"/>
      <c r="CF67" s="7"/>
      <c r="CV67" s="6"/>
      <c r="CW67" s="7"/>
      <c r="DB67" s="6"/>
      <c r="DF67" s="6"/>
      <c r="DG67" s="7"/>
      <c r="DL67" s="6"/>
      <c r="DW67" s="6"/>
      <c r="DX67" s="7"/>
      <c r="EC67" s="6"/>
      <c r="EG67" s="6"/>
      <c r="EH67" s="7"/>
      <c r="EM67" s="6"/>
      <c r="EX67" s="6"/>
      <c r="EY67" s="7"/>
      <c r="FD67" s="6"/>
      <c r="FH67" s="6"/>
      <c r="FI67" s="7"/>
      <c r="FN67" s="6"/>
      <c r="FY67" s="6"/>
      <c r="FZ67" s="7"/>
      <c r="GE67" s="6"/>
      <c r="GI67" s="6"/>
      <c r="GJ67" s="7"/>
      <c r="GO67" s="6"/>
      <c r="GZ67" s="6"/>
      <c r="HA67" s="7"/>
      <c r="HF67" s="6"/>
      <c r="HJ67" s="6"/>
      <c r="HK67" s="7"/>
      <c r="HP67" s="6"/>
      <c r="JB67" s="6"/>
      <c r="JC67" s="7"/>
      <c r="JH67" s="6"/>
      <c r="JL67" s="6"/>
      <c r="JM67" s="7"/>
      <c r="JR67" s="6"/>
      <c r="KC67" s="6"/>
      <c r="KD67" s="7"/>
      <c r="KI67" s="6"/>
      <c r="KM67" s="6"/>
      <c r="KN67" s="7"/>
      <c r="KS67" s="6"/>
      <c r="LD67" s="6"/>
      <c r="LE67" s="7"/>
      <c r="LJ67" s="6"/>
      <c r="LN67" s="6"/>
      <c r="LO67" s="7"/>
      <c r="LT67" s="6"/>
      <c r="ME67" s="6"/>
      <c r="MF67" s="7"/>
      <c r="MK67" s="6"/>
      <c r="MO67" s="6"/>
      <c r="MP67" s="7"/>
      <c r="MU67" s="6"/>
      <c r="NF67" s="6"/>
      <c r="NG67" s="7"/>
      <c r="NL67" s="6"/>
      <c r="NP67" s="6"/>
      <c r="NQ67" s="7"/>
      <c r="NV67" s="6"/>
      <c r="OA67" s="8"/>
      <c r="OB67" s="8"/>
      <c r="OC67" s="8"/>
      <c r="OG67" s="6"/>
      <c r="OH67" s="7"/>
      <c r="OM67" s="6"/>
      <c r="OQ67" s="6"/>
      <c r="OR67" s="7"/>
      <c r="OW67" s="6"/>
      <c r="PH67" s="6"/>
      <c r="PI67" s="7"/>
      <c r="PN67" s="6"/>
      <c r="PR67" s="6"/>
      <c r="PS67" s="7"/>
      <c r="PX67" s="6"/>
      <c r="QI67" s="6"/>
      <c r="QJ67" s="7"/>
      <c r="QO67" s="6"/>
      <c r="QS67" s="6"/>
      <c r="QT67" s="7"/>
      <c r="QY67" s="6"/>
      <c r="RJ67" s="6"/>
      <c r="RK67" s="7"/>
      <c r="RP67" s="6"/>
      <c r="RT67" s="6"/>
      <c r="RU67" s="7"/>
      <c r="RZ67" s="6"/>
      <c r="SK67" s="6"/>
      <c r="SL67" s="7"/>
      <c r="SQ67" s="6"/>
      <c r="SU67" s="6"/>
      <c r="SV67" s="7"/>
      <c r="TA67" s="6"/>
    </row>
    <row r="68" spans="8:521" x14ac:dyDescent="0.3">
      <c r="O68" s="5"/>
      <c r="R68" s="5"/>
      <c r="W68" s="6"/>
      <c r="X68" s="5"/>
      <c r="Z68" s="5"/>
      <c r="AA68" s="6"/>
      <c r="AB68" s="7"/>
      <c r="AG68" s="5"/>
      <c r="AH68" s="6"/>
      <c r="AJ68" s="62">
        <v>13</v>
      </c>
      <c r="AK68" s="63">
        <v>3</v>
      </c>
      <c r="AL68" s="55">
        <v>1</v>
      </c>
      <c r="AM68" s="3">
        <v>17.87</v>
      </c>
      <c r="AN68" s="3">
        <v>20.399999999999999</v>
      </c>
      <c r="AO68" s="3">
        <v>7.93</v>
      </c>
      <c r="AP68" s="3">
        <v>0.75</v>
      </c>
      <c r="AR68" s="68"/>
      <c r="AV68" s="67">
        <v>8</v>
      </c>
      <c r="AW68" s="2">
        <f>CORREL(BJ33:BJ44, BG33:BG44)</f>
        <v>0.16622878790440532</v>
      </c>
      <c r="AX68" s="2">
        <f>CORREL(BL33:BL44, BG33:BG44)</f>
        <v>9.1502080460235571E-2</v>
      </c>
      <c r="AY68" s="2">
        <f>CORREL(BK33:BK44, BG33:BG44)</f>
        <v>0.32693798831229542</v>
      </c>
      <c r="AZ68" s="2">
        <f>CORREL(BM33:BM44, BG33:BG44)</f>
        <v>-0.34104294658208406</v>
      </c>
      <c r="BA68" s="2"/>
      <c r="BB68" s="2"/>
      <c r="BC68" s="2"/>
      <c r="BD68" s="73"/>
      <c r="BF68" s="67">
        <v>8</v>
      </c>
      <c r="BG68" s="2">
        <f>CORREL(BJ33:BJ44, BF33:BF44)</f>
        <v>-0.1234336684118114</v>
      </c>
      <c r="BH68" s="2">
        <f>CORREL(BL33:BL44, BF33:BF44)</f>
        <v>-0.2547576469462271</v>
      </c>
      <c r="BI68" s="2">
        <f>CORREL(BK33:BK44, BF33:BF44)</f>
        <v>0.21911446242463459</v>
      </c>
      <c r="BJ68" s="2">
        <f>CORREL(BM33:BM44, BF33:BF44)</f>
        <v>-0.54360501930044758</v>
      </c>
      <c r="BK68" s="2"/>
      <c r="BL68" s="2"/>
      <c r="BM68" s="2"/>
      <c r="BN68" s="73"/>
      <c r="BT68" s="2"/>
      <c r="BU68" s="64"/>
      <c r="BV68" s="63"/>
      <c r="BW68" s="62"/>
      <c r="BX68" s="63"/>
      <c r="CE68" s="57"/>
      <c r="CF68" s="7"/>
      <c r="CV68" s="6"/>
      <c r="CW68" s="7"/>
      <c r="DB68" s="6"/>
      <c r="DF68" s="6"/>
      <c r="DG68" s="7"/>
      <c r="DL68" s="6"/>
      <c r="DW68" s="6"/>
      <c r="DX68" s="7"/>
      <c r="EC68" s="6"/>
      <c r="EG68" s="6"/>
      <c r="EH68" s="7"/>
      <c r="EM68" s="6"/>
      <c r="EX68" s="6"/>
      <c r="EY68" s="7"/>
      <c r="FD68" s="6"/>
      <c r="FH68" s="6"/>
      <c r="FI68" s="7"/>
      <c r="FN68" s="6"/>
      <c r="FY68" s="6"/>
      <c r="FZ68" s="7"/>
      <c r="GE68" s="6"/>
      <c r="GI68" s="6"/>
      <c r="GJ68" s="7"/>
      <c r="GO68" s="6"/>
      <c r="GZ68" s="6"/>
      <c r="HA68" s="7"/>
      <c r="HF68" s="6"/>
      <c r="HJ68" s="6"/>
      <c r="HK68" s="7"/>
      <c r="HP68" s="6"/>
      <c r="JB68" s="6"/>
      <c r="JC68" s="7"/>
      <c r="JH68" s="6"/>
      <c r="JL68" s="6"/>
      <c r="JM68" s="7"/>
      <c r="JR68" s="6"/>
      <c r="KC68" s="6"/>
      <c r="KD68" s="7"/>
      <c r="KI68" s="6"/>
      <c r="KM68" s="6"/>
      <c r="KN68" s="7"/>
      <c r="KS68" s="6"/>
      <c r="LD68" s="6"/>
      <c r="LE68" s="7"/>
      <c r="LJ68" s="6"/>
      <c r="LN68" s="6"/>
      <c r="LO68" s="7"/>
      <c r="LT68" s="6"/>
      <c r="ME68" s="6"/>
      <c r="MF68" s="7"/>
      <c r="MK68" s="6"/>
      <c r="MO68" s="6"/>
      <c r="MP68" s="7"/>
      <c r="MU68" s="6"/>
      <c r="NF68" s="6"/>
      <c r="NG68" s="7"/>
      <c r="NL68" s="6"/>
      <c r="NP68" s="6"/>
      <c r="NQ68" s="7"/>
      <c r="NV68" s="6"/>
      <c r="PH68" s="6"/>
      <c r="PI68" s="7"/>
      <c r="PN68" s="6"/>
      <c r="PR68" s="6"/>
      <c r="PS68" s="7"/>
      <c r="PX68" s="6"/>
      <c r="QI68" s="6"/>
      <c r="QJ68" s="7"/>
      <c r="QO68" s="6"/>
      <c r="QS68" s="6"/>
      <c r="QT68" s="7"/>
      <c r="QY68" s="6"/>
      <c r="RJ68" s="6"/>
      <c r="RK68" s="7"/>
      <c r="RP68" s="6"/>
      <c r="RT68" s="6"/>
      <c r="RU68" s="7"/>
      <c r="RZ68" s="6"/>
      <c r="SK68" s="6"/>
      <c r="SL68" s="7"/>
      <c r="SQ68" s="6"/>
      <c r="SU68" s="6"/>
      <c r="SV68" s="7"/>
      <c r="TA68" s="6"/>
    </row>
    <row r="69" spans="8:521" x14ac:dyDescent="0.3">
      <c r="O69" s="5"/>
      <c r="R69" s="5"/>
      <c r="W69" s="6"/>
      <c r="X69" s="5"/>
      <c r="Z69" s="2"/>
      <c r="AA69" s="64"/>
      <c r="AB69" s="63"/>
      <c r="AC69" s="55"/>
      <c r="AJ69" s="63">
        <v>16</v>
      </c>
      <c r="AK69" s="63">
        <v>4</v>
      </c>
      <c r="AL69" s="55">
        <v>1</v>
      </c>
      <c r="AM69" s="3">
        <v>15.73</v>
      </c>
      <c r="AN69" s="3">
        <v>11.53</v>
      </c>
      <c r="AO69" s="3">
        <v>8.33</v>
      </c>
      <c r="AP69" s="3">
        <v>0.74</v>
      </c>
      <c r="AR69" s="68"/>
      <c r="AV69" s="67">
        <v>9</v>
      </c>
      <c r="AW69" s="2"/>
      <c r="AX69" s="2"/>
      <c r="AY69" s="2"/>
      <c r="AZ69" s="2"/>
      <c r="BA69" s="2"/>
      <c r="BB69" s="2"/>
      <c r="BC69" s="2"/>
      <c r="BD69" s="73"/>
      <c r="BF69" s="67">
        <v>9</v>
      </c>
      <c r="BG69" s="2"/>
      <c r="BH69" s="2"/>
      <c r="BI69" s="2"/>
      <c r="BJ69" s="2"/>
      <c r="BK69" s="2"/>
      <c r="BL69" s="2"/>
      <c r="BM69" s="2"/>
      <c r="BN69" s="73"/>
      <c r="BT69" s="2"/>
      <c r="BW69" s="2"/>
      <c r="BX69" s="63"/>
      <c r="CA69" s="55"/>
      <c r="CB69" s="55"/>
      <c r="CC69" s="55"/>
      <c r="CD69" s="55"/>
      <c r="CE69" s="55"/>
      <c r="CF69" s="7"/>
      <c r="CV69" s="6"/>
      <c r="CW69" s="7"/>
      <c r="DB69" s="6"/>
      <c r="DF69" s="6"/>
      <c r="DG69" s="7"/>
      <c r="DL69" s="6"/>
      <c r="DW69" s="6"/>
      <c r="DX69" s="7"/>
      <c r="EC69" s="6"/>
      <c r="EG69" s="6"/>
      <c r="EH69" s="7"/>
      <c r="EM69" s="6"/>
      <c r="EX69" s="6"/>
      <c r="EY69" s="7"/>
      <c r="FD69" s="6"/>
      <c r="FH69" s="6"/>
      <c r="FI69" s="7"/>
      <c r="FN69" s="6"/>
      <c r="FS69" s="8"/>
      <c r="FT69" s="8"/>
      <c r="FU69" s="8"/>
      <c r="FY69" s="6"/>
      <c r="FZ69" s="7"/>
      <c r="GE69" s="6"/>
      <c r="GI69" s="6"/>
      <c r="GJ69" s="7"/>
      <c r="GO69" s="6"/>
      <c r="GZ69" s="6"/>
      <c r="HA69" s="7"/>
      <c r="HF69" s="6"/>
      <c r="HJ69" s="6"/>
      <c r="HK69" s="7"/>
      <c r="HP69" s="6"/>
      <c r="JB69" s="6"/>
      <c r="JC69" s="7"/>
      <c r="JH69" s="6"/>
      <c r="JL69" s="6"/>
      <c r="JM69" s="7"/>
      <c r="JR69" s="6"/>
      <c r="KC69" s="6"/>
      <c r="KD69" s="7"/>
      <c r="KI69" s="7"/>
      <c r="KM69" s="6"/>
      <c r="KN69" s="7"/>
      <c r="KS69" s="7"/>
      <c r="LD69" s="6"/>
      <c r="LE69" s="7"/>
      <c r="LJ69" s="6"/>
      <c r="LN69" s="6"/>
      <c r="LO69" s="7"/>
      <c r="LT69" s="6"/>
      <c r="ME69" s="6"/>
      <c r="MF69" s="7"/>
      <c r="MK69" s="6"/>
      <c r="MO69" s="6"/>
      <c r="MP69" s="7"/>
      <c r="MU69" s="6"/>
      <c r="NF69" s="6"/>
      <c r="NG69" s="7"/>
      <c r="NL69" s="6"/>
      <c r="NP69" s="6"/>
      <c r="NQ69" s="7"/>
      <c r="NV69" s="6"/>
      <c r="PH69" s="6"/>
      <c r="PI69" s="7"/>
      <c r="PN69" s="7"/>
      <c r="PR69" s="6"/>
      <c r="PS69" s="7"/>
      <c r="PX69" s="7"/>
      <c r="QI69" s="6"/>
      <c r="QJ69" s="7"/>
      <c r="QO69" s="6"/>
      <c r="QS69" s="6"/>
      <c r="QT69" s="7"/>
      <c r="QY69" s="6"/>
      <c r="RJ69" s="6"/>
      <c r="RK69" s="7"/>
      <c r="RP69" s="6"/>
      <c r="RT69" s="6"/>
      <c r="RU69" s="7"/>
      <c r="RZ69" s="6"/>
      <c r="SK69" s="6"/>
      <c r="SL69" s="7"/>
      <c r="SQ69" s="6"/>
      <c r="SU69" s="6"/>
      <c r="SV69" s="7"/>
      <c r="TA69" s="6"/>
    </row>
    <row r="70" spans="8:521" x14ac:dyDescent="0.3">
      <c r="O70" s="5"/>
      <c r="R70" s="5"/>
      <c r="W70" s="6"/>
      <c r="X70" s="5"/>
      <c r="AA70" s="64"/>
      <c r="AB70" s="63"/>
      <c r="AC70" s="55"/>
      <c r="AJ70" s="63">
        <v>17</v>
      </c>
      <c r="AK70" s="63">
        <v>1</v>
      </c>
      <c r="AL70" s="55">
        <v>0</v>
      </c>
      <c r="AM70" s="3">
        <v>19.600000000000001</v>
      </c>
      <c r="AN70" s="3">
        <v>16.27</v>
      </c>
      <c r="AO70" s="3">
        <v>13.07</v>
      </c>
      <c r="AP70" s="3">
        <v>0.75</v>
      </c>
      <c r="AR70" s="68"/>
      <c r="AV70" s="67">
        <v>10</v>
      </c>
      <c r="AW70" s="2">
        <f>CORREL(AN52:AN63, AK52:AK63)</f>
        <v>0.10222146180052648</v>
      </c>
      <c r="AX70" s="2">
        <f>CORREL(AP52:AP63, AK52:AK63)</f>
        <v>0.12921635015729444</v>
      </c>
      <c r="AY70" s="2">
        <f>CORREL(AO52:AO63, AK52:AK63)</f>
        <v>0.28704949345236225</v>
      </c>
      <c r="AZ70" s="2">
        <f>CORREL(AQ52:AQ63, AK52:AK63)</f>
        <v>-0.32207414476415419</v>
      </c>
      <c r="BA70" s="2"/>
      <c r="BB70" s="2"/>
      <c r="BC70" s="2"/>
      <c r="BD70" s="73"/>
      <c r="BF70" s="67">
        <v>10</v>
      </c>
      <c r="BG70" s="3">
        <f>CORREL(AN52:AN63, AJ52:AJ63)</f>
        <v>-9.5690927635476361E-2</v>
      </c>
      <c r="BH70" s="3">
        <f>CORREL(AP52:AP63, AJ52:AJ63)</f>
        <v>-0.25413565519233805</v>
      </c>
      <c r="BI70" s="3">
        <f>CORREL(AO52:AO63, AJ52:AJ63)</f>
        <v>0.23280358276121529</v>
      </c>
      <c r="BJ70" s="3">
        <f>CORREL(AQ52:AQ63, AJ52:AJ63)</f>
        <v>-0.55850692045428985</v>
      </c>
      <c r="BL70" s="2"/>
      <c r="BM70" s="2"/>
      <c r="BN70" s="73"/>
      <c r="BT70" s="2"/>
      <c r="BU70" s="64"/>
      <c r="BV70" s="63"/>
      <c r="BW70" s="62"/>
      <c r="BX70" s="63"/>
      <c r="CA70" s="55"/>
      <c r="CB70" s="55"/>
      <c r="CC70" s="55"/>
      <c r="CD70" s="55"/>
      <c r="CE70" s="55"/>
      <c r="CF70" s="7"/>
      <c r="CV70" s="6"/>
      <c r="CW70" s="7"/>
      <c r="DB70" s="6"/>
      <c r="DF70" s="6"/>
      <c r="DG70" s="7"/>
      <c r="DL70" s="6"/>
      <c r="DW70" s="6"/>
      <c r="DX70" s="7"/>
      <c r="EC70" s="6"/>
      <c r="EG70" s="6"/>
      <c r="EH70" s="7"/>
      <c r="EM70" s="6"/>
      <c r="EX70" s="6"/>
      <c r="EY70" s="7"/>
      <c r="FD70" s="6"/>
      <c r="FH70" s="6"/>
      <c r="FI70" s="7"/>
      <c r="FN70" s="6"/>
      <c r="GZ70" s="6"/>
      <c r="HA70" s="7"/>
      <c r="HF70" s="6"/>
      <c r="HJ70" s="6"/>
      <c r="HK70" s="7"/>
      <c r="HP70" s="6"/>
      <c r="JB70" s="6"/>
      <c r="JC70" s="7"/>
      <c r="JH70" s="6"/>
      <c r="JL70" s="6"/>
      <c r="JM70" s="7"/>
      <c r="JR70" s="6"/>
      <c r="KC70" s="6"/>
      <c r="KD70" s="7"/>
      <c r="KI70" s="6"/>
      <c r="KM70" s="6"/>
      <c r="KN70" s="7"/>
      <c r="KS70" s="6"/>
      <c r="LD70" s="6"/>
      <c r="LE70" s="7"/>
      <c r="LJ70" s="6"/>
      <c r="LN70" s="6"/>
      <c r="LO70" s="7"/>
      <c r="LT70" s="6"/>
      <c r="ME70" s="6"/>
      <c r="MF70" s="7"/>
      <c r="MK70" s="7"/>
      <c r="MO70" s="6"/>
      <c r="MP70" s="7"/>
      <c r="MU70" s="7"/>
      <c r="NF70" s="6"/>
      <c r="NG70" s="7"/>
      <c r="NL70" s="6"/>
      <c r="NP70" s="6"/>
      <c r="NQ70" s="7"/>
      <c r="NV70" s="6"/>
      <c r="PH70" s="6"/>
      <c r="PI70" s="7"/>
      <c r="PN70" s="6"/>
      <c r="PR70" s="6"/>
      <c r="PS70" s="7"/>
      <c r="PX70" s="6"/>
      <c r="QI70" s="6"/>
      <c r="QJ70" s="7"/>
      <c r="QO70" s="6"/>
      <c r="QS70" s="6"/>
      <c r="QT70" s="7"/>
      <c r="QY70" s="6"/>
      <c r="RJ70" s="6"/>
      <c r="RK70" s="7"/>
      <c r="RP70" s="6"/>
      <c r="RT70" s="6"/>
      <c r="RU70" s="7"/>
      <c r="RZ70" s="6"/>
      <c r="SK70" s="6"/>
      <c r="SL70" s="7"/>
      <c r="SQ70" s="6"/>
      <c r="SU70" s="6"/>
      <c r="SV70" s="7"/>
      <c r="TA70" s="6"/>
    </row>
    <row r="71" spans="8:521" x14ac:dyDescent="0.3">
      <c r="O71" s="5"/>
      <c r="R71" s="5"/>
      <c r="W71" s="6"/>
      <c r="X71" s="5"/>
      <c r="Z71" s="2"/>
      <c r="AA71" s="64"/>
      <c r="AB71" s="63"/>
      <c r="AC71" s="55"/>
      <c r="AJ71" s="63">
        <v>29</v>
      </c>
      <c r="AK71" s="63">
        <v>8</v>
      </c>
      <c r="AL71" s="62">
        <v>3</v>
      </c>
      <c r="AM71" s="3">
        <v>19</v>
      </c>
      <c r="AN71" s="3">
        <v>18.329999999999998</v>
      </c>
      <c r="AO71" s="3">
        <v>7.67</v>
      </c>
      <c r="AP71" s="3">
        <v>0.66</v>
      </c>
      <c r="AR71" s="68"/>
      <c r="AV71" s="67">
        <v>11</v>
      </c>
      <c r="AW71" s="2"/>
      <c r="AX71" s="2"/>
      <c r="AY71" s="2"/>
      <c r="AZ71" s="2"/>
      <c r="BA71" s="2"/>
      <c r="BB71" s="2"/>
      <c r="BC71" s="2"/>
      <c r="BD71" s="73"/>
      <c r="BF71" s="67">
        <v>11</v>
      </c>
      <c r="BG71" s="2"/>
      <c r="BH71" s="2"/>
      <c r="BI71" s="2"/>
      <c r="BJ71" s="2"/>
      <c r="BK71" s="2"/>
      <c r="BL71" s="2"/>
      <c r="BM71" s="2"/>
      <c r="BN71" s="73"/>
      <c r="BT71" s="2"/>
      <c r="BX71" s="63"/>
      <c r="BY71" s="55"/>
      <c r="BZ71" s="55"/>
      <c r="CA71" s="55"/>
      <c r="CB71" s="55"/>
      <c r="CC71" s="55"/>
      <c r="CD71" s="55"/>
      <c r="CE71" s="55"/>
      <c r="CF71" s="7"/>
      <c r="CV71" s="6"/>
      <c r="CW71" s="7"/>
      <c r="DB71" s="6"/>
      <c r="DF71" s="6"/>
      <c r="DG71" s="7"/>
      <c r="DL71" s="6"/>
      <c r="DW71" s="6"/>
      <c r="DX71" s="7"/>
      <c r="EC71" s="6"/>
      <c r="EG71" s="6"/>
      <c r="EH71" s="7"/>
      <c r="EM71" s="6"/>
      <c r="EX71" s="6"/>
      <c r="EY71" s="7"/>
      <c r="FD71" s="6"/>
      <c r="FH71" s="6"/>
      <c r="FI71" s="7"/>
      <c r="FN71" s="6"/>
      <c r="GZ71" s="6"/>
      <c r="HA71" s="7"/>
      <c r="HF71" s="6"/>
      <c r="HJ71" s="6"/>
      <c r="HK71" s="7"/>
      <c r="HP71" s="6"/>
      <c r="JB71" s="6"/>
      <c r="JC71" s="7"/>
      <c r="JH71" s="6"/>
      <c r="JL71" s="6"/>
      <c r="JM71" s="7"/>
      <c r="JR71" s="6"/>
      <c r="KC71" s="6"/>
      <c r="KD71" s="7"/>
      <c r="KI71" s="6"/>
      <c r="KM71" s="6"/>
      <c r="KN71" s="7"/>
      <c r="KS71" s="6"/>
      <c r="LD71" s="6"/>
      <c r="LE71" s="7"/>
      <c r="LJ71" s="6"/>
      <c r="LN71" s="6"/>
      <c r="LO71" s="7"/>
      <c r="LT71" s="6"/>
      <c r="ME71" s="6"/>
      <c r="MF71" s="7"/>
      <c r="MK71" s="7"/>
      <c r="MO71" s="6"/>
      <c r="MP71" s="7"/>
      <c r="MU71" s="7"/>
      <c r="NF71" s="6"/>
      <c r="NG71" s="7"/>
      <c r="NL71" s="6"/>
      <c r="NP71" s="6"/>
      <c r="NQ71" s="7"/>
      <c r="NV71" s="6"/>
      <c r="PH71" s="6"/>
      <c r="PI71" s="7"/>
      <c r="PN71" s="6"/>
      <c r="PR71" s="6"/>
      <c r="PS71" s="7"/>
      <c r="PX71" s="6"/>
      <c r="QI71" s="6"/>
      <c r="QJ71" s="7"/>
      <c r="QO71" s="6"/>
      <c r="QS71" s="6"/>
      <c r="QT71" s="7"/>
      <c r="QY71" s="6"/>
      <c r="RJ71" s="6"/>
      <c r="RK71" s="7"/>
      <c r="RP71" s="6"/>
      <c r="RT71" s="6"/>
      <c r="RU71" s="7"/>
      <c r="RZ71" s="6"/>
      <c r="SE71" s="8"/>
      <c r="SF71" s="8"/>
      <c r="SG71" s="8"/>
      <c r="SK71" s="6"/>
      <c r="SL71" s="7"/>
      <c r="SQ71" s="6"/>
      <c r="SU71" s="6"/>
      <c r="SV71" s="7"/>
      <c r="TA71" s="6"/>
    </row>
    <row r="72" spans="8:521" x14ac:dyDescent="0.3">
      <c r="O72" s="5"/>
      <c r="R72" s="5"/>
      <c r="W72" s="6"/>
      <c r="X72" s="5"/>
      <c r="Z72" s="2"/>
      <c r="AA72" s="64"/>
      <c r="AB72" s="63"/>
      <c r="AC72" s="62"/>
      <c r="AJ72" s="63">
        <v>14</v>
      </c>
      <c r="AK72" s="63">
        <v>6</v>
      </c>
      <c r="AL72" s="62">
        <v>2</v>
      </c>
      <c r="AM72" s="3">
        <v>19.07</v>
      </c>
      <c r="AN72" s="3">
        <v>17.600000000000001</v>
      </c>
      <c r="AO72" s="3">
        <v>11.07</v>
      </c>
      <c r="AP72" s="3">
        <v>0.76</v>
      </c>
      <c r="AR72" s="68"/>
      <c r="AV72" s="67">
        <v>12</v>
      </c>
      <c r="AW72" s="2">
        <f>CORREL(BJ48:BJ59, BG48:BG59)</f>
        <v>6.2200791404665598E-2</v>
      </c>
      <c r="AX72" s="2">
        <f>CORREL(BL48:BL59, BG48:BG59)</f>
        <v>0.11044386212004365</v>
      </c>
      <c r="AY72" s="2">
        <f>CORREL(BK48:BK59, BG48:BG59)</f>
        <v>0.32323519912754184</v>
      </c>
      <c r="AZ72" s="2">
        <f>CORREL(BM48:BM59, BG48:BG59)</f>
        <v>-0.39872690379779657</v>
      </c>
      <c r="BA72" s="2"/>
      <c r="BB72" s="2"/>
      <c r="BC72" s="2"/>
      <c r="BD72" s="73"/>
      <c r="BF72" s="67">
        <v>12</v>
      </c>
      <c r="BG72" s="3">
        <f>CORREL(BJ48:BJ59, BF48:BF59)</f>
        <v>-0.20659640256044928</v>
      </c>
      <c r="BH72" s="68">
        <f>CORREL(BL48:BL59, BF48:BF59)</f>
        <v>-0.18895011483114896</v>
      </c>
      <c r="BI72" s="3">
        <f>CORREL(BK48:BK59, BF48:BF59)</f>
        <v>0.32857190905115913</v>
      </c>
      <c r="BJ72" s="68">
        <f>CORREL(BM48:BM59, BF48:BF59)</f>
        <v>-0.58965580915878391</v>
      </c>
      <c r="BK72" s="2"/>
      <c r="BL72" s="2"/>
      <c r="BM72" s="2"/>
      <c r="BN72" s="73"/>
      <c r="BT72" s="2"/>
      <c r="BX72" s="63"/>
      <c r="BY72" s="55"/>
      <c r="BZ72" s="55"/>
      <c r="CA72" s="55"/>
      <c r="CB72" s="55"/>
      <c r="CC72" s="55"/>
      <c r="CD72" s="55"/>
      <c r="CE72" s="55"/>
      <c r="CF72" s="7"/>
      <c r="CV72" s="6"/>
      <c r="CW72" s="7"/>
      <c r="DB72" s="7"/>
      <c r="DF72" s="6"/>
      <c r="DG72" s="7"/>
      <c r="DL72" s="7"/>
      <c r="DW72" s="6"/>
      <c r="DX72" s="7"/>
      <c r="EC72" s="7"/>
      <c r="EG72" s="6"/>
      <c r="EH72" s="7"/>
      <c r="EM72" s="7"/>
      <c r="EX72" s="6"/>
      <c r="EY72" s="7"/>
      <c r="FD72" s="6"/>
      <c r="FH72" s="6"/>
      <c r="FI72" s="7"/>
      <c r="FN72" s="6"/>
      <c r="GZ72" s="6"/>
      <c r="HA72" s="7"/>
      <c r="HF72" s="6"/>
      <c r="HJ72" s="6"/>
      <c r="HK72" s="7"/>
      <c r="HP72" s="6"/>
      <c r="JB72" s="6"/>
      <c r="JC72" s="7"/>
      <c r="JH72" s="6"/>
      <c r="JL72" s="6"/>
      <c r="JM72" s="7"/>
      <c r="JR72" s="6"/>
      <c r="KC72" s="6"/>
      <c r="KD72" s="7"/>
      <c r="KI72" s="6"/>
      <c r="KM72" s="6"/>
      <c r="KN72" s="7"/>
      <c r="KS72" s="6"/>
      <c r="LD72" s="6"/>
      <c r="LE72" s="7"/>
      <c r="LJ72" s="6"/>
      <c r="LN72" s="6"/>
      <c r="LO72" s="7"/>
      <c r="LT72" s="6"/>
      <c r="ME72" s="6"/>
      <c r="MF72" s="7"/>
      <c r="MK72" s="6"/>
      <c r="MO72" s="6"/>
      <c r="MP72" s="7"/>
      <c r="MU72" s="6"/>
      <c r="NF72" s="6"/>
      <c r="NG72" s="7"/>
      <c r="NL72" s="6"/>
      <c r="NP72" s="6"/>
      <c r="NQ72" s="7"/>
      <c r="NV72" s="6"/>
      <c r="PH72" s="6"/>
      <c r="PI72" s="7"/>
      <c r="PN72" s="7"/>
      <c r="PR72" s="6"/>
      <c r="PS72" s="7"/>
      <c r="PX72" s="7"/>
      <c r="QI72" s="6"/>
      <c r="QJ72" s="7"/>
      <c r="QO72" s="6"/>
      <c r="QS72" s="6"/>
      <c r="QT72" s="7"/>
      <c r="QY72" s="6"/>
      <c r="RJ72" s="6"/>
      <c r="RK72" s="7"/>
      <c r="RP72" s="6"/>
      <c r="RT72" s="6"/>
      <c r="RU72" s="7"/>
      <c r="RZ72" s="6"/>
    </row>
    <row r="73" spans="8:521" x14ac:dyDescent="0.3">
      <c r="O73" s="5"/>
      <c r="R73" s="5"/>
      <c r="W73" s="6"/>
      <c r="X73" s="5"/>
      <c r="Z73" s="2"/>
      <c r="AA73" s="64"/>
      <c r="AB73" s="63"/>
      <c r="AC73" s="62"/>
      <c r="AJ73" s="63">
        <v>19</v>
      </c>
      <c r="AK73" s="63">
        <v>12</v>
      </c>
      <c r="AL73" s="62">
        <v>3</v>
      </c>
      <c r="AM73" s="3">
        <v>20.329999999999998</v>
      </c>
      <c r="AN73" s="3">
        <v>19.440000000000001</v>
      </c>
      <c r="AO73" s="3">
        <v>11.22</v>
      </c>
      <c r="AP73" s="3">
        <v>0.72</v>
      </c>
      <c r="AR73" s="68"/>
      <c r="AV73" s="67">
        <v>13</v>
      </c>
      <c r="AW73" s="2"/>
      <c r="AX73" s="2"/>
      <c r="AY73" s="2"/>
      <c r="AZ73" s="2"/>
      <c r="BA73" s="2"/>
      <c r="BB73" s="2"/>
      <c r="BC73" s="2"/>
      <c r="BD73" s="73"/>
      <c r="BF73" s="67">
        <v>13</v>
      </c>
      <c r="BG73" s="2"/>
      <c r="BH73" s="2"/>
      <c r="BI73" s="2"/>
      <c r="BJ73" s="2"/>
      <c r="BK73" s="2"/>
      <c r="BL73" s="2"/>
      <c r="BM73" s="2"/>
      <c r="BN73" s="73"/>
      <c r="BT73" s="2"/>
      <c r="BU73" s="64"/>
      <c r="BV73" s="63"/>
      <c r="BW73" s="62"/>
      <c r="BX73" s="63"/>
      <c r="BY73" s="55"/>
      <c r="BZ73" s="55"/>
      <c r="CB73" s="2"/>
      <c r="CC73" s="55"/>
      <c r="CD73" s="55"/>
      <c r="CE73" s="55"/>
      <c r="CF73" s="7"/>
      <c r="CV73" s="6"/>
      <c r="CW73" s="7"/>
      <c r="DB73" s="6"/>
      <c r="DF73" s="6"/>
      <c r="DG73" s="7"/>
      <c r="DL73" s="6"/>
      <c r="DW73" s="6"/>
      <c r="DX73" s="7"/>
      <c r="EC73" s="7"/>
      <c r="EG73" s="6"/>
      <c r="EH73" s="7"/>
      <c r="EM73" s="7"/>
      <c r="EX73" s="6"/>
      <c r="EY73" s="7"/>
      <c r="FD73" s="6"/>
      <c r="FH73" s="6"/>
      <c r="FI73" s="7"/>
      <c r="FN73" s="6"/>
      <c r="GZ73" s="6"/>
      <c r="HA73" s="7"/>
      <c r="HF73" s="6"/>
      <c r="HJ73" s="6"/>
      <c r="HK73" s="7"/>
      <c r="HP73" s="6"/>
      <c r="IV73" s="8"/>
      <c r="IW73" s="8"/>
      <c r="IX73" s="8"/>
      <c r="JB73" s="6"/>
      <c r="JC73" s="7"/>
      <c r="JH73" s="6"/>
      <c r="JL73" s="6"/>
      <c r="JM73" s="7"/>
      <c r="JR73" s="6"/>
      <c r="KC73" s="6"/>
      <c r="KD73" s="7"/>
      <c r="KI73" s="6"/>
      <c r="KM73" s="6"/>
      <c r="KN73" s="7"/>
      <c r="KS73" s="6"/>
      <c r="LD73" s="6"/>
      <c r="LE73" s="7"/>
      <c r="LJ73" s="6"/>
      <c r="LN73" s="6"/>
      <c r="LO73" s="7"/>
      <c r="LT73" s="6"/>
      <c r="ME73" s="6"/>
      <c r="MF73" s="7"/>
      <c r="MK73" s="6"/>
      <c r="MO73" s="6"/>
      <c r="MP73" s="7"/>
      <c r="MU73" s="6"/>
      <c r="NF73" s="6"/>
      <c r="NG73" s="7"/>
      <c r="NL73" s="6"/>
      <c r="NP73" s="6"/>
      <c r="NQ73" s="7"/>
      <c r="NV73" s="6"/>
      <c r="PH73" s="6"/>
      <c r="PI73" s="7"/>
      <c r="PN73" s="6"/>
      <c r="PR73" s="6"/>
      <c r="PS73" s="7"/>
      <c r="PX73" s="6"/>
      <c r="QI73" s="6"/>
      <c r="QJ73" s="7"/>
      <c r="QO73" s="7"/>
      <c r="QS73" s="6"/>
      <c r="QT73" s="7"/>
      <c r="QY73" s="7"/>
      <c r="RJ73" s="6"/>
      <c r="RK73" s="7"/>
      <c r="RP73" s="6"/>
      <c r="RT73" s="6"/>
      <c r="RU73" s="7"/>
      <c r="RZ73" s="6"/>
    </row>
    <row r="74" spans="8:521" x14ac:dyDescent="0.3">
      <c r="L74" s="8"/>
      <c r="M74" s="8"/>
      <c r="N74" s="8"/>
      <c r="O74" s="5"/>
      <c r="R74" s="5"/>
      <c r="W74" s="6"/>
      <c r="X74" s="5"/>
      <c r="Z74" s="2"/>
      <c r="AA74" s="64"/>
      <c r="AB74" s="63"/>
      <c r="AC74" s="62"/>
      <c r="AJ74" s="63">
        <v>14</v>
      </c>
      <c r="AK74" s="63">
        <v>3</v>
      </c>
      <c r="AL74" s="62">
        <v>0</v>
      </c>
      <c r="AM74" s="3">
        <v>23.2</v>
      </c>
      <c r="AN74" s="3">
        <v>22.87</v>
      </c>
      <c r="AO74" s="3">
        <v>10.67</v>
      </c>
      <c r="AP74" s="3">
        <v>0.71</v>
      </c>
      <c r="AR74" s="68"/>
      <c r="AV74" s="67">
        <v>14</v>
      </c>
      <c r="AW74" s="2"/>
      <c r="AX74" s="2"/>
      <c r="AY74" s="2"/>
      <c r="AZ74" s="2"/>
      <c r="BA74" s="2"/>
      <c r="BB74" s="2"/>
      <c r="BC74" s="2"/>
      <c r="BD74" s="66"/>
      <c r="BF74" s="67">
        <v>14</v>
      </c>
      <c r="BG74" s="2"/>
      <c r="BH74" s="2"/>
      <c r="BI74" s="2"/>
      <c r="BJ74" s="2"/>
      <c r="BK74" s="2"/>
      <c r="BL74" s="2"/>
      <c r="BM74" s="2"/>
      <c r="BN74" s="66"/>
      <c r="BO74" s="8"/>
      <c r="BP74" s="8"/>
      <c r="BT74" s="2"/>
      <c r="BU74" s="64"/>
      <c r="BV74" s="63"/>
      <c r="BW74" s="62"/>
      <c r="BX74" s="63"/>
      <c r="BY74" s="55"/>
      <c r="BZ74" s="55"/>
      <c r="CC74" s="55"/>
      <c r="CD74" s="55"/>
      <c r="CE74" s="55"/>
      <c r="CF74" s="7"/>
      <c r="CV74" s="6"/>
      <c r="CW74" s="7"/>
      <c r="DB74" s="6"/>
      <c r="DF74" s="6"/>
      <c r="DG74" s="7"/>
      <c r="DL74" s="6"/>
      <c r="DQ74" s="8"/>
      <c r="DR74" s="8"/>
      <c r="DS74" s="8"/>
      <c r="DW74" s="6"/>
      <c r="DX74" s="7"/>
      <c r="EC74" s="6"/>
      <c r="EG74" s="6"/>
      <c r="EH74" s="7"/>
      <c r="EM74" s="6"/>
      <c r="ER74" s="8"/>
      <c r="ES74" s="8"/>
      <c r="ET74" s="8"/>
      <c r="EX74" s="6"/>
      <c r="EY74" s="7"/>
      <c r="FD74" s="6"/>
      <c r="FH74" s="6"/>
      <c r="FI74" s="7"/>
      <c r="FN74" s="6"/>
      <c r="GT74" s="8"/>
      <c r="GU74" s="8"/>
      <c r="GV74" s="8"/>
      <c r="GZ74" s="6"/>
      <c r="HA74" s="7"/>
      <c r="HF74" s="7"/>
      <c r="HJ74" s="6"/>
      <c r="HK74" s="7"/>
      <c r="HP74" s="7"/>
      <c r="JW74" s="8"/>
      <c r="JX74" s="8"/>
      <c r="JY74" s="8"/>
      <c r="KC74" s="6"/>
      <c r="KD74" s="7"/>
      <c r="KI74" s="7"/>
      <c r="KM74" s="6"/>
      <c r="KN74" s="7"/>
      <c r="KS74" s="7"/>
      <c r="KX74" s="8"/>
      <c r="KY74" s="8"/>
      <c r="KZ74" s="8"/>
      <c r="LD74" s="6"/>
      <c r="LE74" s="7"/>
      <c r="LJ74" s="6"/>
      <c r="LN74" s="6"/>
      <c r="LO74" s="7"/>
      <c r="LT74" s="6"/>
      <c r="LY74" s="8"/>
      <c r="LZ74" s="8"/>
      <c r="MA74" s="8"/>
      <c r="ME74" s="6"/>
      <c r="MF74" s="7"/>
      <c r="MK74" s="6"/>
      <c r="MO74" s="6"/>
      <c r="MP74" s="7"/>
      <c r="MU74" s="6"/>
      <c r="MZ74" s="8"/>
      <c r="NA74" s="8"/>
      <c r="NB74" s="8"/>
      <c r="NF74" s="6"/>
      <c r="NG74" s="7"/>
      <c r="NL74" s="6"/>
      <c r="NP74" s="6"/>
      <c r="NQ74" s="7"/>
      <c r="NV74" s="6"/>
      <c r="PB74" s="8"/>
      <c r="PC74" s="8"/>
      <c r="PD74" s="8"/>
      <c r="PH74" s="6"/>
      <c r="PI74" s="7"/>
      <c r="PN74" s="6"/>
      <c r="PR74" s="6"/>
      <c r="PS74" s="7"/>
      <c r="PX74" s="6"/>
      <c r="QC74" s="8"/>
      <c r="QD74" s="8"/>
      <c r="QE74" s="8"/>
      <c r="QI74" s="6"/>
      <c r="QJ74" s="7"/>
      <c r="QO74" s="6"/>
      <c r="QS74" s="6"/>
      <c r="QT74" s="7"/>
      <c r="QY74" s="6"/>
      <c r="RD74" s="8"/>
      <c r="RE74" s="8"/>
      <c r="RF74" s="8"/>
      <c r="RJ74" s="6"/>
      <c r="RK74" s="7"/>
      <c r="RP74" s="7"/>
      <c r="RT74" s="6"/>
      <c r="RU74" s="7"/>
      <c r="RZ74" s="7"/>
    </row>
    <row r="75" spans="8:521" x14ac:dyDescent="0.3">
      <c r="R75" s="6"/>
      <c r="Z75" s="2"/>
      <c r="AA75" s="64"/>
      <c r="AB75" s="63"/>
      <c r="AC75" s="62"/>
      <c r="AJ75" s="63">
        <v>11</v>
      </c>
      <c r="AK75" s="63">
        <v>2</v>
      </c>
      <c r="AL75" s="62">
        <v>1</v>
      </c>
      <c r="AM75" s="3">
        <v>19.8</v>
      </c>
      <c r="AN75" s="3">
        <v>15.87</v>
      </c>
      <c r="AO75" s="3">
        <v>7.47</v>
      </c>
      <c r="AP75" s="3">
        <v>0.7</v>
      </c>
      <c r="AR75" s="68"/>
      <c r="AV75" s="67">
        <v>15</v>
      </c>
      <c r="AW75" s="74">
        <f>CORREL(AM68:AM79, AK68:AK79)</f>
        <v>7.3003641683442144E-2</v>
      </c>
      <c r="AX75" s="74">
        <f>CORREL(AO68:AO79, AK68:AK79)</f>
        <v>9.2828832158313612E-2</v>
      </c>
      <c r="AY75" s="2">
        <f>CORREL(AN68:AN79, AK68:AK79)</f>
        <v>0.29998023905464483</v>
      </c>
      <c r="AZ75" s="2">
        <f>CORREL(AP68:AP79, AK68:AK79)</f>
        <v>-0.40799330368993669</v>
      </c>
      <c r="BA75" s="2"/>
      <c r="BB75" s="2"/>
      <c r="BC75" s="2"/>
      <c r="BD75" s="66"/>
      <c r="BF75" s="67">
        <v>15</v>
      </c>
      <c r="BG75" s="74">
        <f>CORREL(AM68:AM79, AJ68:AJ79)</f>
        <v>-9.3514305925225569E-2</v>
      </c>
      <c r="BH75" s="74">
        <f>CORREL(AO68:AO79, AJ68:AJ79)</f>
        <v>-0.15429854967271753</v>
      </c>
      <c r="BI75" s="2">
        <f>CORREL(AN68:AN79, AJ68:AJ79)</f>
        <v>0.29583001559504318</v>
      </c>
      <c r="BJ75" s="2">
        <f>CORREL(AP68:AP79, AJ68:AJ79)</f>
        <v>-0.61888830240360238</v>
      </c>
      <c r="BK75" s="2"/>
      <c r="BL75" s="2"/>
      <c r="BM75" s="2"/>
      <c r="BN75" s="66"/>
      <c r="BS75" s="6"/>
      <c r="BT75" s="2"/>
      <c r="BU75" s="64"/>
      <c r="BV75" s="63"/>
      <c r="BW75" s="62"/>
      <c r="BX75" s="63"/>
      <c r="BY75" s="5"/>
      <c r="BZ75" s="5"/>
      <c r="CB75" s="2"/>
      <c r="CC75" s="15"/>
      <c r="CD75" s="15"/>
      <c r="CJ75" s="6"/>
    </row>
    <row r="76" spans="8:521" x14ac:dyDescent="0.3">
      <c r="M76" s="9"/>
      <c r="N76" s="9"/>
      <c r="P76" s="5"/>
      <c r="Q76" s="5"/>
      <c r="R76" s="5"/>
      <c r="W76" s="6"/>
      <c r="Z76" s="2"/>
      <c r="AA76" s="64"/>
      <c r="AB76" s="63"/>
      <c r="AC76" s="62"/>
      <c r="AJ76" s="63">
        <v>7</v>
      </c>
      <c r="AK76" s="63">
        <v>2</v>
      </c>
      <c r="AL76" s="62">
        <v>1</v>
      </c>
      <c r="AM76" s="55">
        <v>19.13</v>
      </c>
      <c r="AN76" s="55">
        <v>11.07</v>
      </c>
      <c r="AO76" s="55">
        <v>9.8000000000000007</v>
      </c>
      <c r="AP76" s="55">
        <v>0.87</v>
      </c>
      <c r="AR76" s="68"/>
      <c r="AV76" s="67">
        <v>16</v>
      </c>
      <c r="AW76" s="2"/>
      <c r="AX76" s="2"/>
      <c r="AY76" s="2"/>
      <c r="AZ76" s="2"/>
      <c r="BA76" s="2"/>
      <c r="BB76" s="2"/>
      <c r="BC76" s="2"/>
      <c r="BD76" s="66"/>
      <c r="BF76" s="67">
        <v>16</v>
      </c>
      <c r="BG76" s="2"/>
      <c r="BH76" s="2"/>
      <c r="BI76" s="2"/>
      <c r="BJ76" s="2"/>
      <c r="BK76" s="2"/>
      <c r="BL76" s="2"/>
      <c r="BM76" s="2"/>
      <c r="BN76" s="66"/>
      <c r="BR76" s="5"/>
      <c r="BS76" s="5"/>
      <c r="BT76" s="6"/>
      <c r="BU76" s="7"/>
      <c r="BX76" s="5"/>
      <c r="BZ76" s="6"/>
    </row>
    <row r="77" spans="8:521" x14ac:dyDescent="0.3">
      <c r="M77" s="8"/>
      <c r="N77" s="8"/>
      <c r="O77" s="8"/>
      <c r="P77" s="5"/>
      <c r="Q77" s="5"/>
      <c r="R77" s="5"/>
      <c r="V77" s="8"/>
      <c r="W77" s="10"/>
      <c r="X77" s="8"/>
      <c r="Y77" s="8"/>
      <c r="Z77" s="2"/>
      <c r="AA77" s="64"/>
      <c r="AB77" s="63"/>
      <c r="AC77" s="62"/>
      <c r="AJ77" s="63">
        <v>14</v>
      </c>
      <c r="AK77" s="63">
        <v>6</v>
      </c>
      <c r="AL77" s="62">
        <v>1</v>
      </c>
      <c r="AM77" s="3">
        <v>22.07</v>
      </c>
      <c r="AN77" s="2">
        <v>17</v>
      </c>
      <c r="AO77" s="55">
        <v>14.27</v>
      </c>
      <c r="AP77" s="55">
        <v>0.7</v>
      </c>
      <c r="AR77" s="68"/>
      <c r="AV77" s="67">
        <v>17</v>
      </c>
      <c r="AW77" s="2"/>
      <c r="AX77" s="2"/>
      <c r="AY77" s="2"/>
      <c r="AZ77" s="2"/>
      <c r="BA77" s="2"/>
      <c r="BB77" s="2"/>
      <c r="BC77" s="2"/>
      <c r="BD77" s="66"/>
      <c r="BF77" s="67">
        <v>17</v>
      </c>
      <c r="BG77" s="2"/>
      <c r="BH77" s="2"/>
      <c r="BI77" s="2"/>
      <c r="BJ77" s="2"/>
      <c r="BK77" s="2"/>
      <c r="BL77" s="2"/>
      <c r="BM77" s="2"/>
      <c r="BN77" s="66"/>
      <c r="BP77" s="8"/>
      <c r="BQ77" s="8"/>
      <c r="BR77" s="5"/>
      <c r="BS77" s="5"/>
      <c r="BT77" s="6"/>
      <c r="BU77" s="11"/>
      <c r="BV77" s="8"/>
      <c r="BX77" s="5"/>
      <c r="BZ77" s="7"/>
      <c r="CA77" s="8"/>
      <c r="CB77" s="8"/>
      <c r="CG77" s="8"/>
      <c r="CH77" s="8"/>
      <c r="CV77" s="8"/>
      <c r="CW77" s="8"/>
      <c r="DB77" s="8"/>
      <c r="DC77" s="8"/>
      <c r="DH77" s="8"/>
      <c r="DI77" s="8"/>
      <c r="DR77" s="8"/>
      <c r="DS77" s="8"/>
      <c r="DW77" s="8"/>
      <c r="DX77" s="8"/>
      <c r="EC77" s="8"/>
      <c r="ED77" s="8"/>
      <c r="EI77" s="8"/>
      <c r="EJ77" s="8"/>
      <c r="ES77" s="8"/>
      <c r="ET77" s="8"/>
      <c r="EX77" s="8"/>
      <c r="EY77" s="8"/>
      <c r="FD77" s="8"/>
      <c r="FE77" s="8"/>
      <c r="FJ77" s="8"/>
      <c r="FK77" s="8"/>
    </row>
    <row r="78" spans="8:521" x14ac:dyDescent="0.3">
      <c r="L78" s="8"/>
      <c r="P78" s="5"/>
      <c r="Q78" s="5"/>
      <c r="R78" s="12"/>
      <c r="W78" s="15"/>
      <c r="X78" s="15"/>
      <c r="Z78" s="2"/>
      <c r="AA78" s="64"/>
      <c r="AB78" s="63"/>
      <c r="AC78" s="62"/>
      <c r="AD78" s="55"/>
      <c r="AE78" s="55"/>
      <c r="AJ78" s="63">
        <v>13</v>
      </c>
      <c r="AK78" s="63">
        <v>6</v>
      </c>
      <c r="AL78" s="62">
        <v>2</v>
      </c>
      <c r="AM78" s="3">
        <v>18.27</v>
      </c>
      <c r="AN78" s="3">
        <v>17.8</v>
      </c>
      <c r="AO78" s="55">
        <v>9.1999999999999993</v>
      </c>
      <c r="AP78" s="55">
        <v>0.72</v>
      </c>
      <c r="AR78" s="68"/>
      <c r="AV78" s="67">
        <v>18</v>
      </c>
      <c r="AW78" s="2"/>
      <c r="AX78" s="2"/>
      <c r="AY78" s="2"/>
      <c r="AZ78" s="2"/>
      <c r="BA78" s="2"/>
      <c r="BB78" s="2"/>
      <c r="BC78" s="2"/>
      <c r="BD78" s="66"/>
      <c r="BF78" s="67">
        <v>18</v>
      </c>
      <c r="BG78" s="2"/>
      <c r="BH78" s="2"/>
      <c r="BI78" s="2"/>
      <c r="BJ78" s="2"/>
      <c r="BK78" s="2"/>
      <c r="BL78" s="2"/>
      <c r="BM78" s="2"/>
      <c r="BN78" s="66"/>
      <c r="BR78" s="5"/>
      <c r="BS78" s="12"/>
      <c r="BT78" s="6"/>
      <c r="BU78" s="7"/>
      <c r="BX78" s="5"/>
      <c r="BY78" s="8"/>
      <c r="BZ78" s="15"/>
      <c r="CA78" s="15"/>
      <c r="CE78" s="8"/>
      <c r="CT78" s="8"/>
      <c r="CZ78" s="8"/>
      <c r="DA78" s="15"/>
      <c r="DB78" s="15"/>
      <c r="DF78" s="8"/>
      <c r="DP78" s="8"/>
      <c r="DU78" s="8"/>
      <c r="EA78" s="8"/>
      <c r="EB78" s="15"/>
      <c r="EC78" s="15"/>
      <c r="EG78" s="8"/>
      <c r="EQ78" s="8"/>
      <c r="EV78" s="8"/>
      <c r="FB78" s="8"/>
      <c r="FC78" s="15"/>
      <c r="FD78" s="15"/>
      <c r="FH78" s="8"/>
    </row>
    <row r="79" spans="8:521" x14ac:dyDescent="0.3">
      <c r="P79" s="5"/>
      <c r="Q79" s="5"/>
      <c r="R79" s="5"/>
      <c r="W79" s="6"/>
      <c r="Z79" s="2"/>
      <c r="AA79" s="64"/>
      <c r="AB79" s="63"/>
      <c r="AC79" s="62"/>
      <c r="AD79" s="55"/>
      <c r="AE79" s="55"/>
      <c r="AJ79" s="63">
        <v>10</v>
      </c>
      <c r="AK79" s="63">
        <v>5</v>
      </c>
      <c r="AL79" s="62">
        <v>2</v>
      </c>
      <c r="AM79" s="3">
        <v>20.6</v>
      </c>
      <c r="AN79" s="2">
        <v>16.87</v>
      </c>
      <c r="AO79" s="15">
        <v>11.87</v>
      </c>
      <c r="AP79" s="15">
        <v>0.72</v>
      </c>
      <c r="AR79" s="68"/>
      <c r="AV79" s="67">
        <v>19</v>
      </c>
      <c r="AW79" s="2"/>
      <c r="AX79" s="2"/>
      <c r="AY79" s="2"/>
      <c r="AZ79" s="2"/>
      <c r="BA79" s="2"/>
      <c r="BB79" s="2"/>
      <c r="BC79" s="2"/>
      <c r="BD79" s="66"/>
      <c r="BF79" s="67">
        <v>19</v>
      </c>
      <c r="BG79" s="2"/>
      <c r="BH79" s="2"/>
      <c r="BI79" s="2"/>
      <c r="BJ79" s="2"/>
      <c r="BK79" s="2"/>
      <c r="BL79" s="2"/>
      <c r="BM79" s="2"/>
      <c r="BN79" s="66"/>
      <c r="BR79" s="5"/>
      <c r="BS79" s="5"/>
      <c r="BT79" s="6"/>
      <c r="BU79" s="7"/>
      <c r="BX79" s="5"/>
      <c r="BZ79" s="6"/>
    </row>
    <row r="80" spans="8:521" x14ac:dyDescent="0.3">
      <c r="M80" s="9"/>
      <c r="N80" s="9"/>
      <c r="P80" s="5"/>
      <c r="Q80" s="5"/>
      <c r="R80" s="5"/>
      <c r="W80" s="6"/>
      <c r="X80" s="6"/>
      <c r="Z80" s="2"/>
      <c r="AA80" s="64"/>
      <c r="AB80" s="63"/>
      <c r="AC80" s="62"/>
      <c r="AD80" s="5"/>
      <c r="AE80" s="5"/>
      <c r="AV80" s="75">
        <v>20</v>
      </c>
      <c r="AW80" s="76">
        <f>CORREL(AM85:AM96, AK85:AK96)</f>
        <v>0.15420474224749969</v>
      </c>
      <c r="AX80" s="76">
        <f>CORREL(AO85:AO96, AK85:AK96)</f>
        <v>0.13362633517834865</v>
      </c>
      <c r="AY80" s="77">
        <f>CORREL(AN85:AN96, AK85:AK96)</f>
        <v>0.37887359924607811</v>
      </c>
      <c r="AZ80" s="84">
        <f>CORREL(AP85:AP96, AK85:AK96)</f>
        <v>-0.40952487629234963</v>
      </c>
      <c r="BA80" s="78"/>
      <c r="BB80" s="77"/>
      <c r="BC80" s="77"/>
      <c r="BD80" s="79"/>
      <c r="BF80" s="75">
        <v>20</v>
      </c>
      <c r="BG80" s="76">
        <f>CORREL(AM85:AM96, AJ85:AJ96)</f>
        <v>4.2575292375493061E-2</v>
      </c>
      <c r="BH80" s="76">
        <f>CORREL(AO85:AO96, AJ85:AJ96)</f>
        <v>-0.11828140345195806</v>
      </c>
      <c r="BI80" s="77">
        <f>CORREL(AN85:AN96, AJ85:AJ96)</f>
        <v>0.33932436193511822</v>
      </c>
      <c r="BJ80" s="76">
        <f>CORREL(AP85:AP96, AJ85:AJ96)</f>
        <v>-0.5422678577000577</v>
      </c>
      <c r="BK80" s="78"/>
      <c r="BL80" s="77"/>
      <c r="BM80" s="77"/>
      <c r="BN80" s="79"/>
      <c r="BR80" s="5"/>
      <c r="BS80" s="5"/>
      <c r="BT80" s="6"/>
      <c r="BU80" s="7"/>
      <c r="BX80" s="5"/>
      <c r="BZ80" s="6"/>
    </row>
    <row r="81" spans="12:520" x14ac:dyDescent="0.3">
      <c r="M81" s="9"/>
      <c r="N81" s="9"/>
      <c r="P81" s="5"/>
      <c r="Q81" s="5"/>
      <c r="R81" s="5"/>
      <c r="W81" s="6"/>
      <c r="X81" s="6"/>
      <c r="BR81" s="5"/>
      <c r="BS81" s="5"/>
      <c r="BT81" s="6"/>
      <c r="BU81" s="7"/>
      <c r="BX81" s="5"/>
      <c r="BZ81" s="6"/>
    </row>
    <row r="82" spans="12:520" x14ac:dyDescent="0.3">
      <c r="M82" s="9"/>
      <c r="N82" s="9"/>
      <c r="P82" s="5"/>
      <c r="Q82" s="5"/>
      <c r="R82" s="5"/>
      <c r="W82" s="7"/>
      <c r="X82" s="6"/>
      <c r="AT82" s="7"/>
      <c r="BR82" s="5"/>
      <c r="BS82" s="5"/>
      <c r="BT82" s="6"/>
      <c r="BU82" s="7"/>
      <c r="BX82" s="5"/>
      <c r="BZ82" s="6"/>
    </row>
    <row r="83" spans="12:520" x14ac:dyDescent="0.3">
      <c r="M83" s="9"/>
      <c r="N83" s="9"/>
      <c r="P83" s="5"/>
      <c r="Q83" s="5"/>
      <c r="R83" s="5"/>
      <c r="W83" s="6"/>
      <c r="X83" s="6"/>
      <c r="AJ83" s="3" t="s">
        <v>654</v>
      </c>
      <c r="AT83" s="7"/>
      <c r="AW83" s="5"/>
      <c r="AY83" s="6"/>
      <c r="BR83" s="5"/>
      <c r="BS83" s="5"/>
      <c r="BT83" s="6"/>
      <c r="BU83" s="7"/>
      <c r="BX83" s="5"/>
      <c r="BZ83" s="6"/>
    </row>
    <row r="84" spans="12:520" x14ac:dyDescent="0.3">
      <c r="M84" s="9"/>
      <c r="N84" s="9"/>
      <c r="P84" s="5"/>
      <c r="Q84" s="5"/>
      <c r="R84" s="5"/>
      <c r="W84" s="6"/>
      <c r="X84" s="6"/>
      <c r="AJ84" s="2" t="s">
        <v>680</v>
      </c>
      <c r="AK84" s="3" t="s">
        <v>677</v>
      </c>
      <c r="AL84" s="3" t="s">
        <v>678</v>
      </c>
      <c r="AM84" s="2" t="s">
        <v>46</v>
      </c>
      <c r="AN84" s="2" t="s">
        <v>57</v>
      </c>
      <c r="AO84" s="2" t="s">
        <v>60</v>
      </c>
      <c r="AP84" s="2" t="s">
        <v>28</v>
      </c>
      <c r="AQ84" s="2" t="s">
        <v>670</v>
      </c>
      <c r="AS84" s="2" t="s">
        <v>669</v>
      </c>
      <c r="AT84" s="7"/>
      <c r="AW84" s="5"/>
      <c r="AY84" s="6"/>
      <c r="BR84" s="5"/>
      <c r="BS84" s="5"/>
      <c r="BT84" s="6"/>
      <c r="BU84" s="7"/>
      <c r="BX84" s="5"/>
      <c r="BZ84" s="6"/>
    </row>
    <row r="85" spans="12:520" x14ac:dyDescent="0.3">
      <c r="M85" s="9"/>
      <c r="N85" s="9"/>
      <c r="P85" s="5"/>
      <c r="Q85" s="5"/>
      <c r="R85" s="5"/>
      <c r="S85" s="9"/>
      <c r="T85" s="9"/>
      <c r="U85" s="9"/>
      <c r="W85" s="6"/>
      <c r="X85" s="6"/>
      <c r="AJ85" s="62">
        <v>13</v>
      </c>
      <c r="AK85" s="63">
        <v>3</v>
      </c>
      <c r="AL85" s="55">
        <v>1</v>
      </c>
      <c r="AM85" s="3">
        <v>18.25</v>
      </c>
      <c r="AN85" s="3">
        <v>19.600000000000001</v>
      </c>
      <c r="AO85" s="3">
        <v>8.1</v>
      </c>
      <c r="AP85" s="3">
        <v>0.76</v>
      </c>
      <c r="AQ85" s="55">
        <f>AM85+AN85</f>
        <v>37.85</v>
      </c>
      <c r="AT85" s="7"/>
      <c r="AW85" s="5"/>
      <c r="AY85" s="6"/>
      <c r="BR85" s="5"/>
      <c r="BS85" s="5"/>
      <c r="BT85" s="6"/>
      <c r="BU85" s="7"/>
      <c r="BX85" s="5"/>
      <c r="BZ85" s="6"/>
    </row>
    <row r="86" spans="12:520" x14ac:dyDescent="0.3">
      <c r="M86" s="9"/>
      <c r="N86" s="9"/>
      <c r="P86" s="5"/>
      <c r="Q86" s="5"/>
      <c r="R86" s="5"/>
      <c r="S86" s="9"/>
      <c r="T86" s="9"/>
      <c r="U86" s="9"/>
      <c r="W86" s="6"/>
      <c r="X86" s="6"/>
      <c r="AJ86" s="63">
        <v>16</v>
      </c>
      <c r="AK86" s="63">
        <v>4</v>
      </c>
      <c r="AL86" s="55">
        <v>1</v>
      </c>
      <c r="AM86" s="3">
        <v>15.6</v>
      </c>
      <c r="AN86" s="3">
        <v>11.4</v>
      </c>
      <c r="AO86" s="3">
        <v>8.6999999999999993</v>
      </c>
      <c r="AP86" s="3">
        <v>0.75</v>
      </c>
      <c r="AQ86" s="55">
        <f t="shared" ref="AQ86:AQ96" si="7">AM86+AN86</f>
        <v>27</v>
      </c>
      <c r="AT86" s="7"/>
      <c r="AW86" s="5"/>
      <c r="AY86" s="6"/>
      <c r="BN86" s="8"/>
      <c r="BO86" s="8"/>
      <c r="BP86" s="8"/>
      <c r="BR86" s="5"/>
      <c r="BS86" s="5"/>
      <c r="BT86" s="6"/>
      <c r="BU86" s="7"/>
      <c r="BX86" s="5"/>
      <c r="BZ86" s="6"/>
    </row>
    <row r="87" spans="12:520" x14ac:dyDescent="0.3">
      <c r="L87" s="13"/>
      <c r="M87" s="14"/>
      <c r="N87" s="14"/>
      <c r="P87" s="5"/>
      <c r="Q87" s="5"/>
      <c r="R87" s="5"/>
      <c r="S87" s="9"/>
      <c r="T87" s="9"/>
      <c r="U87" s="9"/>
      <c r="W87" s="6"/>
      <c r="X87" s="6"/>
      <c r="AJ87" s="63">
        <v>17</v>
      </c>
      <c r="AK87" s="63">
        <v>1</v>
      </c>
      <c r="AL87" s="55">
        <v>0</v>
      </c>
      <c r="AM87" s="3">
        <v>19.25</v>
      </c>
      <c r="AN87" s="3">
        <v>14.85</v>
      </c>
      <c r="AO87" s="3">
        <v>12.5</v>
      </c>
      <c r="AP87" s="3">
        <v>0.77</v>
      </c>
      <c r="AQ87" s="55">
        <f>AM87+AN87</f>
        <v>34.1</v>
      </c>
      <c r="AT87" s="7"/>
      <c r="AW87" s="5"/>
      <c r="AY87" s="6"/>
    </row>
    <row r="88" spans="12:520" x14ac:dyDescent="0.3">
      <c r="R88" s="6"/>
      <c r="S88" s="7"/>
      <c r="T88" s="7"/>
      <c r="Z88" s="6"/>
      <c r="AA88" s="7"/>
      <c r="AG88" s="6"/>
      <c r="AJ88" s="63">
        <v>29</v>
      </c>
      <c r="AK88" s="63">
        <v>8</v>
      </c>
      <c r="AL88" s="62">
        <v>3</v>
      </c>
      <c r="AM88" s="3">
        <v>19</v>
      </c>
      <c r="AN88" s="3">
        <v>18.329999999999998</v>
      </c>
      <c r="AO88" s="3">
        <v>7.67</v>
      </c>
      <c r="AP88" s="3">
        <v>0.66</v>
      </c>
      <c r="AQ88" s="55">
        <f t="shared" si="7"/>
        <v>37.33</v>
      </c>
      <c r="AX88" s="6"/>
      <c r="BB88" s="6"/>
      <c r="BC88" s="7"/>
      <c r="BH88" s="6"/>
      <c r="BS88" s="6"/>
      <c r="BT88" s="7"/>
      <c r="BY88" s="6"/>
      <c r="CC88" s="6"/>
      <c r="CD88" s="7"/>
      <c r="CI88" s="6"/>
    </row>
    <row r="89" spans="12:520" x14ac:dyDescent="0.3">
      <c r="O89" s="5"/>
      <c r="R89" s="5"/>
      <c r="S89" s="6"/>
      <c r="T89" s="6"/>
      <c r="U89" s="7"/>
      <c r="W89" s="6"/>
      <c r="X89" s="5"/>
      <c r="Z89" s="5"/>
      <c r="AA89" s="6"/>
      <c r="AB89" s="7"/>
      <c r="AG89" s="5"/>
      <c r="AH89" s="6"/>
      <c r="AJ89" s="63">
        <v>14</v>
      </c>
      <c r="AK89" s="63">
        <v>6</v>
      </c>
      <c r="AL89" s="62">
        <v>2</v>
      </c>
      <c r="AM89" s="3">
        <v>20</v>
      </c>
      <c r="AN89" s="3">
        <v>16.45</v>
      </c>
      <c r="AO89" s="3">
        <v>10.85</v>
      </c>
      <c r="AP89" s="3">
        <v>0.77</v>
      </c>
      <c r="AQ89" s="55">
        <f t="shared" si="7"/>
        <v>36.450000000000003</v>
      </c>
      <c r="AT89" s="7"/>
      <c r="AX89" s="5"/>
      <c r="AY89" s="6"/>
      <c r="AZ89" s="5"/>
      <c r="BB89" s="5"/>
      <c r="BC89" s="6"/>
      <c r="BD89" s="7"/>
      <c r="BH89" s="5"/>
      <c r="BI89" s="6"/>
    </row>
    <row r="90" spans="12:520" x14ac:dyDescent="0.3">
      <c r="O90" s="5"/>
      <c r="R90" s="5"/>
      <c r="S90" s="6"/>
      <c r="T90" s="6"/>
      <c r="U90" s="7"/>
      <c r="W90" s="6"/>
      <c r="X90" s="5"/>
      <c r="Z90" s="5"/>
      <c r="AA90" s="6"/>
      <c r="AB90" s="7"/>
      <c r="AG90" s="5"/>
      <c r="AH90" s="6"/>
      <c r="AJ90" s="63">
        <v>19</v>
      </c>
      <c r="AK90" s="63">
        <v>12</v>
      </c>
      <c r="AL90" s="62">
        <v>3</v>
      </c>
      <c r="AM90" s="3">
        <v>20.329999999999998</v>
      </c>
      <c r="AN90" s="3">
        <v>19.440000000000001</v>
      </c>
      <c r="AO90" s="3">
        <v>11.22</v>
      </c>
      <c r="AP90" s="3">
        <v>0.72</v>
      </c>
      <c r="AQ90" s="55">
        <f t="shared" si="7"/>
        <v>39.769999999999996</v>
      </c>
      <c r="AT90" s="7"/>
      <c r="AX90" s="5"/>
      <c r="AY90" s="6"/>
      <c r="AZ90" s="5"/>
      <c r="BB90" s="5"/>
      <c r="BC90" s="6"/>
      <c r="BD90" s="7"/>
      <c r="BH90" s="5"/>
      <c r="BI90" s="6"/>
    </row>
    <row r="91" spans="12:520" x14ac:dyDescent="0.3">
      <c r="O91" s="5"/>
      <c r="R91" s="5"/>
      <c r="S91" s="6"/>
      <c r="T91" s="6"/>
      <c r="U91" s="7"/>
      <c r="W91" s="7"/>
      <c r="X91" s="5"/>
      <c r="Z91" s="5"/>
      <c r="AA91" s="6"/>
      <c r="AB91" s="7"/>
      <c r="AG91" s="5"/>
      <c r="AH91" s="7"/>
      <c r="AJ91" s="63">
        <v>14</v>
      </c>
      <c r="AK91" s="63">
        <v>3</v>
      </c>
      <c r="AL91" s="62">
        <v>0</v>
      </c>
      <c r="AM91" s="3">
        <v>23.4</v>
      </c>
      <c r="AN91" s="3">
        <v>22.05</v>
      </c>
      <c r="AO91" s="3">
        <v>11.4</v>
      </c>
      <c r="AP91" s="3">
        <v>0.72</v>
      </c>
      <c r="AQ91" s="55">
        <f t="shared" si="7"/>
        <v>45.45</v>
      </c>
      <c r="AT91" s="7"/>
      <c r="AX91" s="5"/>
      <c r="AY91" s="7"/>
      <c r="AZ91" s="5"/>
      <c r="BB91" s="5"/>
      <c r="BC91" s="6"/>
      <c r="BD91" s="7"/>
      <c r="BH91" s="5"/>
      <c r="BI91" s="7"/>
    </row>
    <row r="92" spans="12:520" x14ac:dyDescent="0.3">
      <c r="O92" s="5"/>
      <c r="R92" s="5"/>
      <c r="S92" s="6"/>
      <c r="T92" s="6"/>
      <c r="U92" s="7"/>
      <c r="W92" s="6"/>
      <c r="X92" s="5"/>
      <c r="Z92" s="5"/>
      <c r="AA92" s="6"/>
      <c r="AB92" s="7"/>
      <c r="AG92" s="5"/>
      <c r="AH92" s="6"/>
      <c r="AJ92" s="63">
        <v>11</v>
      </c>
      <c r="AK92" s="63">
        <v>2</v>
      </c>
      <c r="AL92" s="62">
        <v>1</v>
      </c>
      <c r="AM92" s="3">
        <v>18.55</v>
      </c>
      <c r="AN92" s="3">
        <v>15.8</v>
      </c>
      <c r="AO92" s="3">
        <v>7.15</v>
      </c>
      <c r="AP92" s="3">
        <v>0.68</v>
      </c>
      <c r="AQ92" s="55">
        <f t="shared" si="7"/>
        <v>34.35</v>
      </c>
      <c r="AT92" s="7"/>
      <c r="AX92" s="5"/>
      <c r="AY92" s="6"/>
      <c r="AZ92" s="5"/>
      <c r="BB92" s="5"/>
      <c r="BC92" s="6"/>
      <c r="BD92" s="7"/>
      <c r="BH92" s="5"/>
      <c r="BI92" s="6"/>
    </row>
    <row r="93" spans="12:520" x14ac:dyDescent="0.3">
      <c r="O93" s="5"/>
      <c r="R93" s="5"/>
      <c r="S93" s="6"/>
      <c r="T93" s="6"/>
      <c r="U93" s="7"/>
      <c r="W93" s="6"/>
      <c r="X93" s="5"/>
      <c r="Z93" s="5"/>
      <c r="AA93" s="6"/>
      <c r="AB93" s="7"/>
      <c r="AG93" s="5"/>
      <c r="AH93" s="6"/>
      <c r="AJ93" s="63">
        <v>7</v>
      </c>
      <c r="AK93" s="63">
        <v>2</v>
      </c>
      <c r="AL93" s="62">
        <v>1</v>
      </c>
      <c r="AM93" s="55">
        <v>18.45</v>
      </c>
      <c r="AN93" s="55">
        <v>11.1</v>
      </c>
      <c r="AO93" s="55">
        <v>9.4</v>
      </c>
      <c r="AP93" s="55">
        <v>0.87</v>
      </c>
      <c r="AQ93" s="55">
        <f t="shared" si="7"/>
        <v>29.549999999999997</v>
      </c>
      <c r="AT93" s="7"/>
      <c r="AX93" s="5"/>
      <c r="AY93" s="6"/>
      <c r="AZ93" s="5"/>
      <c r="BB93" s="5"/>
      <c r="BC93" s="6"/>
      <c r="BD93" s="7"/>
      <c r="BH93" s="5"/>
      <c r="BI93" s="6"/>
    </row>
    <row r="94" spans="12:520" x14ac:dyDescent="0.3">
      <c r="O94" s="5"/>
      <c r="R94" s="5"/>
      <c r="S94" s="6"/>
      <c r="T94" s="6"/>
      <c r="U94" s="7"/>
      <c r="W94" s="6"/>
      <c r="X94" s="5"/>
      <c r="Z94" s="5"/>
      <c r="AA94" s="6"/>
      <c r="AB94" s="7"/>
      <c r="AG94" s="5"/>
      <c r="AH94" s="6"/>
      <c r="AJ94" s="63">
        <v>14</v>
      </c>
      <c r="AK94" s="63">
        <v>6</v>
      </c>
      <c r="AL94" s="62">
        <v>1</v>
      </c>
      <c r="AM94" s="3">
        <v>20.6</v>
      </c>
      <c r="AN94" s="2">
        <v>17.45</v>
      </c>
      <c r="AO94" s="55">
        <v>14.15</v>
      </c>
      <c r="AP94" s="55">
        <v>0.71</v>
      </c>
      <c r="AQ94" s="55">
        <f t="shared" si="7"/>
        <v>38.049999999999997</v>
      </c>
      <c r="AT94" s="7"/>
      <c r="AX94" s="5"/>
      <c r="AY94" s="6"/>
      <c r="AZ94" s="5"/>
      <c r="BB94" s="5"/>
      <c r="BC94" s="6"/>
      <c r="BD94" s="7"/>
      <c r="BH94" s="5"/>
      <c r="BI94" s="6"/>
    </row>
    <row r="95" spans="12:520" x14ac:dyDescent="0.3">
      <c r="R95" s="6"/>
      <c r="S95" s="7"/>
      <c r="T95" s="7"/>
      <c r="Z95" s="6"/>
      <c r="AA95" s="7"/>
      <c r="AG95" s="6"/>
      <c r="AJ95" s="63">
        <v>13</v>
      </c>
      <c r="AK95" s="63">
        <v>6</v>
      </c>
      <c r="AL95" s="62">
        <v>2</v>
      </c>
      <c r="AM95" s="3">
        <v>18.149999999999999</v>
      </c>
      <c r="AN95" s="3">
        <v>18.149999999999999</v>
      </c>
      <c r="AO95" s="55">
        <v>9.85</v>
      </c>
      <c r="AP95" s="55">
        <v>0.72</v>
      </c>
      <c r="AQ95" s="55">
        <f t="shared" si="7"/>
        <v>36.299999999999997</v>
      </c>
      <c r="AX95" s="6"/>
      <c r="BB95" s="6"/>
      <c r="BC95" s="7"/>
      <c r="BH95" s="6"/>
      <c r="BS95" s="6"/>
      <c r="BT95" s="7"/>
      <c r="BY95" s="6"/>
      <c r="CC95" s="6"/>
      <c r="CD95" s="7"/>
      <c r="CI95" s="6"/>
      <c r="CT95" s="6"/>
      <c r="CU95" s="7"/>
      <c r="CZ95" s="6"/>
      <c r="DD95" s="6"/>
      <c r="DE95" s="7"/>
      <c r="DJ95" s="6"/>
      <c r="DU95" s="6"/>
      <c r="DV95" s="7"/>
      <c r="EA95" s="6"/>
      <c r="EE95" s="6"/>
      <c r="EF95" s="7"/>
      <c r="EK95" s="6"/>
      <c r="EV95" s="6"/>
      <c r="EW95" s="7"/>
      <c r="FB95" s="6"/>
      <c r="FF95" s="6"/>
      <c r="FG95" s="7"/>
      <c r="FL95" s="6"/>
      <c r="FW95" s="6"/>
      <c r="FX95" s="7"/>
      <c r="GC95" s="6"/>
      <c r="GG95" s="6"/>
      <c r="GH95" s="7"/>
      <c r="GM95" s="6"/>
      <c r="GX95" s="6"/>
      <c r="GY95" s="7"/>
      <c r="HD95" s="6"/>
      <c r="HH95" s="6"/>
      <c r="HI95" s="7"/>
      <c r="HN95" s="6"/>
      <c r="HY95" s="6"/>
      <c r="HZ95" s="7"/>
      <c r="IE95" s="6"/>
      <c r="II95" s="6"/>
      <c r="IJ95" s="7"/>
      <c r="IO95" s="6"/>
      <c r="IZ95" s="6"/>
      <c r="JA95" s="7"/>
      <c r="JF95" s="6"/>
      <c r="JJ95" s="6"/>
      <c r="JK95" s="7"/>
      <c r="JP95" s="6"/>
      <c r="KA95" s="6"/>
      <c r="KB95" s="7"/>
      <c r="KG95" s="6"/>
      <c r="KK95" s="6"/>
      <c r="KL95" s="7"/>
      <c r="KQ95" s="6"/>
      <c r="LB95" s="6"/>
      <c r="LC95" s="7"/>
      <c r="LH95" s="6"/>
      <c r="LL95" s="6"/>
      <c r="LM95" s="7"/>
      <c r="LR95" s="6"/>
      <c r="MC95" s="6"/>
      <c r="MD95" s="7"/>
      <c r="MI95" s="6"/>
      <c r="MM95" s="6"/>
      <c r="MN95" s="7"/>
      <c r="MS95" s="6"/>
      <c r="ND95" s="6"/>
      <c r="NE95" s="7"/>
      <c r="NJ95" s="6"/>
      <c r="NN95" s="6"/>
      <c r="NO95" s="7"/>
      <c r="NT95" s="6"/>
      <c r="OE95" s="6"/>
      <c r="OF95" s="7"/>
      <c r="OK95" s="6"/>
      <c r="OO95" s="6"/>
      <c r="OP95" s="7"/>
      <c r="OU95" s="6"/>
      <c r="PF95" s="6"/>
      <c r="PG95" s="7"/>
      <c r="PL95" s="6"/>
      <c r="PP95" s="6"/>
      <c r="PQ95" s="7"/>
      <c r="PV95" s="6"/>
      <c r="QG95" s="6"/>
      <c r="QH95" s="7"/>
      <c r="QM95" s="6"/>
      <c r="QQ95" s="6"/>
      <c r="QR95" s="7"/>
      <c r="QW95" s="6"/>
      <c r="RH95" s="6"/>
      <c r="RI95" s="7"/>
      <c r="RN95" s="6"/>
      <c r="RR95" s="6"/>
      <c r="RS95" s="7"/>
      <c r="RX95" s="6"/>
      <c r="SI95" s="6"/>
      <c r="SJ95" s="7"/>
      <c r="SO95" s="6"/>
      <c r="SS95" s="6"/>
      <c r="ST95" s="7"/>
      <c r="SY95" s="6"/>
    </row>
    <row r="96" spans="12:520" x14ac:dyDescent="0.3">
      <c r="S96" s="6"/>
      <c r="T96" s="6"/>
      <c r="U96" s="7"/>
      <c r="W96" s="6"/>
      <c r="AA96" s="6"/>
      <c r="AB96" s="7"/>
      <c r="AH96" s="6"/>
      <c r="AJ96" s="63">
        <v>10</v>
      </c>
      <c r="AK96" s="63">
        <v>5</v>
      </c>
      <c r="AL96" s="62">
        <v>2</v>
      </c>
      <c r="AM96" s="3">
        <v>19.149999999999999</v>
      </c>
      <c r="AN96" s="2">
        <v>15.05</v>
      </c>
      <c r="AO96" s="15">
        <v>11.05</v>
      </c>
      <c r="AP96" s="15">
        <v>0.71</v>
      </c>
      <c r="AQ96" s="55">
        <f t="shared" si="7"/>
        <v>34.200000000000003</v>
      </c>
      <c r="AT96" s="7"/>
      <c r="AY96" s="6"/>
      <c r="BC96" s="6"/>
      <c r="BD96" s="7"/>
      <c r="BI96" s="6"/>
      <c r="BT96" s="6"/>
      <c r="BU96" s="6"/>
      <c r="BZ96" s="6"/>
      <c r="CD96" s="6"/>
      <c r="CE96" s="6"/>
      <c r="CJ96" s="6"/>
      <c r="CU96" s="6"/>
      <c r="CV96" s="6"/>
      <c r="DA96" s="6"/>
      <c r="DE96" s="6"/>
      <c r="DF96" s="6"/>
      <c r="DK96" s="6"/>
      <c r="DV96" s="6"/>
      <c r="DW96" s="6"/>
      <c r="EB96" s="6"/>
      <c r="EF96" s="6"/>
      <c r="EG96" s="6"/>
      <c r="EL96" s="6"/>
      <c r="EW96" s="6"/>
      <c r="EX96" s="6"/>
      <c r="FC96" s="6"/>
      <c r="FG96" s="6"/>
      <c r="FH96" s="6"/>
      <c r="FM96" s="6"/>
      <c r="FX96" s="6"/>
      <c r="FY96" s="6"/>
      <c r="GD96" s="6"/>
      <c r="GH96" s="6"/>
      <c r="GI96" s="6"/>
      <c r="GN96" s="6"/>
      <c r="GY96" s="6"/>
      <c r="GZ96" s="6"/>
      <c r="HE96" s="6"/>
      <c r="HI96" s="6"/>
      <c r="HJ96" s="6"/>
      <c r="HO96" s="6"/>
      <c r="HZ96" s="6"/>
      <c r="IA96" s="6"/>
      <c r="IF96" s="6"/>
      <c r="IJ96" s="6"/>
      <c r="IK96" s="6"/>
      <c r="IP96" s="6"/>
      <c r="IU96" s="8"/>
      <c r="IV96" s="8"/>
      <c r="IW96" s="8"/>
      <c r="JA96" s="6"/>
      <c r="JB96" s="6"/>
      <c r="JG96" s="6"/>
      <c r="JK96" s="6"/>
      <c r="JL96" s="6"/>
      <c r="JQ96" s="6"/>
      <c r="KB96" s="6"/>
      <c r="KC96" s="6"/>
      <c r="KH96" s="6"/>
      <c r="KL96" s="6"/>
      <c r="KM96" s="6"/>
      <c r="KR96" s="6"/>
      <c r="LC96" s="6"/>
      <c r="LD96" s="6"/>
      <c r="LI96" s="6"/>
      <c r="LM96" s="6"/>
      <c r="LN96" s="6"/>
      <c r="LS96" s="6"/>
      <c r="MD96" s="6"/>
      <c r="ME96" s="6"/>
      <c r="MJ96" s="6"/>
      <c r="MN96" s="6"/>
      <c r="MO96" s="6"/>
      <c r="MT96" s="6"/>
      <c r="NE96" s="6"/>
      <c r="NF96" s="6"/>
      <c r="NK96" s="6"/>
      <c r="NO96" s="6"/>
      <c r="NP96" s="6"/>
      <c r="NU96" s="6"/>
      <c r="OF96" s="6"/>
      <c r="OG96" s="6"/>
      <c r="OL96" s="6"/>
      <c r="OP96" s="6"/>
      <c r="OQ96" s="6"/>
      <c r="OV96" s="6"/>
      <c r="PG96" s="6"/>
      <c r="PH96" s="6"/>
      <c r="PM96" s="6"/>
      <c r="PQ96" s="6"/>
      <c r="PR96" s="6"/>
      <c r="PW96" s="6"/>
      <c r="QH96" s="6"/>
      <c r="QI96" s="6"/>
      <c r="QN96" s="6"/>
      <c r="QR96" s="6"/>
      <c r="QS96" s="6"/>
      <c r="QX96" s="6"/>
      <c r="RI96" s="6"/>
      <c r="RJ96" s="6"/>
      <c r="RO96" s="6"/>
      <c r="RS96" s="6"/>
      <c r="RT96" s="6"/>
      <c r="RY96" s="6"/>
      <c r="SJ96" s="6"/>
      <c r="SK96" s="6"/>
      <c r="SP96" s="6"/>
      <c r="ST96" s="6"/>
      <c r="SU96" s="6"/>
      <c r="SZ96" s="6"/>
    </row>
    <row r="97" spans="12:520" x14ac:dyDescent="0.3">
      <c r="S97" s="6"/>
      <c r="T97" s="6"/>
      <c r="U97" s="7"/>
      <c r="W97" s="6"/>
      <c r="AA97" s="6"/>
      <c r="AB97" s="7"/>
      <c r="AH97" s="6"/>
      <c r="AP97" s="5"/>
      <c r="AR97" s="5"/>
      <c r="AS97" s="6"/>
      <c r="AT97" s="7"/>
      <c r="AY97" s="6"/>
      <c r="BC97" s="6"/>
      <c r="BD97" s="7"/>
      <c r="BI97" s="6"/>
      <c r="BT97" s="6"/>
      <c r="BU97" s="6"/>
      <c r="BZ97" s="6"/>
      <c r="CD97" s="6"/>
      <c r="CE97" s="6"/>
      <c r="CJ97" s="6"/>
      <c r="CU97" s="6"/>
      <c r="CV97" s="6"/>
      <c r="DA97" s="6"/>
      <c r="DE97" s="6"/>
      <c r="DF97" s="6"/>
      <c r="DK97" s="6"/>
      <c r="DV97" s="6"/>
      <c r="DW97" s="6"/>
      <c r="EB97" s="6"/>
      <c r="EF97" s="6"/>
      <c r="EG97" s="6"/>
      <c r="EL97" s="6"/>
      <c r="EW97" s="6"/>
      <c r="EX97" s="6"/>
      <c r="FC97" s="6"/>
      <c r="FG97" s="6"/>
      <c r="FH97" s="6"/>
      <c r="FM97" s="6"/>
      <c r="FX97" s="6"/>
      <c r="FY97" s="6"/>
      <c r="GD97" s="6"/>
      <c r="GH97" s="6"/>
      <c r="GI97" s="6"/>
      <c r="GN97" s="6"/>
      <c r="GY97" s="6"/>
      <c r="GZ97" s="6"/>
      <c r="HE97" s="6"/>
      <c r="HI97" s="6"/>
      <c r="HJ97" s="6"/>
      <c r="HO97" s="6"/>
      <c r="HZ97" s="6"/>
      <c r="IA97" s="6"/>
      <c r="IF97" s="6"/>
      <c r="IJ97" s="6"/>
      <c r="IK97" s="6"/>
      <c r="IP97" s="6"/>
      <c r="KB97" s="6"/>
      <c r="KC97" s="6"/>
      <c r="KH97" s="6"/>
      <c r="KL97" s="6"/>
      <c r="KM97" s="6"/>
      <c r="KR97" s="6"/>
      <c r="LC97" s="6"/>
      <c r="LD97" s="6"/>
      <c r="LI97" s="6"/>
      <c r="LM97" s="6"/>
      <c r="LN97" s="6"/>
      <c r="LS97" s="6"/>
      <c r="MD97" s="6"/>
      <c r="ME97" s="6"/>
      <c r="MJ97" s="6"/>
      <c r="MN97" s="6"/>
      <c r="MO97" s="6"/>
      <c r="MT97" s="6"/>
      <c r="NE97" s="6"/>
      <c r="NF97" s="6"/>
      <c r="NK97" s="6"/>
      <c r="NO97" s="6"/>
      <c r="NP97" s="6"/>
      <c r="NU97" s="6"/>
      <c r="OF97" s="6"/>
      <c r="OG97" s="6"/>
      <c r="OL97" s="6"/>
      <c r="OP97" s="6"/>
      <c r="OQ97" s="6"/>
      <c r="OV97" s="6"/>
      <c r="PG97" s="6"/>
      <c r="PH97" s="6"/>
      <c r="PM97" s="6"/>
      <c r="PQ97" s="6"/>
      <c r="PR97" s="6"/>
      <c r="PW97" s="6"/>
      <c r="QH97" s="6"/>
      <c r="QI97" s="6"/>
      <c r="QN97" s="6"/>
      <c r="QR97" s="6"/>
      <c r="QS97" s="6"/>
      <c r="QX97" s="6"/>
      <c r="RI97" s="6"/>
      <c r="RJ97" s="6"/>
      <c r="RO97" s="6"/>
      <c r="RS97" s="6"/>
      <c r="RT97" s="6"/>
      <c r="RY97" s="6"/>
      <c r="SJ97" s="6"/>
      <c r="SK97" s="6"/>
      <c r="SP97" s="6"/>
      <c r="ST97" s="6"/>
      <c r="SU97" s="6"/>
      <c r="SZ97" s="6"/>
    </row>
    <row r="98" spans="12:520" x14ac:dyDescent="0.3">
      <c r="L98" s="8"/>
      <c r="M98" s="8"/>
      <c r="N98" s="8"/>
      <c r="S98" s="6"/>
      <c r="T98" s="6"/>
      <c r="U98" s="7"/>
      <c r="W98" s="7"/>
      <c r="AA98" s="6"/>
      <c r="AB98" s="7"/>
      <c r="AH98" s="7"/>
      <c r="AP98" s="5"/>
      <c r="AR98" s="5"/>
      <c r="AS98" s="6"/>
      <c r="AT98" s="7"/>
      <c r="AY98" s="7"/>
      <c r="BC98" s="6"/>
      <c r="BD98" s="7"/>
      <c r="BI98" s="7"/>
      <c r="BT98" s="6"/>
      <c r="BU98" s="6"/>
      <c r="BZ98" s="6"/>
      <c r="CD98" s="6"/>
      <c r="CE98" s="6"/>
      <c r="CJ98" s="6"/>
      <c r="CU98" s="6"/>
      <c r="CV98" s="6"/>
      <c r="DA98" s="6"/>
      <c r="DE98" s="6"/>
      <c r="DF98" s="6"/>
      <c r="DK98" s="6"/>
      <c r="DV98" s="6"/>
      <c r="DW98" s="6"/>
      <c r="EB98" s="6"/>
      <c r="EF98" s="6"/>
      <c r="EG98" s="6"/>
      <c r="EL98" s="6"/>
      <c r="EW98" s="6"/>
      <c r="EX98" s="6"/>
      <c r="FC98" s="6"/>
      <c r="FG98" s="6"/>
      <c r="FH98" s="6"/>
      <c r="FM98" s="6"/>
      <c r="FX98" s="6"/>
      <c r="FY98" s="6"/>
      <c r="GD98" s="6"/>
      <c r="GH98" s="6"/>
      <c r="GI98" s="6"/>
      <c r="GN98" s="6"/>
      <c r="GY98" s="6"/>
      <c r="GZ98" s="6"/>
      <c r="HE98" s="6"/>
      <c r="HI98" s="6"/>
      <c r="HJ98" s="6"/>
      <c r="HO98" s="6"/>
      <c r="HZ98" s="6"/>
      <c r="IA98" s="6"/>
      <c r="IF98" s="6"/>
      <c r="IJ98" s="6"/>
      <c r="IK98" s="6"/>
      <c r="IP98" s="6"/>
      <c r="KB98" s="6"/>
      <c r="KC98" s="6"/>
      <c r="KH98" s="6"/>
      <c r="KL98" s="6"/>
      <c r="KM98" s="6"/>
      <c r="KR98" s="6"/>
      <c r="LC98" s="6"/>
      <c r="LD98" s="6"/>
      <c r="LI98" s="6"/>
      <c r="LM98" s="6"/>
      <c r="LN98" s="6"/>
      <c r="LS98" s="6"/>
      <c r="MD98" s="6"/>
      <c r="ME98" s="6"/>
      <c r="MJ98" s="6"/>
      <c r="MN98" s="6"/>
      <c r="MO98" s="6"/>
      <c r="MT98" s="6"/>
      <c r="NE98" s="6"/>
      <c r="NF98" s="6"/>
      <c r="NK98" s="6"/>
      <c r="NO98" s="6"/>
      <c r="NP98" s="6"/>
      <c r="NU98" s="6"/>
      <c r="OF98" s="6"/>
      <c r="OG98" s="6"/>
      <c r="OL98" s="6"/>
      <c r="OP98" s="6"/>
      <c r="OQ98" s="6"/>
      <c r="OV98" s="6"/>
      <c r="PG98" s="6"/>
      <c r="PH98" s="6"/>
      <c r="PM98" s="6"/>
      <c r="PQ98" s="6"/>
      <c r="PR98" s="6"/>
      <c r="PW98" s="6"/>
      <c r="QH98" s="6"/>
      <c r="QI98" s="6"/>
      <c r="QN98" s="6"/>
      <c r="QR98" s="6"/>
      <c r="QS98" s="6"/>
      <c r="QX98" s="6"/>
      <c r="RI98" s="6"/>
      <c r="RJ98" s="6"/>
      <c r="RO98" s="6"/>
      <c r="RS98" s="6"/>
      <c r="RT98" s="6"/>
      <c r="RY98" s="6"/>
      <c r="SJ98" s="6"/>
      <c r="SK98" s="6"/>
      <c r="SP98" s="6"/>
      <c r="ST98" s="6"/>
      <c r="SU98" s="6"/>
      <c r="SZ98" s="6"/>
    </row>
    <row r="99" spans="12:520" x14ac:dyDescent="0.3">
      <c r="O99" s="5"/>
      <c r="R99" s="5"/>
      <c r="S99" s="6"/>
      <c r="T99" s="6"/>
      <c r="U99" s="7"/>
      <c r="W99" s="6"/>
      <c r="X99" s="5"/>
      <c r="Z99" s="5"/>
      <c r="AA99" s="6"/>
      <c r="AB99" s="7"/>
      <c r="AG99" s="5"/>
      <c r="AH99" s="6"/>
      <c r="AR99" s="6"/>
      <c r="AS99" s="7"/>
      <c r="AT99" s="7"/>
      <c r="AY99" s="6"/>
      <c r="BC99" s="6"/>
      <c r="BD99" s="7"/>
      <c r="BI99" s="6"/>
      <c r="BT99" s="6"/>
      <c r="BU99" s="6"/>
      <c r="BZ99" s="6"/>
      <c r="CD99" s="6"/>
      <c r="CE99" s="6"/>
      <c r="CJ99" s="6"/>
      <c r="CU99" s="6"/>
      <c r="CV99" s="6"/>
      <c r="DA99" s="6"/>
      <c r="DE99" s="6"/>
      <c r="DF99" s="6"/>
      <c r="DK99" s="6"/>
      <c r="DV99" s="6"/>
      <c r="DW99" s="6"/>
      <c r="EB99" s="6"/>
      <c r="EF99" s="6"/>
      <c r="EG99" s="6"/>
      <c r="EL99" s="6"/>
      <c r="EW99" s="6"/>
      <c r="EX99" s="6"/>
      <c r="FC99" s="6"/>
      <c r="FG99" s="6"/>
      <c r="FH99" s="6"/>
      <c r="FM99" s="6"/>
      <c r="FX99" s="6"/>
      <c r="FY99" s="6"/>
      <c r="GD99" s="6"/>
      <c r="GH99" s="6"/>
      <c r="GI99" s="6"/>
      <c r="GN99" s="6"/>
      <c r="GY99" s="6"/>
      <c r="GZ99" s="6"/>
      <c r="HE99" s="6"/>
      <c r="HI99" s="6"/>
      <c r="HJ99" s="6"/>
      <c r="HO99" s="6"/>
      <c r="HZ99" s="6"/>
      <c r="IA99" s="6"/>
      <c r="IF99" s="6"/>
      <c r="IJ99" s="6"/>
      <c r="IK99" s="6"/>
      <c r="IP99" s="6"/>
      <c r="KB99" s="6"/>
      <c r="KC99" s="6"/>
      <c r="KH99" s="6"/>
      <c r="KL99" s="6"/>
      <c r="KM99" s="6"/>
      <c r="KR99" s="6"/>
      <c r="LC99" s="6"/>
      <c r="LD99" s="6"/>
      <c r="LI99" s="6"/>
      <c r="LM99" s="6"/>
      <c r="LN99" s="6"/>
      <c r="LS99" s="6"/>
      <c r="MD99" s="6"/>
      <c r="ME99" s="6"/>
      <c r="MJ99" s="6"/>
      <c r="MN99" s="6"/>
      <c r="MO99" s="6"/>
      <c r="MT99" s="6"/>
      <c r="NE99" s="6"/>
      <c r="NF99" s="6"/>
      <c r="NK99" s="6"/>
      <c r="NO99" s="6"/>
      <c r="NP99" s="6"/>
      <c r="NU99" s="6"/>
      <c r="OF99" s="6"/>
      <c r="OG99" s="6"/>
      <c r="OL99" s="6"/>
      <c r="OP99" s="6"/>
      <c r="OQ99" s="6"/>
      <c r="OV99" s="6"/>
      <c r="PG99" s="6"/>
      <c r="PH99" s="6"/>
      <c r="PM99" s="6"/>
      <c r="PQ99" s="6"/>
      <c r="PR99" s="6"/>
      <c r="PW99" s="6"/>
      <c r="QH99" s="6"/>
      <c r="QI99" s="6"/>
      <c r="QN99" s="6"/>
      <c r="QR99" s="6"/>
      <c r="QS99" s="6"/>
      <c r="QX99" s="6"/>
      <c r="RI99" s="6"/>
      <c r="RJ99" s="6"/>
      <c r="RO99" s="6"/>
      <c r="RS99" s="6"/>
      <c r="RT99" s="6"/>
      <c r="RY99" s="6"/>
      <c r="SJ99" s="6"/>
      <c r="SK99" s="6"/>
      <c r="SP99" s="6"/>
      <c r="ST99" s="6"/>
      <c r="SU99" s="6"/>
      <c r="SZ99" s="6"/>
    </row>
    <row r="100" spans="12:520" x14ac:dyDescent="0.3">
      <c r="L100" s="8"/>
      <c r="M100" s="8"/>
      <c r="N100" s="8"/>
      <c r="O100" s="5"/>
      <c r="R100" s="5"/>
      <c r="S100" s="6"/>
      <c r="T100" s="6"/>
      <c r="U100" s="7"/>
      <c r="W100" s="6"/>
      <c r="X100" s="5"/>
      <c r="Z100" s="5"/>
      <c r="AA100" s="6"/>
      <c r="AB100" s="7"/>
      <c r="AG100" s="5"/>
      <c r="AH100" s="6"/>
      <c r="AJ100" s="2"/>
      <c r="AK100" s="64"/>
      <c r="AL100" s="63"/>
      <c r="AM100" s="55"/>
      <c r="AT100" s="7"/>
      <c r="AY100" s="7"/>
      <c r="BC100" s="6"/>
      <c r="BD100" s="7"/>
      <c r="BI100" s="7"/>
      <c r="BT100" s="6"/>
      <c r="BU100" s="6"/>
      <c r="BZ100" s="6"/>
      <c r="CD100" s="6"/>
      <c r="CE100" s="6"/>
      <c r="CJ100" s="6"/>
      <c r="CU100" s="6"/>
      <c r="CV100" s="6"/>
      <c r="DA100" s="6"/>
      <c r="DE100" s="6"/>
      <c r="DF100" s="6"/>
      <c r="DK100" s="6"/>
      <c r="DV100" s="6"/>
      <c r="DW100" s="6"/>
      <c r="EB100" s="6"/>
      <c r="EF100" s="6"/>
      <c r="EG100" s="6"/>
      <c r="EL100" s="6"/>
      <c r="EW100" s="6"/>
      <c r="EX100" s="6"/>
      <c r="FC100" s="6"/>
      <c r="FG100" s="6"/>
      <c r="FH100" s="6"/>
      <c r="FM100" s="6"/>
      <c r="FX100" s="6"/>
      <c r="FY100" s="6"/>
      <c r="GD100" s="6"/>
      <c r="GH100" s="6"/>
      <c r="GI100" s="6"/>
      <c r="GN100" s="6"/>
      <c r="GY100" s="6"/>
      <c r="GZ100" s="6"/>
      <c r="HE100" s="6"/>
      <c r="HI100" s="6"/>
      <c r="HJ100" s="6"/>
      <c r="HO100" s="6"/>
      <c r="HZ100" s="6"/>
      <c r="IA100" s="6"/>
      <c r="IF100" s="6"/>
      <c r="IJ100" s="6"/>
      <c r="IK100" s="6"/>
      <c r="IP100" s="6"/>
      <c r="KB100" s="6"/>
      <c r="KC100" s="6"/>
      <c r="KH100" s="6"/>
      <c r="KL100" s="6"/>
      <c r="KM100" s="6"/>
      <c r="KR100" s="6"/>
      <c r="LC100" s="6"/>
      <c r="LD100" s="6"/>
      <c r="LI100" s="6"/>
      <c r="LM100" s="6"/>
      <c r="LN100" s="6"/>
      <c r="LS100" s="6"/>
      <c r="MD100" s="6"/>
      <c r="ME100" s="6"/>
      <c r="MJ100" s="6"/>
      <c r="MN100" s="6"/>
      <c r="MO100" s="6"/>
      <c r="MT100" s="6"/>
      <c r="NE100" s="6"/>
      <c r="NF100" s="6"/>
      <c r="NK100" s="6"/>
      <c r="NO100" s="6"/>
      <c r="NP100" s="6"/>
      <c r="NU100" s="6"/>
      <c r="OF100" s="6"/>
      <c r="OG100" s="6"/>
      <c r="OL100" s="6"/>
      <c r="OP100" s="6"/>
      <c r="OQ100" s="6"/>
      <c r="OV100" s="6"/>
      <c r="PG100" s="6"/>
      <c r="PH100" s="6"/>
      <c r="PM100" s="6"/>
      <c r="PQ100" s="6"/>
      <c r="PR100" s="6"/>
      <c r="PW100" s="6"/>
      <c r="QH100" s="6"/>
      <c r="QI100" s="6"/>
      <c r="QN100" s="6"/>
      <c r="QR100" s="6"/>
      <c r="QS100" s="6"/>
      <c r="QX100" s="6"/>
      <c r="RC100" s="8"/>
      <c r="RD100" s="8"/>
      <c r="RE100" s="8"/>
      <c r="RI100" s="6"/>
      <c r="RJ100" s="6"/>
      <c r="RO100" s="6"/>
      <c r="RS100" s="6"/>
      <c r="RT100" s="6"/>
      <c r="RY100" s="6"/>
      <c r="SJ100" s="6"/>
      <c r="SK100" s="6"/>
      <c r="SP100" s="6"/>
      <c r="ST100" s="6"/>
      <c r="SU100" s="6"/>
      <c r="SZ100" s="6"/>
    </row>
    <row r="101" spans="12:520" x14ac:dyDescent="0.3">
      <c r="AK101" s="64"/>
      <c r="AL101" s="63"/>
      <c r="AM101" s="55"/>
      <c r="AT101" s="7"/>
      <c r="AY101" s="6"/>
      <c r="BC101" s="6"/>
      <c r="BD101" s="7"/>
      <c r="BI101" s="6"/>
      <c r="BT101" s="6"/>
      <c r="BU101" s="6"/>
      <c r="BZ101" s="6"/>
      <c r="CD101" s="6"/>
      <c r="CE101" s="6"/>
      <c r="CJ101" s="6"/>
      <c r="CU101" s="6"/>
      <c r="CV101" s="6"/>
      <c r="DA101" s="6"/>
      <c r="DE101" s="6"/>
      <c r="DF101" s="6"/>
      <c r="DK101" s="6"/>
      <c r="DV101" s="6"/>
      <c r="DW101" s="6"/>
      <c r="EB101" s="6"/>
      <c r="EF101" s="6"/>
      <c r="EG101" s="6"/>
      <c r="EL101" s="6"/>
      <c r="EW101" s="6"/>
      <c r="EX101" s="6"/>
      <c r="FC101" s="6"/>
      <c r="FG101" s="6"/>
      <c r="FH101" s="6"/>
      <c r="FM101" s="6"/>
      <c r="FX101" s="6"/>
      <c r="FY101" s="6"/>
      <c r="GD101" s="6"/>
      <c r="GH101" s="6"/>
      <c r="GI101" s="6"/>
      <c r="GN101" s="6"/>
      <c r="GY101" s="6"/>
      <c r="GZ101" s="6"/>
      <c r="HE101" s="6"/>
      <c r="HI101" s="6"/>
      <c r="HJ101" s="6"/>
      <c r="HO101" s="6"/>
      <c r="HZ101" s="6"/>
      <c r="IA101" s="6"/>
      <c r="IF101" s="6"/>
      <c r="IJ101" s="6"/>
      <c r="IK101" s="6"/>
      <c r="IP101" s="6"/>
      <c r="KB101" s="6"/>
      <c r="KC101" s="6"/>
      <c r="KH101" s="6"/>
      <c r="KL101" s="6"/>
      <c r="KM101" s="6"/>
      <c r="KR101" s="6"/>
      <c r="LC101" s="6"/>
      <c r="LD101" s="6"/>
      <c r="LI101" s="6"/>
      <c r="LM101" s="6"/>
      <c r="LN101" s="6"/>
      <c r="LS101" s="6"/>
      <c r="MD101" s="6"/>
      <c r="ME101" s="6"/>
      <c r="MJ101" s="6"/>
      <c r="MN101" s="6"/>
      <c r="MO101" s="6"/>
      <c r="MT101" s="6"/>
      <c r="NE101" s="6"/>
      <c r="NF101" s="6"/>
      <c r="NK101" s="6"/>
      <c r="NO101" s="6"/>
      <c r="NP101" s="6"/>
      <c r="NU101" s="6"/>
      <c r="OF101" s="6"/>
      <c r="OG101" s="6"/>
      <c r="OL101" s="6"/>
      <c r="OP101" s="6"/>
      <c r="OQ101" s="6"/>
      <c r="OV101" s="6"/>
      <c r="PG101" s="6"/>
      <c r="PH101" s="6"/>
      <c r="PM101" s="6"/>
      <c r="PQ101" s="6"/>
      <c r="PR101" s="6"/>
      <c r="PW101" s="6"/>
      <c r="QH101" s="6"/>
      <c r="QI101" s="6"/>
      <c r="QN101" s="6"/>
      <c r="QR101" s="6"/>
      <c r="QS101" s="6"/>
      <c r="QX101" s="6"/>
      <c r="SJ101" s="6"/>
      <c r="SK101" s="6"/>
      <c r="SP101" s="6"/>
      <c r="ST101" s="6"/>
      <c r="SU101" s="6"/>
      <c r="SZ101" s="6"/>
    </row>
    <row r="102" spans="12:520" x14ac:dyDescent="0.3">
      <c r="AJ102" s="2"/>
      <c r="AK102" s="64"/>
      <c r="AL102" s="63"/>
      <c r="AM102" s="55"/>
      <c r="AT102" s="7"/>
      <c r="AY102" s="7"/>
      <c r="BC102" s="6"/>
      <c r="BD102" s="7"/>
      <c r="BI102" s="7"/>
      <c r="BT102" s="6"/>
      <c r="BU102" s="6"/>
      <c r="BZ102" s="6"/>
      <c r="CD102" s="6"/>
      <c r="CE102" s="6"/>
      <c r="CJ102" s="6"/>
      <c r="CU102" s="6"/>
      <c r="CV102" s="6"/>
      <c r="DA102" s="6"/>
      <c r="DE102" s="6"/>
      <c r="DF102" s="6"/>
      <c r="DK102" s="6"/>
      <c r="DV102" s="6"/>
      <c r="DW102" s="6"/>
      <c r="EB102" s="6"/>
      <c r="EF102" s="6"/>
      <c r="EG102" s="6"/>
      <c r="EL102" s="6"/>
      <c r="EW102" s="6"/>
      <c r="EX102" s="6"/>
      <c r="FC102" s="6"/>
      <c r="FG102" s="6"/>
      <c r="FH102" s="6"/>
      <c r="FM102" s="6"/>
      <c r="FX102" s="6"/>
      <c r="FY102" s="6"/>
      <c r="GD102" s="6"/>
      <c r="GH102" s="6"/>
      <c r="GI102" s="6"/>
      <c r="GN102" s="6"/>
      <c r="GY102" s="6"/>
      <c r="GZ102" s="6"/>
      <c r="HE102" s="6"/>
      <c r="HI102" s="6"/>
      <c r="HJ102" s="6"/>
      <c r="HO102" s="6"/>
      <c r="HZ102" s="6"/>
      <c r="IA102" s="6"/>
      <c r="IF102" s="6"/>
      <c r="IJ102" s="6"/>
      <c r="IK102" s="6"/>
      <c r="IP102" s="6"/>
      <c r="KB102" s="6"/>
      <c r="KC102" s="6"/>
      <c r="KH102" s="6"/>
      <c r="KL102" s="6"/>
      <c r="KM102" s="6"/>
      <c r="KR102" s="6"/>
      <c r="LC102" s="6"/>
      <c r="LD102" s="6"/>
      <c r="LI102" s="6"/>
      <c r="LM102" s="6"/>
      <c r="LN102" s="6"/>
      <c r="LS102" s="6"/>
      <c r="MD102" s="6"/>
      <c r="ME102" s="6"/>
      <c r="MJ102" s="6"/>
      <c r="MN102" s="6"/>
      <c r="MO102" s="6"/>
      <c r="MT102" s="6"/>
      <c r="NE102" s="6"/>
      <c r="NF102" s="6"/>
      <c r="NK102" s="6"/>
      <c r="NO102" s="6"/>
      <c r="NP102" s="6"/>
      <c r="NU102" s="6"/>
      <c r="OF102" s="6"/>
      <c r="OG102" s="6"/>
      <c r="OL102" s="6"/>
      <c r="OP102" s="6"/>
      <c r="OQ102" s="6"/>
      <c r="OV102" s="6"/>
      <c r="PG102" s="6"/>
      <c r="PH102" s="6"/>
      <c r="PM102" s="6"/>
      <c r="PQ102" s="6"/>
      <c r="PR102" s="6"/>
      <c r="PW102" s="6"/>
      <c r="QH102" s="6"/>
      <c r="QI102" s="6"/>
      <c r="QN102" s="6"/>
      <c r="QR102" s="6"/>
      <c r="QS102" s="6"/>
      <c r="QX102" s="6"/>
      <c r="SJ102" s="6"/>
      <c r="SK102" s="6"/>
      <c r="SP102" s="6"/>
      <c r="ST102" s="6"/>
      <c r="SU102" s="6"/>
      <c r="SZ102" s="6"/>
    </row>
    <row r="103" spans="12:520" x14ac:dyDescent="0.3">
      <c r="AJ103" s="2"/>
      <c r="AK103" s="64"/>
      <c r="AL103" s="63"/>
      <c r="AM103" s="62"/>
      <c r="AT103" s="7"/>
      <c r="AX103" s="5"/>
      <c r="AY103" s="6"/>
      <c r="AZ103" s="5"/>
      <c r="BB103" s="5"/>
      <c r="BC103" s="6"/>
      <c r="BD103" s="7"/>
      <c r="BH103" s="5"/>
      <c r="BI103" s="6"/>
      <c r="BT103" s="6"/>
      <c r="BU103" s="6"/>
      <c r="BZ103" s="6"/>
      <c r="CD103" s="6"/>
      <c r="CE103" s="6"/>
      <c r="CJ103" s="6"/>
      <c r="CU103" s="6"/>
      <c r="CV103" s="6"/>
      <c r="DA103" s="6"/>
      <c r="DE103" s="6"/>
      <c r="DF103" s="6"/>
      <c r="DK103" s="6"/>
      <c r="DV103" s="6"/>
      <c r="DW103" s="6"/>
      <c r="EB103" s="6"/>
      <c r="EF103" s="6"/>
      <c r="EG103" s="6"/>
      <c r="EL103" s="6"/>
      <c r="EW103" s="6"/>
      <c r="EX103" s="6"/>
      <c r="FC103" s="6"/>
      <c r="FG103" s="6"/>
      <c r="FH103" s="6"/>
      <c r="FM103" s="6"/>
      <c r="FX103" s="6"/>
      <c r="FY103" s="6"/>
      <c r="GD103" s="6"/>
      <c r="GH103" s="6"/>
      <c r="GI103" s="6"/>
      <c r="GN103" s="6"/>
      <c r="GY103" s="6"/>
      <c r="GZ103" s="6"/>
      <c r="HE103" s="6"/>
      <c r="HI103" s="6"/>
      <c r="HJ103" s="6"/>
      <c r="HO103" s="6"/>
      <c r="HZ103" s="6"/>
      <c r="IA103" s="6"/>
      <c r="IF103" s="6"/>
      <c r="IJ103" s="6"/>
      <c r="IK103" s="6"/>
      <c r="IP103" s="6"/>
      <c r="KB103" s="6"/>
      <c r="KC103" s="6"/>
      <c r="KH103" s="6"/>
      <c r="KL103" s="6"/>
      <c r="KM103" s="6"/>
      <c r="KR103" s="6"/>
      <c r="LC103" s="6"/>
      <c r="LD103" s="6"/>
      <c r="LI103" s="6"/>
      <c r="LM103" s="6"/>
      <c r="LN103" s="6"/>
      <c r="LS103" s="6"/>
      <c r="MD103" s="6"/>
      <c r="ME103" s="6"/>
      <c r="MJ103" s="6"/>
      <c r="MN103" s="6"/>
      <c r="MO103" s="6"/>
      <c r="MT103" s="6"/>
      <c r="NE103" s="6"/>
      <c r="NF103" s="6"/>
      <c r="NK103" s="6"/>
      <c r="NO103" s="6"/>
      <c r="NP103" s="6"/>
      <c r="NU103" s="6"/>
      <c r="OF103" s="6"/>
      <c r="OG103" s="6"/>
      <c r="OL103" s="6"/>
      <c r="OP103" s="6"/>
      <c r="OQ103" s="6"/>
      <c r="OV103" s="6"/>
      <c r="PG103" s="6"/>
      <c r="PH103" s="6"/>
      <c r="PM103" s="6"/>
      <c r="PQ103" s="6"/>
      <c r="PR103" s="6"/>
      <c r="PW103" s="6"/>
      <c r="QH103" s="6"/>
      <c r="QI103" s="6"/>
      <c r="QN103" s="6"/>
      <c r="QR103" s="6"/>
      <c r="QS103" s="6"/>
      <c r="QX103" s="6"/>
      <c r="SJ103" s="6"/>
      <c r="SK103" s="6"/>
      <c r="SP103" s="6"/>
      <c r="ST103" s="6"/>
      <c r="SU103" s="6"/>
      <c r="SZ103" s="6"/>
    </row>
    <row r="104" spans="12:520" x14ac:dyDescent="0.3">
      <c r="AJ104" s="2"/>
      <c r="AK104" s="64"/>
      <c r="AL104" s="63"/>
      <c r="AM104" s="62"/>
      <c r="AT104" s="7"/>
      <c r="AX104" s="5"/>
      <c r="AY104" s="6"/>
      <c r="AZ104" s="5"/>
      <c r="BB104" s="5"/>
      <c r="BC104" s="6"/>
      <c r="BD104" s="7"/>
      <c r="BH104" s="5"/>
      <c r="BI104" s="6"/>
      <c r="BT104" s="6"/>
      <c r="BU104" s="6"/>
      <c r="BZ104" s="6"/>
      <c r="CD104" s="6"/>
      <c r="CE104" s="6"/>
      <c r="CJ104" s="6"/>
      <c r="CU104" s="6"/>
      <c r="CV104" s="6"/>
      <c r="DA104" s="6"/>
      <c r="DE104" s="6"/>
      <c r="DF104" s="6"/>
      <c r="DK104" s="6"/>
      <c r="DV104" s="6"/>
      <c r="DW104" s="6"/>
      <c r="EB104" s="6"/>
      <c r="EF104" s="6"/>
      <c r="EG104" s="6"/>
      <c r="EL104" s="6"/>
      <c r="EW104" s="6"/>
      <c r="EX104" s="6"/>
      <c r="FC104" s="6"/>
      <c r="FG104" s="6"/>
      <c r="FH104" s="6"/>
      <c r="FM104" s="6"/>
      <c r="FX104" s="6"/>
      <c r="FY104" s="6"/>
      <c r="GD104" s="6"/>
      <c r="GH104" s="6"/>
      <c r="GI104" s="6"/>
      <c r="GN104" s="6"/>
      <c r="GY104" s="6"/>
      <c r="GZ104" s="6"/>
      <c r="HE104" s="6"/>
      <c r="HI104" s="6"/>
      <c r="HJ104" s="6"/>
      <c r="HO104" s="6"/>
      <c r="HZ104" s="6"/>
      <c r="IA104" s="6"/>
      <c r="IF104" s="6"/>
      <c r="IJ104" s="6"/>
      <c r="IK104" s="6"/>
      <c r="IP104" s="6"/>
      <c r="JV104" s="8"/>
      <c r="JW104" s="8"/>
      <c r="JX104" s="8"/>
      <c r="KB104" s="6"/>
      <c r="KC104" s="6"/>
      <c r="KH104" s="6"/>
      <c r="KL104" s="6"/>
      <c r="KM104" s="6"/>
      <c r="KR104" s="6"/>
      <c r="LC104" s="6"/>
      <c r="LD104" s="6"/>
      <c r="LI104" s="6"/>
      <c r="LM104" s="6"/>
      <c r="LN104" s="6"/>
      <c r="LS104" s="6"/>
      <c r="MD104" s="6"/>
      <c r="ME104" s="6"/>
      <c r="MJ104" s="6"/>
      <c r="MN104" s="6"/>
      <c r="MO104" s="6"/>
      <c r="MT104" s="6"/>
      <c r="NE104" s="6"/>
      <c r="NF104" s="6"/>
      <c r="NK104" s="6"/>
      <c r="NO104" s="6"/>
      <c r="NP104" s="6"/>
      <c r="NU104" s="6"/>
      <c r="OF104" s="6"/>
      <c r="OG104" s="6"/>
      <c r="OL104" s="6"/>
      <c r="OP104" s="6"/>
      <c r="OQ104" s="6"/>
      <c r="OV104" s="6"/>
      <c r="PG104" s="6"/>
      <c r="PH104" s="6"/>
      <c r="PM104" s="6"/>
      <c r="PQ104" s="6"/>
      <c r="PR104" s="6"/>
      <c r="PW104" s="6"/>
      <c r="QH104" s="6"/>
      <c r="QI104" s="6"/>
      <c r="QN104" s="6"/>
      <c r="QR104" s="6"/>
      <c r="QS104" s="6"/>
      <c r="QX104" s="6"/>
      <c r="SJ104" s="6"/>
      <c r="SK104" s="6"/>
      <c r="SP104" s="6"/>
      <c r="ST104" s="6"/>
      <c r="SU104" s="6"/>
      <c r="SZ104" s="6"/>
    </row>
    <row r="105" spans="12:520" x14ac:dyDescent="0.3">
      <c r="AJ105" s="2"/>
      <c r="AK105" s="64"/>
      <c r="AL105" s="63"/>
      <c r="AM105" s="62"/>
      <c r="AT105" s="7"/>
      <c r="AX105" s="5"/>
      <c r="AY105" s="6"/>
      <c r="AZ105" s="5"/>
      <c r="BB105" s="5"/>
      <c r="BC105" s="6"/>
      <c r="BD105" s="7"/>
      <c r="BH105" s="5"/>
      <c r="BI105" s="6"/>
      <c r="BT105" s="6"/>
      <c r="BU105" s="6"/>
      <c r="BZ105" s="6"/>
      <c r="CD105" s="6"/>
      <c r="CE105" s="6"/>
      <c r="CJ105" s="6"/>
      <c r="CU105" s="6"/>
      <c r="CV105" s="6"/>
      <c r="DA105" s="6"/>
      <c r="DE105" s="6"/>
      <c r="DF105" s="6"/>
      <c r="DK105" s="6"/>
      <c r="DV105" s="6"/>
      <c r="DW105" s="6"/>
      <c r="EB105" s="6"/>
      <c r="EF105" s="6"/>
      <c r="EG105" s="6"/>
      <c r="EL105" s="6"/>
      <c r="EW105" s="6"/>
      <c r="EX105" s="6"/>
      <c r="FC105" s="6"/>
      <c r="FG105" s="6"/>
      <c r="FH105" s="6"/>
      <c r="FM105" s="6"/>
      <c r="FX105" s="6"/>
      <c r="FY105" s="6"/>
      <c r="GD105" s="6"/>
      <c r="GH105" s="6"/>
      <c r="GI105" s="6"/>
      <c r="GN105" s="6"/>
      <c r="GY105" s="6"/>
      <c r="GZ105" s="6"/>
      <c r="HE105" s="6"/>
      <c r="HI105" s="6"/>
      <c r="HJ105" s="6"/>
      <c r="HO105" s="6"/>
      <c r="HZ105" s="6"/>
      <c r="IA105" s="6"/>
      <c r="IF105" s="6"/>
      <c r="IJ105" s="6"/>
      <c r="IK105" s="6"/>
      <c r="IP105" s="6"/>
      <c r="LC105" s="6"/>
      <c r="LD105" s="6"/>
      <c r="LI105" s="6"/>
      <c r="LM105" s="6"/>
      <c r="LN105" s="6"/>
      <c r="LS105" s="6"/>
      <c r="MD105" s="6"/>
      <c r="ME105" s="6"/>
      <c r="MJ105" s="6"/>
      <c r="MN105" s="6"/>
      <c r="MO105" s="6"/>
      <c r="MT105" s="6"/>
      <c r="NE105" s="6"/>
      <c r="NF105" s="6"/>
      <c r="NK105" s="6"/>
      <c r="NO105" s="6"/>
      <c r="NP105" s="6"/>
      <c r="NU105" s="6"/>
      <c r="OF105" s="6"/>
      <c r="OG105" s="6"/>
      <c r="OL105" s="6"/>
      <c r="OP105" s="6"/>
      <c r="OQ105" s="6"/>
      <c r="OV105" s="6"/>
      <c r="PG105" s="6"/>
      <c r="PH105" s="6"/>
      <c r="PM105" s="6"/>
      <c r="PQ105" s="6"/>
      <c r="PR105" s="6"/>
      <c r="PW105" s="6"/>
      <c r="QH105" s="6"/>
      <c r="QI105" s="6"/>
      <c r="QN105" s="6"/>
      <c r="QR105" s="6"/>
      <c r="QS105" s="6"/>
      <c r="QX105" s="6"/>
      <c r="SJ105" s="6"/>
      <c r="SK105" s="6"/>
      <c r="SP105" s="6"/>
      <c r="ST105" s="6"/>
      <c r="SU105" s="6"/>
      <c r="SZ105" s="6"/>
    </row>
    <row r="106" spans="12:520" x14ac:dyDescent="0.3">
      <c r="AJ106" s="2"/>
      <c r="AK106" s="64"/>
      <c r="AL106" s="63"/>
      <c r="AM106" s="62"/>
      <c r="BN106" s="8"/>
      <c r="BO106" s="8"/>
      <c r="BP106" s="8"/>
      <c r="BT106" s="6"/>
      <c r="BU106" s="6"/>
      <c r="BZ106" s="6"/>
      <c r="CD106" s="6"/>
      <c r="CE106" s="6"/>
      <c r="CJ106" s="6"/>
      <c r="CO106" s="8"/>
      <c r="CP106" s="8"/>
      <c r="CQ106" s="8"/>
      <c r="CU106" s="6"/>
      <c r="CV106" s="6"/>
      <c r="DA106" s="6"/>
      <c r="DE106" s="6"/>
      <c r="DF106" s="6"/>
      <c r="DK106" s="6"/>
      <c r="DP106" s="8"/>
      <c r="DQ106" s="8"/>
      <c r="DR106" s="8"/>
      <c r="DV106" s="6"/>
      <c r="DW106" s="6"/>
      <c r="EB106" s="6"/>
      <c r="EF106" s="6"/>
      <c r="EG106" s="6"/>
      <c r="EL106" s="6"/>
      <c r="EQ106" s="8"/>
      <c r="ER106" s="8"/>
      <c r="ES106" s="8"/>
      <c r="EW106" s="6"/>
      <c r="EX106" s="6"/>
      <c r="FC106" s="6"/>
      <c r="FG106" s="6"/>
      <c r="FH106" s="6"/>
      <c r="FM106" s="6"/>
      <c r="FR106" s="8"/>
      <c r="FS106" s="8"/>
      <c r="FT106" s="8"/>
      <c r="FX106" s="6"/>
      <c r="FY106" s="6"/>
      <c r="GD106" s="6"/>
      <c r="GH106" s="6"/>
      <c r="GI106" s="6"/>
      <c r="GN106" s="6"/>
      <c r="GS106" s="8"/>
      <c r="GT106" s="8"/>
      <c r="GU106" s="8"/>
      <c r="GY106" s="6"/>
      <c r="GZ106" s="6"/>
      <c r="HE106" s="6"/>
      <c r="HI106" s="6"/>
      <c r="HJ106" s="6"/>
      <c r="HO106" s="6"/>
      <c r="HT106" s="8"/>
      <c r="HU106" s="8"/>
      <c r="HV106" s="8"/>
      <c r="HZ106" s="6"/>
      <c r="IA106" s="6"/>
      <c r="IF106" s="6"/>
      <c r="IJ106" s="6"/>
      <c r="IK106" s="6"/>
      <c r="IP106" s="6"/>
      <c r="KW106" s="8"/>
      <c r="KX106" s="8"/>
      <c r="KY106" s="8"/>
      <c r="LC106" s="6"/>
      <c r="LD106" s="6"/>
      <c r="LI106" s="6"/>
      <c r="LM106" s="6"/>
      <c r="LN106" s="6"/>
      <c r="LS106" s="6"/>
      <c r="LX106" s="8"/>
      <c r="LY106" s="8"/>
      <c r="LZ106" s="8"/>
      <c r="MD106" s="6"/>
      <c r="ME106" s="6"/>
      <c r="MJ106" s="6"/>
      <c r="MN106" s="6"/>
      <c r="MO106" s="6"/>
      <c r="MT106" s="6"/>
      <c r="MY106" s="8"/>
      <c r="MZ106" s="8"/>
      <c r="NA106" s="8"/>
      <c r="NE106" s="6"/>
      <c r="NF106" s="6"/>
      <c r="NK106" s="6"/>
      <c r="NO106" s="6"/>
      <c r="NP106" s="6"/>
      <c r="NU106" s="6"/>
      <c r="NZ106" s="8"/>
      <c r="OA106" s="8"/>
      <c r="OB106" s="8"/>
      <c r="OF106" s="6"/>
      <c r="OG106" s="6"/>
      <c r="OL106" s="6"/>
      <c r="OP106" s="6"/>
      <c r="OQ106" s="6"/>
      <c r="OV106" s="6"/>
      <c r="PA106" s="8"/>
      <c r="PB106" s="8"/>
      <c r="PC106" s="8"/>
      <c r="PG106" s="6"/>
      <c r="PH106" s="6"/>
      <c r="PM106" s="6"/>
      <c r="PQ106" s="6"/>
      <c r="PR106" s="6"/>
      <c r="PW106" s="6"/>
      <c r="QB106" s="8"/>
      <c r="QC106" s="8"/>
      <c r="QD106" s="8"/>
      <c r="QH106" s="6"/>
      <c r="QI106" s="6"/>
      <c r="QN106" s="6"/>
      <c r="QR106" s="6"/>
      <c r="QS106" s="6"/>
      <c r="QX106" s="6"/>
      <c r="SD106" s="8"/>
      <c r="SE106" s="8"/>
      <c r="SF106" s="8"/>
      <c r="SJ106" s="6"/>
      <c r="SK106" s="6"/>
      <c r="SP106" s="6"/>
      <c r="ST106" s="6"/>
      <c r="SU106" s="6"/>
      <c r="SZ106" s="6"/>
    </row>
    <row r="107" spans="12:520" x14ac:dyDescent="0.3">
      <c r="AJ107" s="2"/>
      <c r="AK107" s="64"/>
      <c r="AL107" s="63"/>
      <c r="AM107" s="62"/>
    </row>
    <row r="108" spans="12:520" x14ac:dyDescent="0.3">
      <c r="R108" s="6"/>
      <c r="S108" s="7"/>
      <c r="T108" s="7"/>
      <c r="Z108" s="6"/>
      <c r="AA108" s="7"/>
      <c r="AG108" s="6"/>
      <c r="AJ108" s="2"/>
      <c r="AK108" s="64"/>
      <c r="AL108" s="63"/>
      <c r="AM108" s="62"/>
      <c r="AP108" s="55"/>
      <c r="AQ108" s="55"/>
      <c r="AR108" s="55"/>
      <c r="AS108" s="55"/>
      <c r="AX108" s="6"/>
      <c r="BB108" s="6"/>
      <c r="BC108" s="7"/>
      <c r="BH108" s="6"/>
      <c r="BS108" s="6"/>
      <c r="BT108" s="7"/>
      <c r="BY108" s="6"/>
      <c r="CC108" s="6"/>
      <c r="CD108" s="7"/>
      <c r="CI108" s="6"/>
      <c r="CT108" s="6"/>
      <c r="CU108" s="7"/>
      <c r="CZ108" s="6"/>
      <c r="DD108" s="6"/>
      <c r="DE108" s="7"/>
      <c r="DJ108" s="6"/>
      <c r="DU108" s="6"/>
      <c r="DV108" s="7"/>
      <c r="EA108" s="6"/>
      <c r="EE108" s="6"/>
      <c r="EF108" s="7"/>
      <c r="EK108" s="6"/>
      <c r="EV108" s="6"/>
      <c r="EW108" s="7"/>
      <c r="FB108" s="6"/>
      <c r="FF108" s="6"/>
      <c r="FG108" s="7"/>
      <c r="FL108" s="6"/>
      <c r="FW108" s="6"/>
      <c r="FX108" s="7"/>
      <c r="GC108" s="6"/>
      <c r="GG108" s="6"/>
      <c r="GH108" s="7"/>
      <c r="GM108" s="6"/>
      <c r="GX108" s="6"/>
      <c r="GY108" s="7"/>
      <c r="HD108" s="6"/>
      <c r="HH108" s="6"/>
      <c r="HI108" s="7"/>
      <c r="HN108" s="6"/>
      <c r="HY108" s="6"/>
      <c r="HZ108" s="7"/>
      <c r="IE108" s="6"/>
      <c r="II108" s="6"/>
      <c r="IJ108" s="7"/>
      <c r="IO108" s="6"/>
      <c r="IZ108" s="6"/>
      <c r="JA108" s="7"/>
      <c r="JF108" s="6"/>
      <c r="JJ108" s="6"/>
      <c r="JK108" s="7"/>
      <c r="JP108" s="6"/>
      <c r="KA108" s="6"/>
      <c r="KB108" s="7"/>
      <c r="KG108" s="6"/>
      <c r="KK108" s="6"/>
      <c r="KL108" s="7"/>
      <c r="KQ108" s="6"/>
      <c r="LB108" s="6"/>
      <c r="LC108" s="7"/>
      <c r="LH108" s="6"/>
      <c r="LL108" s="6"/>
      <c r="LM108" s="7"/>
      <c r="LR108" s="6"/>
      <c r="MC108" s="6"/>
      <c r="MD108" s="7"/>
      <c r="MI108" s="6"/>
      <c r="MM108" s="6"/>
      <c r="MN108" s="7"/>
      <c r="MS108" s="6"/>
      <c r="ND108" s="6"/>
      <c r="NE108" s="7"/>
      <c r="NJ108" s="6"/>
      <c r="NN108" s="6"/>
      <c r="NO108" s="7"/>
      <c r="NT108" s="6"/>
      <c r="OE108" s="6"/>
      <c r="OF108" s="7"/>
      <c r="OK108" s="6"/>
      <c r="OO108" s="6"/>
      <c r="OP108" s="7"/>
      <c r="OU108" s="6"/>
      <c r="PF108" s="6"/>
      <c r="PG108" s="7"/>
      <c r="PL108" s="6"/>
      <c r="PP108" s="6"/>
      <c r="PQ108" s="7"/>
      <c r="PV108" s="6"/>
      <c r="QG108" s="6"/>
      <c r="QH108" s="7"/>
      <c r="QM108" s="6"/>
      <c r="QQ108" s="6"/>
      <c r="QR108" s="7"/>
      <c r="QW108" s="6"/>
      <c r="RH108" s="6"/>
      <c r="RI108" s="7"/>
      <c r="RN108" s="6"/>
      <c r="RR108" s="6"/>
      <c r="RS108" s="7"/>
      <c r="RX108" s="6"/>
      <c r="SI108" s="6"/>
      <c r="SJ108" s="7"/>
      <c r="SO108" s="6"/>
      <c r="SS108" s="6"/>
      <c r="ST108" s="7"/>
      <c r="SY108" s="6"/>
    </row>
    <row r="109" spans="12:520" x14ac:dyDescent="0.3">
      <c r="O109" s="5"/>
      <c r="R109" s="5"/>
      <c r="S109" s="6"/>
      <c r="T109" s="6"/>
      <c r="U109" s="7"/>
      <c r="W109" s="6"/>
      <c r="X109" s="5"/>
      <c r="Z109" s="5"/>
      <c r="AA109" s="6"/>
      <c r="AB109" s="7"/>
      <c r="AG109" s="5"/>
      <c r="AH109" s="6"/>
      <c r="AJ109" s="2"/>
      <c r="AK109" s="64"/>
      <c r="AL109" s="63"/>
      <c r="AM109" s="62"/>
      <c r="AN109" s="55"/>
      <c r="AO109" s="55"/>
      <c r="AQ109" s="2"/>
      <c r="AR109" s="55"/>
      <c r="AS109" s="55"/>
      <c r="AT109" s="7"/>
      <c r="AW109" s="5"/>
      <c r="AY109" s="6"/>
      <c r="BC109" s="6"/>
      <c r="BD109" s="7"/>
      <c r="BI109" s="6"/>
      <c r="BT109" s="6"/>
      <c r="BU109" s="6"/>
      <c r="BZ109" s="6"/>
      <c r="CD109" s="6"/>
      <c r="CE109" s="6"/>
      <c r="CJ109" s="6"/>
      <c r="CU109" s="6"/>
      <c r="CV109" s="6"/>
      <c r="DA109" s="6"/>
      <c r="DE109" s="6"/>
      <c r="DF109" s="6"/>
      <c r="DK109" s="6"/>
      <c r="DV109" s="6"/>
      <c r="DW109" s="6"/>
      <c r="EB109" s="6"/>
      <c r="EF109" s="6"/>
      <c r="EG109" s="6"/>
      <c r="EL109" s="6"/>
      <c r="EW109" s="6"/>
      <c r="EX109" s="6"/>
      <c r="FC109" s="6"/>
      <c r="FG109" s="6"/>
      <c r="FH109" s="6"/>
      <c r="FM109" s="6"/>
      <c r="FX109" s="6"/>
      <c r="FY109" s="6"/>
      <c r="GD109" s="6"/>
      <c r="GH109" s="6"/>
      <c r="GI109" s="6"/>
      <c r="GN109" s="6"/>
      <c r="GY109" s="6"/>
      <c r="GZ109" s="6"/>
      <c r="HE109" s="6"/>
      <c r="HI109" s="6"/>
      <c r="HJ109" s="6"/>
      <c r="HO109" s="6"/>
      <c r="HZ109" s="6"/>
      <c r="IA109" s="6"/>
      <c r="IF109" s="6"/>
      <c r="IJ109" s="6"/>
      <c r="IK109" s="6"/>
      <c r="IP109" s="6"/>
      <c r="IU109" s="8"/>
      <c r="IV109" s="8"/>
      <c r="IW109" s="8"/>
      <c r="JA109" s="6"/>
      <c r="JB109" s="6"/>
      <c r="JG109" s="6"/>
      <c r="JK109" s="6"/>
      <c r="JL109" s="6"/>
      <c r="JQ109" s="6"/>
      <c r="KB109" s="6"/>
      <c r="KC109" s="6"/>
      <c r="KH109" s="6"/>
      <c r="KL109" s="6"/>
      <c r="KM109" s="6"/>
      <c r="KR109" s="6"/>
      <c r="LC109" s="6"/>
      <c r="LD109" s="6"/>
      <c r="LI109" s="6"/>
      <c r="LM109" s="6"/>
      <c r="LN109" s="6"/>
      <c r="LS109" s="6"/>
      <c r="MD109" s="6"/>
      <c r="ME109" s="6"/>
      <c r="MJ109" s="6"/>
      <c r="MN109" s="6"/>
      <c r="MO109" s="6"/>
      <c r="MT109" s="6"/>
      <c r="NE109" s="6"/>
      <c r="NF109" s="6"/>
      <c r="NK109" s="6"/>
      <c r="NO109" s="6"/>
      <c r="NP109" s="6"/>
      <c r="NU109" s="6"/>
      <c r="OF109" s="6"/>
      <c r="OG109" s="6"/>
      <c r="OL109" s="6"/>
      <c r="OP109" s="6"/>
      <c r="OQ109" s="6"/>
      <c r="OV109" s="6"/>
      <c r="PG109" s="6"/>
      <c r="PH109" s="6"/>
      <c r="PM109" s="6"/>
      <c r="PQ109" s="6"/>
      <c r="PR109" s="6"/>
      <c r="PW109" s="6"/>
      <c r="QH109" s="6"/>
      <c r="QI109" s="6"/>
      <c r="QN109" s="6"/>
      <c r="QR109" s="6"/>
      <c r="QS109" s="6"/>
      <c r="QX109" s="6"/>
      <c r="RI109" s="6"/>
      <c r="RJ109" s="6"/>
      <c r="RO109" s="6"/>
      <c r="RS109" s="6"/>
      <c r="RT109" s="6"/>
      <c r="RY109" s="6"/>
      <c r="SJ109" s="6"/>
      <c r="SK109" s="6"/>
      <c r="SP109" s="6"/>
      <c r="ST109" s="6"/>
      <c r="SU109" s="6"/>
      <c r="SZ109" s="6"/>
    </row>
    <row r="110" spans="12:520" x14ac:dyDescent="0.3">
      <c r="O110" s="5"/>
      <c r="R110" s="5"/>
      <c r="S110" s="6"/>
      <c r="T110" s="6"/>
      <c r="U110" s="7"/>
      <c r="W110" s="6"/>
      <c r="X110" s="5"/>
      <c r="Z110" s="5"/>
      <c r="AA110" s="6"/>
      <c r="AB110" s="7"/>
      <c r="AG110" s="5"/>
      <c r="AH110" s="6"/>
      <c r="AJ110" s="2"/>
      <c r="AK110" s="64"/>
      <c r="AL110" s="63"/>
      <c r="AM110" s="62"/>
      <c r="AN110" s="55"/>
      <c r="AO110" s="55"/>
      <c r="AR110" s="55"/>
      <c r="AS110" s="55"/>
      <c r="AT110" s="7"/>
      <c r="AW110" s="5"/>
      <c r="AY110" s="6"/>
      <c r="BC110" s="6"/>
      <c r="BD110" s="7"/>
      <c r="BI110" s="6"/>
      <c r="BT110" s="6"/>
      <c r="BU110" s="6"/>
      <c r="BZ110" s="6"/>
      <c r="CD110" s="6"/>
      <c r="CE110" s="6"/>
      <c r="CJ110" s="6"/>
      <c r="CU110" s="6"/>
      <c r="CV110" s="6"/>
      <c r="DA110" s="6"/>
      <c r="DE110" s="6"/>
      <c r="DF110" s="6"/>
      <c r="DK110" s="6"/>
      <c r="DV110" s="6"/>
      <c r="DW110" s="6"/>
      <c r="EB110" s="6"/>
      <c r="EF110" s="6"/>
      <c r="EG110" s="6"/>
      <c r="EL110" s="6"/>
      <c r="EW110" s="6"/>
      <c r="EX110" s="6"/>
      <c r="FC110" s="6"/>
      <c r="FG110" s="6"/>
      <c r="FH110" s="6"/>
      <c r="FM110" s="6"/>
      <c r="FX110" s="6"/>
      <c r="FY110" s="6"/>
      <c r="GD110" s="6"/>
      <c r="GH110" s="6"/>
      <c r="GI110" s="6"/>
      <c r="GN110" s="6"/>
      <c r="GY110" s="6"/>
      <c r="GZ110" s="6"/>
      <c r="HE110" s="6"/>
      <c r="HI110" s="6"/>
      <c r="HJ110" s="6"/>
      <c r="HO110" s="6"/>
      <c r="HZ110" s="6"/>
      <c r="IA110" s="6"/>
      <c r="IF110" s="6"/>
      <c r="IJ110" s="6"/>
      <c r="IK110" s="6"/>
      <c r="IP110" s="6"/>
      <c r="KB110" s="6"/>
      <c r="KC110" s="6"/>
      <c r="KH110" s="6"/>
      <c r="KL110" s="6"/>
      <c r="KM110" s="6"/>
      <c r="KR110" s="6"/>
      <c r="LC110" s="6"/>
      <c r="LD110" s="6"/>
      <c r="LI110" s="6"/>
      <c r="LM110" s="6"/>
      <c r="LN110" s="6"/>
      <c r="LS110" s="6"/>
      <c r="MD110" s="6"/>
      <c r="ME110" s="6"/>
      <c r="MJ110" s="6"/>
      <c r="MN110" s="6"/>
      <c r="MO110" s="6"/>
      <c r="MT110" s="6"/>
      <c r="NE110" s="6"/>
      <c r="NF110" s="6"/>
      <c r="NK110" s="6"/>
      <c r="NO110" s="6"/>
      <c r="NP110" s="6"/>
      <c r="NU110" s="6"/>
      <c r="OF110" s="6"/>
      <c r="OG110" s="6"/>
      <c r="OL110" s="6"/>
      <c r="OP110" s="6"/>
      <c r="OQ110" s="6"/>
      <c r="OV110" s="6"/>
      <c r="PG110" s="6"/>
      <c r="PH110" s="6"/>
      <c r="PM110" s="6"/>
      <c r="PQ110" s="6"/>
      <c r="PR110" s="6"/>
      <c r="PW110" s="6"/>
      <c r="QH110" s="6"/>
      <c r="QI110" s="6"/>
      <c r="QN110" s="6"/>
      <c r="QR110" s="6"/>
      <c r="QS110" s="6"/>
      <c r="QX110" s="6"/>
      <c r="RI110" s="6"/>
      <c r="RJ110" s="6"/>
      <c r="RO110" s="6"/>
      <c r="RS110" s="6"/>
      <c r="RT110" s="6"/>
      <c r="RY110" s="6"/>
      <c r="SJ110" s="6"/>
      <c r="SK110" s="6"/>
      <c r="SP110" s="6"/>
      <c r="ST110" s="6"/>
      <c r="SU110" s="6"/>
      <c r="SZ110" s="6"/>
    </row>
    <row r="111" spans="12:520" x14ac:dyDescent="0.3">
      <c r="L111" s="8"/>
      <c r="M111" s="8"/>
      <c r="N111" s="8"/>
      <c r="O111" s="5"/>
      <c r="R111" s="5"/>
      <c r="S111" s="6"/>
      <c r="T111" s="6"/>
      <c r="U111" s="7"/>
      <c r="W111" s="7"/>
      <c r="X111" s="5"/>
      <c r="Z111" s="5"/>
      <c r="AA111" s="6"/>
      <c r="AB111" s="7"/>
      <c r="AG111" s="5"/>
      <c r="AH111" s="7"/>
      <c r="AJ111" s="2"/>
      <c r="AK111" s="64"/>
      <c r="AL111" s="63"/>
      <c r="AM111" s="62"/>
      <c r="AN111" s="5"/>
      <c r="AO111" s="5"/>
      <c r="AQ111" s="2"/>
      <c r="AR111" s="15"/>
      <c r="AS111" s="15"/>
      <c r="AT111" s="7"/>
      <c r="AW111" s="5"/>
      <c r="AY111" s="6"/>
      <c r="BC111" s="6"/>
      <c r="BD111" s="7"/>
      <c r="BI111" s="6"/>
      <c r="BT111" s="6"/>
      <c r="BU111" s="6"/>
      <c r="BZ111" s="6"/>
      <c r="CD111" s="6"/>
      <c r="CE111" s="6"/>
      <c r="CJ111" s="6"/>
      <c r="CU111" s="6"/>
      <c r="CV111" s="6"/>
      <c r="DA111" s="6"/>
      <c r="DE111" s="6"/>
      <c r="DF111" s="6"/>
      <c r="DK111" s="6"/>
      <c r="DV111" s="6"/>
      <c r="DW111" s="6"/>
      <c r="EB111" s="6"/>
      <c r="EF111" s="6"/>
      <c r="EG111" s="6"/>
      <c r="EL111" s="6"/>
      <c r="EW111" s="6"/>
      <c r="EX111" s="6"/>
      <c r="FC111" s="6"/>
      <c r="FG111" s="6"/>
      <c r="FH111" s="6"/>
      <c r="FM111" s="6"/>
      <c r="FX111" s="6"/>
      <c r="FY111" s="6"/>
      <c r="GD111" s="6"/>
      <c r="GH111" s="6"/>
      <c r="GI111" s="6"/>
      <c r="GN111" s="6"/>
      <c r="GY111" s="6"/>
      <c r="GZ111" s="6"/>
      <c r="HE111" s="6"/>
      <c r="HI111" s="6"/>
      <c r="HJ111" s="6"/>
      <c r="HO111" s="6"/>
      <c r="HZ111" s="6"/>
      <c r="IA111" s="6"/>
      <c r="IF111" s="6"/>
      <c r="IJ111" s="6"/>
      <c r="IK111" s="6"/>
      <c r="IP111" s="6"/>
      <c r="KB111" s="6"/>
      <c r="KC111" s="6"/>
      <c r="KH111" s="6"/>
      <c r="KL111" s="6"/>
      <c r="KM111" s="6"/>
      <c r="KR111" s="6"/>
      <c r="LC111" s="6"/>
      <c r="LD111" s="6"/>
      <c r="LI111" s="6"/>
      <c r="LM111" s="6"/>
      <c r="LN111" s="6"/>
      <c r="LS111" s="6"/>
      <c r="MD111" s="6"/>
      <c r="ME111" s="6"/>
      <c r="MJ111" s="6"/>
      <c r="MN111" s="6"/>
      <c r="MO111" s="6"/>
      <c r="MT111" s="6"/>
      <c r="NE111" s="6"/>
      <c r="NF111" s="6"/>
      <c r="NK111" s="6"/>
      <c r="NO111" s="6"/>
      <c r="NP111" s="6"/>
      <c r="NU111" s="6"/>
      <c r="OF111" s="6"/>
      <c r="OG111" s="6"/>
      <c r="OL111" s="6"/>
      <c r="OP111" s="6"/>
      <c r="OQ111" s="6"/>
      <c r="OV111" s="6"/>
      <c r="PG111" s="6"/>
      <c r="PH111" s="6"/>
      <c r="PM111" s="6"/>
      <c r="PQ111" s="6"/>
      <c r="PR111" s="6"/>
      <c r="PW111" s="6"/>
      <c r="QH111" s="6"/>
      <c r="QI111" s="6"/>
      <c r="QN111" s="6"/>
      <c r="QR111" s="6"/>
      <c r="QS111" s="6"/>
      <c r="QX111" s="6"/>
      <c r="RI111" s="6"/>
      <c r="RJ111" s="6"/>
      <c r="RO111" s="6"/>
      <c r="RS111" s="6"/>
      <c r="RT111" s="6"/>
      <c r="RY111" s="6"/>
      <c r="SJ111" s="6"/>
      <c r="SK111" s="6"/>
      <c r="SP111" s="6"/>
      <c r="ST111" s="6"/>
      <c r="SU111" s="6"/>
      <c r="SZ111" s="6"/>
    </row>
    <row r="112" spans="12:520" x14ac:dyDescent="0.3">
      <c r="AR112" s="6"/>
      <c r="AS112" s="7"/>
      <c r="AT112" s="7"/>
      <c r="AW112" s="5"/>
      <c r="AY112" s="6"/>
      <c r="BC112" s="6"/>
      <c r="BD112" s="7"/>
      <c r="BI112" s="6"/>
      <c r="BT112" s="6"/>
      <c r="BU112" s="6"/>
      <c r="BZ112" s="6"/>
      <c r="CD112" s="6"/>
      <c r="CE112" s="6"/>
      <c r="CJ112" s="6"/>
      <c r="CU112" s="6"/>
      <c r="CV112" s="6"/>
      <c r="DA112" s="6"/>
      <c r="DE112" s="6"/>
      <c r="DF112" s="6"/>
      <c r="DK112" s="6"/>
      <c r="DV112" s="6"/>
      <c r="DW112" s="6"/>
      <c r="EB112" s="6"/>
      <c r="EF112" s="6"/>
      <c r="EG112" s="6"/>
      <c r="EL112" s="6"/>
      <c r="EW112" s="6"/>
      <c r="EX112" s="6"/>
      <c r="FC112" s="6"/>
      <c r="FG112" s="6"/>
      <c r="FH112" s="6"/>
      <c r="FM112" s="6"/>
      <c r="FX112" s="6"/>
      <c r="FY112" s="6"/>
      <c r="GD112" s="6"/>
      <c r="GH112" s="6"/>
      <c r="GI112" s="6"/>
      <c r="GN112" s="6"/>
      <c r="GY112" s="6"/>
      <c r="GZ112" s="6"/>
      <c r="HE112" s="6"/>
      <c r="HI112" s="6"/>
      <c r="HJ112" s="6"/>
      <c r="HO112" s="6"/>
      <c r="HZ112" s="6"/>
      <c r="IA112" s="6"/>
      <c r="IF112" s="6"/>
      <c r="IJ112" s="6"/>
      <c r="IK112" s="6"/>
      <c r="IP112" s="6"/>
      <c r="KB112" s="6"/>
      <c r="KC112" s="6"/>
      <c r="KH112" s="6"/>
      <c r="KL112" s="6"/>
      <c r="KM112" s="6"/>
      <c r="KR112" s="6"/>
      <c r="LC112" s="6"/>
      <c r="LD112" s="6"/>
      <c r="LI112" s="6"/>
      <c r="LM112" s="6"/>
      <c r="LN112" s="6"/>
      <c r="LS112" s="6"/>
      <c r="MD112" s="6"/>
      <c r="ME112" s="6"/>
      <c r="MJ112" s="6"/>
      <c r="MN112" s="6"/>
      <c r="MO112" s="6"/>
      <c r="MT112" s="6"/>
      <c r="NE112" s="6"/>
      <c r="NF112" s="6"/>
      <c r="NK112" s="6"/>
      <c r="NO112" s="6"/>
      <c r="NP112" s="6"/>
      <c r="NU112" s="6"/>
      <c r="OF112" s="6"/>
      <c r="OG112" s="6"/>
      <c r="OL112" s="6"/>
      <c r="OP112" s="6"/>
      <c r="OQ112" s="6"/>
      <c r="OV112" s="6"/>
      <c r="PG112" s="6"/>
      <c r="PH112" s="6"/>
      <c r="PM112" s="6"/>
      <c r="PQ112" s="6"/>
      <c r="PR112" s="6"/>
      <c r="PW112" s="6"/>
      <c r="QH112" s="6"/>
      <c r="QI112" s="6"/>
      <c r="QN112" s="6"/>
      <c r="QR112" s="6"/>
      <c r="QS112" s="6"/>
      <c r="QX112" s="6"/>
      <c r="RI112" s="6"/>
      <c r="RJ112" s="6"/>
      <c r="RO112" s="6"/>
      <c r="RS112" s="6"/>
      <c r="RT112" s="6"/>
      <c r="RY112" s="6"/>
      <c r="SJ112" s="6"/>
      <c r="SK112" s="6"/>
      <c r="SP112" s="6"/>
      <c r="ST112" s="6"/>
      <c r="SU112" s="6"/>
      <c r="SZ112" s="6"/>
    </row>
    <row r="113" spans="15:520" x14ac:dyDescent="0.3">
      <c r="AQ113" s="5"/>
      <c r="AR113" s="5"/>
      <c r="AS113" s="6"/>
      <c r="AT113" s="7"/>
      <c r="AW113" s="5"/>
      <c r="AY113" s="6"/>
      <c r="BC113" s="6"/>
      <c r="BD113" s="7"/>
      <c r="BI113" s="6"/>
      <c r="BT113" s="6"/>
      <c r="BU113" s="6"/>
      <c r="BZ113" s="6"/>
      <c r="CD113" s="6"/>
      <c r="CE113" s="6"/>
      <c r="CJ113" s="6"/>
      <c r="CU113" s="6"/>
      <c r="CV113" s="6"/>
      <c r="DA113" s="6"/>
      <c r="DE113" s="6"/>
      <c r="DF113" s="6"/>
      <c r="DK113" s="6"/>
      <c r="DV113" s="6"/>
      <c r="DW113" s="6"/>
      <c r="EB113" s="6"/>
      <c r="EF113" s="6"/>
      <c r="EG113" s="6"/>
      <c r="EL113" s="6"/>
      <c r="EW113" s="6"/>
      <c r="EX113" s="6"/>
      <c r="FC113" s="6"/>
      <c r="FG113" s="6"/>
      <c r="FH113" s="6"/>
      <c r="FM113" s="6"/>
      <c r="FX113" s="6"/>
      <c r="FY113" s="6"/>
      <c r="GD113" s="6"/>
      <c r="GH113" s="6"/>
      <c r="GI113" s="6"/>
      <c r="GN113" s="6"/>
      <c r="GY113" s="6"/>
      <c r="GZ113" s="6"/>
      <c r="HE113" s="6"/>
      <c r="HI113" s="6"/>
      <c r="HJ113" s="6"/>
      <c r="HO113" s="6"/>
      <c r="HZ113" s="6"/>
      <c r="IA113" s="6"/>
      <c r="IF113" s="6"/>
      <c r="IJ113" s="6"/>
      <c r="IK113" s="6"/>
      <c r="IP113" s="6"/>
      <c r="KB113" s="6"/>
      <c r="KC113" s="6"/>
      <c r="KH113" s="6"/>
      <c r="KL113" s="6"/>
      <c r="KM113" s="6"/>
      <c r="KR113" s="6"/>
      <c r="LC113" s="6"/>
      <c r="LD113" s="6"/>
      <c r="LI113" s="6"/>
      <c r="LM113" s="6"/>
      <c r="LN113" s="6"/>
      <c r="LS113" s="6"/>
      <c r="MD113" s="6"/>
      <c r="ME113" s="6"/>
      <c r="MJ113" s="6"/>
      <c r="MN113" s="6"/>
      <c r="MO113" s="6"/>
      <c r="MT113" s="6"/>
      <c r="NE113" s="6"/>
      <c r="NF113" s="6"/>
      <c r="NK113" s="6"/>
      <c r="NO113" s="6"/>
      <c r="NP113" s="6"/>
      <c r="NU113" s="6"/>
      <c r="OF113" s="6"/>
      <c r="OG113" s="6"/>
      <c r="OL113" s="6"/>
      <c r="OP113" s="6"/>
      <c r="OQ113" s="6"/>
      <c r="OV113" s="6"/>
      <c r="PG113" s="6"/>
      <c r="PH113" s="6"/>
      <c r="PM113" s="6"/>
      <c r="PQ113" s="6"/>
      <c r="PR113" s="6"/>
      <c r="PW113" s="6"/>
      <c r="QH113" s="6"/>
      <c r="QI113" s="6"/>
      <c r="QN113" s="6"/>
      <c r="QR113" s="6"/>
      <c r="QS113" s="6"/>
      <c r="QX113" s="6"/>
      <c r="RC113" s="8"/>
      <c r="RD113" s="8"/>
      <c r="RE113" s="8"/>
      <c r="RI113" s="6"/>
      <c r="RJ113" s="6"/>
      <c r="RO113" s="6"/>
      <c r="RS113" s="6"/>
      <c r="RT113" s="6"/>
      <c r="RY113" s="6"/>
      <c r="SJ113" s="6"/>
      <c r="SK113" s="6"/>
      <c r="SP113" s="6"/>
      <c r="ST113" s="6"/>
      <c r="SU113" s="6"/>
      <c r="SZ113" s="6"/>
    </row>
    <row r="114" spans="15:520" x14ac:dyDescent="0.3">
      <c r="AQ114" s="5"/>
      <c r="AR114" s="5"/>
      <c r="AS114" s="6"/>
      <c r="AT114" s="7"/>
      <c r="AW114" s="5"/>
      <c r="AY114" s="6"/>
      <c r="BC114" s="6"/>
      <c r="BD114" s="7"/>
      <c r="BI114" s="6"/>
      <c r="BT114" s="6"/>
      <c r="BU114" s="6"/>
      <c r="BZ114" s="6"/>
      <c r="CD114" s="6"/>
      <c r="CE114" s="6"/>
      <c r="CJ114" s="6"/>
      <c r="CU114" s="6"/>
      <c r="CV114" s="6"/>
      <c r="DA114" s="6"/>
      <c r="DE114" s="6"/>
      <c r="DF114" s="6"/>
      <c r="DK114" s="6"/>
      <c r="DV114" s="6"/>
      <c r="DW114" s="6"/>
      <c r="EB114" s="6"/>
      <c r="EF114" s="6"/>
      <c r="EG114" s="6"/>
      <c r="EL114" s="6"/>
      <c r="EW114" s="6"/>
      <c r="EX114" s="6"/>
      <c r="FC114" s="6"/>
      <c r="FG114" s="6"/>
      <c r="FH114" s="6"/>
      <c r="FM114" s="6"/>
      <c r="FX114" s="6"/>
      <c r="FY114" s="6"/>
      <c r="GD114" s="6"/>
      <c r="GH114" s="6"/>
      <c r="GI114" s="6"/>
      <c r="GN114" s="6"/>
      <c r="GY114" s="6"/>
      <c r="GZ114" s="6"/>
      <c r="HE114" s="6"/>
      <c r="HI114" s="6"/>
      <c r="HJ114" s="6"/>
      <c r="HO114" s="6"/>
      <c r="HZ114" s="6"/>
      <c r="IA114" s="6"/>
      <c r="IF114" s="6"/>
      <c r="IJ114" s="6"/>
      <c r="IK114" s="6"/>
      <c r="IP114" s="6"/>
      <c r="KB114" s="6"/>
      <c r="KC114" s="6"/>
      <c r="KH114" s="6"/>
      <c r="KL114" s="6"/>
      <c r="KM114" s="6"/>
      <c r="KR114" s="6"/>
      <c r="LC114" s="6"/>
      <c r="LD114" s="6"/>
      <c r="LI114" s="6"/>
      <c r="LM114" s="6"/>
      <c r="LN114" s="6"/>
      <c r="LS114" s="6"/>
      <c r="MD114" s="6"/>
      <c r="ME114" s="6"/>
      <c r="MJ114" s="6"/>
      <c r="MN114" s="6"/>
      <c r="MO114" s="6"/>
      <c r="MT114" s="6"/>
      <c r="NE114" s="6"/>
      <c r="NF114" s="6"/>
      <c r="NK114" s="6"/>
      <c r="NO114" s="6"/>
      <c r="NP114" s="6"/>
      <c r="NU114" s="6"/>
      <c r="OF114" s="6"/>
      <c r="OG114" s="6"/>
      <c r="OL114" s="6"/>
      <c r="OP114" s="6"/>
      <c r="OQ114" s="6"/>
      <c r="OV114" s="6"/>
      <c r="PG114" s="6"/>
      <c r="PH114" s="6"/>
      <c r="PM114" s="6"/>
      <c r="PQ114" s="6"/>
      <c r="PR114" s="6"/>
      <c r="PW114" s="6"/>
      <c r="QH114" s="6"/>
      <c r="QI114" s="6"/>
      <c r="QN114" s="6"/>
      <c r="QR114" s="6"/>
      <c r="QS114" s="6"/>
      <c r="QX114" s="6"/>
      <c r="SJ114" s="6"/>
      <c r="SK114" s="6"/>
      <c r="SP114" s="6"/>
      <c r="ST114" s="6"/>
      <c r="SU114" s="6"/>
      <c r="SZ114" s="6"/>
    </row>
    <row r="115" spans="15:520" x14ac:dyDescent="0.3">
      <c r="AQ115" s="5"/>
      <c r="AR115" s="5"/>
      <c r="AS115" s="6"/>
      <c r="AT115" s="7"/>
      <c r="AW115" s="5"/>
      <c r="AY115" s="7"/>
      <c r="BC115" s="6"/>
      <c r="BD115" s="7"/>
      <c r="BI115" s="7"/>
      <c r="BT115" s="6"/>
      <c r="BU115" s="6"/>
      <c r="BZ115" s="6"/>
      <c r="CD115" s="6"/>
      <c r="CE115" s="6"/>
      <c r="CJ115" s="6"/>
      <c r="CU115" s="6"/>
      <c r="CV115" s="6"/>
      <c r="DA115" s="6"/>
      <c r="DE115" s="6"/>
      <c r="DF115" s="6"/>
      <c r="DK115" s="6"/>
      <c r="DV115" s="6"/>
      <c r="DW115" s="6"/>
      <c r="EB115" s="6"/>
      <c r="EF115" s="6"/>
      <c r="EG115" s="6"/>
      <c r="EL115" s="6"/>
      <c r="EW115" s="6"/>
      <c r="EX115" s="6"/>
      <c r="FC115" s="6"/>
      <c r="FG115" s="6"/>
      <c r="FH115" s="6"/>
      <c r="FM115" s="6"/>
      <c r="FX115" s="6"/>
      <c r="FY115" s="6"/>
      <c r="GD115" s="6"/>
      <c r="GH115" s="6"/>
      <c r="GI115" s="6"/>
      <c r="GN115" s="6"/>
      <c r="GY115" s="6"/>
      <c r="GZ115" s="6"/>
      <c r="HE115" s="6"/>
      <c r="HI115" s="6"/>
      <c r="HJ115" s="6"/>
      <c r="HO115" s="6"/>
      <c r="HZ115" s="6"/>
      <c r="IA115" s="6"/>
      <c r="IF115" s="6"/>
      <c r="IJ115" s="6"/>
      <c r="IK115" s="6"/>
      <c r="IP115" s="6"/>
      <c r="KB115" s="6"/>
      <c r="KC115" s="6"/>
      <c r="KH115" s="6"/>
      <c r="KL115" s="6"/>
      <c r="KM115" s="6"/>
      <c r="KR115" s="6"/>
      <c r="LC115" s="6"/>
      <c r="LD115" s="6"/>
      <c r="LI115" s="6"/>
      <c r="LM115" s="6"/>
      <c r="LN115" s="6"/>
      <c r="LS115" s="6"/>
      <c r="MD115" s="6"/>
      <c r="ME115" s="6"/>
      <c r="MJ115" s="6"/>
      <c r="MN115" s="6"/>
      <c r="MO115" s="6"/>
      <c r="MT115" s="6"/>
      <c r="NE115" s="6"/>
      <c r="NF115" s="6"/>
      <c r="NK115" s="6"/>
      <c r="NO115" s="6"/>
      <c r="NP115" s="6"/>
      <c r="NU115" s="6"/>
      <c r="OF115" s="6"/>
      <c r="OG115" s="6"/>
      <c r="OL115" s="6"/>
      <c r="OP115" s="6"/>
      <c r="OQ115" s="6"/>
      <c r="OV115" s="6"/>
      <c r="PG115" s="6"/>
      <c r="PH115" s="6"/>
      <c r="PM115" s="6"/>
      <c r="PQ115" s="6"/>
      <c r="PR115" s="6"/>
      <c r="PW115" s="6"/>
      <c r="QH115" s="6"/>
      <c r="QI115" s="6"/>
      <c r="QN115" s="6"/>
      <c r="QR115" s="6"/>
      <c r="QS115" s="6"/>
      <c r="QX115" s="6"/>
      <c r="SJ115" s="6"/>
      <c r="SK115" s="6"/>
      <c r="SP115" s="6"/>
      <c r="ST115" s="6"/>
      <c r="SU115" s="6"/>
      <c r="SZ115" s="6"/>
    </row>
    <row r="116" spans="15:520" x14ac:dyDescent="0.3">
      <c r="AQ116" s="5"/>
      <c r="AR116" s="5"/>
      <c r="AS116" s="6"/>
      <c r="AT116" s="7"/>
      <c r="AX116" s="5"/>
      <c r="AY116" s="6"/>
      <c r="AZ116" s="5"/>
      <c r="BB116" s="5"/>
      <c r="BC116" s="6"/>
      <c r="BD116" s="7"/>
      <c r="BH116" s="5"/>
      <c r="BI116" s="6"/>
      <c r="BT116" s="6"/>
      <c r="BU116" s="6"/>
      <c r="BZ116" s="6"/>
      <c r="CD116" s="6"/>
      <c r="CE116" s="6"/>
      <c r="CJ116" s="6"/>
      <c r="CU116" s="6"/>
      <c r="CV116" s="6"/>
      <c r="DA116" s="6"/>
      <c r="DE116" s="6"/>
      <c r="DF116" s="6"/>
      <c r="DK116" s="6"/>
      <c r="DV116" s="6"/>
      <c r="DW116" s="6"/>
      <c r="EB116" s="6"/>
      <c r="EF116" s="6"/>
      <c r="EG116" s="6"/>
      <c r="EL116" s="6"/>
      <c r="EW116" s="6"/>
      <c r="EX116" s="6"/>
      <c r="FC116" s="6"/>
      <c r="FG116" s="6"/>
      <c r="FH116" s="6"/>
      <c r="FM116" s="6"/>
      <c r="FX116" s="6"/>
      <c r="FY116" s="6"/>
      <c r="GD116" s="6"/>
      <c r="GH116" s="6"/>
      <c r="GI116" s="6"/>
      <c r="GN116" s="6"/>
      <c r="GY116" s="6"/>
      <c r="GZ116" s="6"/>
      <c r="HE116" s="6"/>
      <c r="HI116" s="6"/>
      <c r="HJ116" s="6"/>
      <c r="HO116" s="6"/>
      <c r="HZ116" s="6"/>
      <c r="IA116" s="6"/>
      <c r="IF116" s="6"/>
      <c r="IJ116" s="6"/>
      <c r="IK116" s="6"/>
      <c r="IP116" s="6"/>
      <c r="KB116" s="6"/>
      <c r="KC116" s="6"/>
      <c r="KH116" s="6"/>
      <c r="KL116" s="6"/>
      <c r="KM116" s="6"/>
      <c r="KR116" s="6"/>
      <c r="LC116" s="6"/>
      <c r="LD116" s="6"/>
      <c r="LI116" s="6"/>
      <c r="LM116" s="6"/>
      <c r="LN116" s="6"/>
      <c r="LS116" s="6"/>
      <c r="MD116" s="6"/>
      <c r="ME116" s="6"/>
      <c r="MJ116" s="6"/>
      <c r="MN116" s="6"/>
      <c r="MO116" s="6"/>
      <c r="MT116" s="6"/>
      <c r="NE116" s="6"/>
      <c r="NF116" s="6"/>
      <c r="NK116" s="6"/>
      <c r="NO116" s="6"/>
      <c r="NP116" s="6"/>
      <c r="NU116" s="6"/>
      <c r="OF116" s="6"/>
      <c r="OG116" s="6"/>
      <c r="OL116" s="6"/>
      <c r="OP116" s="6"/>
      <c r="OQ116" s="6"/>
      <c r="OV116" s="6"/>
      <c r="PG116" s="6"/>
      <c r="PH116" s="6"/>
      <c r="PM116" s="6"/>
      <c r="PQ116" s="6"/>
      <c r="PR116" s="6"/>
      <c r="PW116" s="6"/>
      <c r="QH116" s="6"/>
      <c r="QI116" s="6"/>
      <c r="QN116" s="6"/>
      <c r="QR116" s="6"/>
      <c r="QS116" s="6"/>
      <c r="QX116" s="6"/>
      <c r="SJ116" s="6"/>
      <c r="SK116" s="6"/>
      <c r="SP116" s="6"/>
      <c r="ST116" s="6"/>
      <c r="SU116" s="6"/>
      <c r="SZ116" s="6"/>
    </row>
    <row r="117" spans="15:520" x14ac:dyDescent="0.3">
      <c r="AQ117" s="5"/>
      <c r="AR117" s="5"/>
      <c r="AS117" s="6"/>
      <c r="AT117" s="7"/>
      <c r="AX117" s="5"/>
      <c r="AY117" s="6"/>
      <c r="AZ117" s="5"/>
      <c r="BB117" s="5"/>
      <c r="BC117" s="6"/>
      <c r="BD117" s="7"/>
      <c r="BH117" s="5"/>
      <c r="BI117" s="6"/>
      <c r="BT117" s="6"/>
      <c r="BU117" s="6"/>
      <c r="BZ117" s="6"/>
      <c r="CD117" s="6"/>
      <c r="CE117" s="6"/>
      <c r="CJ117" s="6"/>
      <c r="CU117" s="6"/>
      <c r="CV117" s="6"/>
      <c r="DA117" s="6"/>
      <c r="DE117" s="6"/>
      <c r="DF117" s="6"/>
      <c r="DK117" s="6"/>
      <c r="DV117" s="6"/>
      <c r="DW117" s="6"/>
      <c r="EB117" s="6"/>
      <c r="EF117" s="6"/>
      <c r="EG117" s="6"/>
      <c r="EL117" s="6"/>
      <c r="EW117" s="6"/>
      <c r="EX117" s="6"/>
      <c r="FC117" s="6"/>
      <c r="FG117" s="6"/>
      <c r="FH117" s="6"/>
      <c r="FM117" s="6"/>
      <c r="FX117" s="6"/>
      <c r="FY117" s="6"/>
      <c r="GD117" s="6"/>
      <c r="GH117" s="6"/>
      <c r="GI117" s="6"/>
      <c r="GN117" s="6"/>
      <c r="GY117" s="6"/>
      <c r="GZ117" s="6"/>
      <c r="HE117" s="6"/>
      <c r="HI117" s="6"/>
      <c r="HJ117" s="6"/>
      <c r="HO117" s="6"/>
      <c r="HZ117" s="6"/>
      <c r="IA117" s="6"/>
      <c r="IF117" s="6"/>
      <c r="IJ117" s="6"/>
      <c r="IK117" s="6"/>
      <c r="IP117" s="6"/>
      <c r="JV117" s="8"/>
      <c r="JW117" s="8"/>
      <c r="JX117" s="8"/>
      <c r="KB117" s="6"/>
      <c r="KC117" s="6"/>
      <c r="KH117" s="6"/>
      <c r="KL117" s="6"/>
      <c r="KM117" s="6"/>
      <c r="KR117" s="6"/>
      <c r="LC117" s="6"/>
      <c r="LD117" s="6"/>
      <c r="LI117" s="6"/>
      <c r="LM117" s="6"/>
      <c r="LN117" s="6"/>
      <c r="LS117" s="6"/>
      <c r="MD117" s="6"/>
      <c r="ME117" s="6"/>
      <c r="MJ117" s="6"/>
      <c r="MN117" s="6"/>
      <c r="MO117" s="6"/>
      <c r="MT117" s="6"/>
      <c r="NE117" s="6"/>
      <c r="NF117" s="6"/>
      <c r="NK117" s="6"/>
      <c r="NO117" s="6"/>
      <c r="NP117" s="6"/>
      <c r="NU117" s="6"/>
      <c r="OF117" s="6"/>
      <c r="OG117" s="6"/>
      <c r="OL117" s="6"/>
      <c r="OP117" s="6"/>
      <c r="OQ117" s="6"/>
      <c r="OV117" s="6"/>
      <c r="PG117" s="6"/>
      <c r="PH117" s="6"/>
      <c r="PM117" s="6"/>
      <c r="PQ117" s="6"/>
      <c r="PR117" s="6"/>
      <c r="PW117" s="6"/>
      <c r="QH117" s="6"/>
      <c r="QI117" s="6"/>
      <c r="QN117" s="6"/>
      <c r="QR117" s="6"/>
      <c r="QS117" s="6"/>
      <c r="QX117" s="6"/>
      <c r="SJ117" s="6"/>
      <c r="SK117" s="6"/>
      <c r="SP117" s="6"/>
      <c r="ST117" s="6"/>
      <c r="SU117" s="6"/>
      <c r="SZ117" s="6"/>
    </row>
    <row r="118" spans="15:520" x14ac:dyDescent="0.3">
      <c r="R118" s="6"/>
      <c r="S118" s="7"/>
      <c r="T118" s="7"/>
      <c r="Z118" s="6"/>
      <c r="AA118" s="7"/>
      <c r="AG118" s="6"/>
      <c r="AQ118" s="5"/>
      <c r="AR118" s="5"/>
      <c r="AS118" s="6"/>
      <c r="AX118" s="6"/>
      <c r="BB118" s="6"/>
      <c r="BC118" s="7"/>
      <c r="BH118" s="6"/>
      <c r="BT118" s="6"/>
      <c r="BU118" s="6"/>
      <c r="BZ118" s="6"/>
      <c r="CD118" s="6"/>
      <c r="CE118" s="6"/>
      <c r="CJ118" s="6"/>
      <c r="CU118" s="6"/>
      <c r="CV118" s="6"/>
      <c r="DA118" s="6"/>
      <c r="DE118" s="6"/>
      <c r="DF118" s="6"/>
      <c r="DK118" s="6"/>
      <c r="DV118" s="6"/>
      <c r="DW118" s="6"/>
      <c r="EB118" s="6"/>
      <c r="EF118" s="6"/>
      <c r="EG118" s="6"/>
      <c r="EL118" s="6"/>
      <c r="EW118" s="6"/>
      <c r="EX118" s="6"/>
      <c r="FC118" s="6"/>
      <c r="FG118" s="6"/>
      <c r="FH118" s="6"/>
      <c r="FM118" s="6"/>
      <c r="FX118" s="6"/>
      <c r="FY118" s="6"/>
      <c r="GD118" s="6"/>
      <c r="GH118" s="6"/>
      <c r="GI118" s="6"/>
      <c r="GN118" s="6"/>
      <c r="GY118" s="6"/>
      <c r="GZ118" s="6"/>
      <c r="HE118" s="6"/>
      <c r="HI118" s="6"/>
      <c r="HJ118" s="6"/>
      <c r="HO118" s="6"/>
      <c r="HZ118" s="6"/>
      <c r="IA118" s="6"/>
      <c r="IF118" s="6"/>
      <c r="IJ118" s="6"/>
      <c r="IK118" s="6"/>
      <c r="IP118" s="6"/>
      <c r="LC118" s="6"/>
      <c r="LD118" s="6"/>
      <c r="LI118" s="6"/>
      <c r="LM118" s="6"/>
      <c r="LN118" s="6"/>
      <c r="LS118" s="6"/>
      <c r="MD118" s="6"/>
      <c r="ME118" s="6"/>
      <c r="MJ118" s="6"/>
      <c r="MN118" s="6"/>
      <c r="MO118" s="6"/>
      <c r="MT118" s="6"/>
      <c r="NE118" s="6"/>
      <c r="NF118" s="6"/>
      <c r="NK118" s="6"/>
      <c r="NO118" s="6"/>
      <c r="NP118" s="6"/>
      <c r="NU118" s="6"/>
      <c r="OF118" s="6"/>
      <c r="OG118" s="6"/>
      <c r="OL118" s="6"/>
      <c r="OP118" s="6"/>
      <c r="OQ118" s="6"/>
      <c r="OV118" s="6"/>
      <c r="PG118" s="6"/>
      <c r="PH118" s="6"/>
      <c r="PM118" s="6"/>
      <c r="PQ118" s="6"/>
      <c r="PR118" s="6"/>
      <c r="PW118" s="6"/>
      <c r="QH118" s="6"/>
      <c r="QI118" s="6"/>
      <c r="QN118" s="6"/>
      <c r="QR118" s="6"/>
      <c r="QS118" s="6"/>
      <c r="QX118" s="6"/>
      <c r="SJ118" s="6"/>
      <c r="SK118" s="6"/>
      <c r="SP118" s="6"/>
      <c r="ST118" s="6"/>
      <c r="SU118" s="6"/>
      <c r="SZ118" s="6"/>
    </row>
    <row r="119" spans="15:520" x14ac:dyDescent="0.3">
      <c r="O119" s="5"/>
      <c r="R119" s="5"/>
      <c r="S119" s="6"/>
      <c r="T119" s="6"/>
      <c r="U119" s="7"/>
      <c r="W119" s="6"/>
      <c r="X119" s="5"/>
      <c r="Z119" s="5"/>
      <c r="AA119" s="6"/>
      <c r="AB119" s="7"/>
      <c r="AG119" s="5"/>
      <c r="AH119" s="6"/>
      <c r="AM119" s="8"/>
      <c r="AN119" s="8"/>
      <c r="AO119" s="8"/>
      <c r="AQ119" s="5"/>
      <c r="AR119" s="5"/>
      <c r="AS119" s="6"/>
      <c r="AT119" s="7"/>
      <c r="AX119" s="5"/>
      <c r="AY119" s="6"/>
      <c r="AZ119" s="5"/>
      <c r="BB119" s="5"/>
      <c r="BC119" s="6"/>
      <c r="BD119" s="7"/>
      <c r="BH119" s="5"/>
      <c r="BI119" s="6"/>
      <c r="BN119" s="8"/>
      <c r="BO119" s="8"/>
      <c r="BP119" s="8"/>
      <c r="BT119" s="6"/>
      <c r="BU119" s="6"/>
      <c r="BZ119" s="6"/>
      <c r="CD119" s="6"/>
      <c r="CE119" s="6"/>
      <c r="CJ119" s="6"/>
      <c r="CO119" s="8"/>
      <c r="CP119" s="8"/>
      <c r="CQ119" s="8"/>
      <c r="CU119" s="6"/>
      <c r="CV119" s="6"/>
      <c r="DA119" s="6"/>
      <c r="DE119" s="6"/>
      <c r="DF119" s="6"/>
      <c r="DK119" s="6"/>
      <c r="DP119" s="8"/>
      <c r="DQ119" s="8"/>
      <c r="DR119" s="8"/>
      <c r="DV119" s="6"/>
      <c r="DW119" s="6"/>
      <c r="EB119" s="6"/>
      <c r="EF119" s="6"/>
      <c r="EG119" s="6"/>
      <c r="EL119" s="6"/>
      <c r="EQ119" s="8"/>
      <c r="ER119" s="8"/>
      <c r="ES119" s="8"/>
      <c r="EW119" s="6"/>
      <c r="EX119" s="6"/>
      <c r="FC119" s="6"/>
      <c r="FG119" s="6"/>
      <c r="FH119" s="6"/>
      <c r="FM119" s="6"/>
      <c r="FR119" s="8"/>
      <c r="FS119" s="8"/>
      <c r="FT119" s="8"/>
      <c r="FX119" s="6"/>
      <c r="FY119" s="6"/>
      <c r="GD119" s="6"/>
      <c r="GH119" s="6"/>
      <c r="GI119" s="6"/>
      <c r="GN119" s="6"/>
      <c r="GS119" s="8"/>
      <c r="GT119" s="8"/>
      <c r="GU119" s="8"/>
      <c r="GY119" s="6"/>
      <c r="GZ119" s="6"/>
      <c r="HE119" s="6"/>
      <c r="HI119" s="6"/>
      <c r="HJ119" s="6"/>
      <c r="HO119" s="6"/>
      <c r="HT119" s="8"/>
      <c r="HU119" s="8"/>
      <c r="HV119" s="8"/>
      <c r="HZ119" s="6"/>
      <c r="IA119" s="6"/>
      <c r="IF119" s="6"/>
      <c r="IJ119" s="6"/>
      <c r="IK119" s="6"/>
      <c r="IP119" s="6"/>
      <c r="KW119" s="8"/>
      <c r="KX119" s="8"/>
      <c r="KY119" s="8"/>
      <c r="LC119" s="6"/>
      <c r="LD119" s="6"/>
      <c r="LI119" s="6"/>
      <c r="LM119" s="6"/>
      <c r="LN119" s="6"/>
      <c r="LS119" s="6"/>
      <c r="LX119" s="8"/>
      <c r="LY119" s="8"/>
      <c r="LZ119" s="8"/>
      <c r="MD119" s="6"/>
      <c r="ME119" s="6"/>
      <c r="MJ119" s="6"/>
      <c r="MN119" s="6"/>
      <c r="MO119" s="6"/>
      <c r="MT119" s="6"/>
      <c r="MY119" s="8"/>
      <c r="MZ119" s="8"/>
      <c r="NA119" s="8"/>
      <c r="NE119" s="6"/>
      <c r="NF119" s="6"/>
      <c r="NK119" s="6"/>
      <c r="NO119" s="6"/>
      <c r="NP119" s="6"/>
      <c r="NU119" s="6"/>
      <c r="NZ119" s="8"/>
      <c r="OA119" s="8"/>
      <c r="OB119" s="8"/>
      <c r="OF119" s="6"/>
      <c r="OG119" s="6"/>
      <c r="OL119" s="6"/>
      <c r="OP119" s="6"/>
      <c r="OQ119" s="6"/>
      <c r="OV119" s="6"/>
      <c r="PA119" s="8"/>
      <c r="PB119" s="8"/>
      <c r="PC119" s="8"/>
      <c r="PG119" s="6"/>
      <c r="PH119" s="6"/>
      <c r="PM119" s="6"/>
      <c r="PQ119" s="6"/>
      <c r="PR119" s="6"/>
      <c r="PW119" s="6"/>
      <c r="QB119" s="8"/>
      <c r="QC119" s="8"/>
      <c r="QD119" s="8"/>
      <c r="QH119" s="6"/>
      <c r="QI119" s="6"/>
      <c r="QN119" s="6"/>
      <c r="QR119" s="6"/>
      <c r="QS119" s="6"/>
      <c r="QX119" s="6"/>
      <c r="SD119" s="8"/>
      <c r="SE119" s="8"/>
      <c r="SF119" s="8"/>
      <c r="SJ119" s="6"/>
      <c r="SK119" s="6"/>
      <c r="SP119" s="6"/>
      <c r="ST119" s="6"/>
      <c r="SU119" s="6"/>
      <c r="SZ119" s="6"/>
    </row>
    <row r="120" spans="15:520" x14ac:dyDescent="0.3">
      <c r="O120" s="5"/>
      <c r="R120" s="5"/>
      <c r="S120" s="6"/>
      <c r="T120" s="6"/>
      <c r="U120" s="7"/>
      <c r="W120" s="6"/>
      <c r="X120" s="5"/>
      <c r="Z120" s="5"/>
      <c r="AA120" s="6"/>
      <c r="AB120" s="7"/>
      <c r="AG120" s="5"/>
      <c r="AH120" s="6"/>
      <c r="AP120" s="5"/>
      <c r="AR120" s="5"/>
      <c r="AS120" s="6"/>
      <c r="AT120" s="7"/>
      <c r="AX120" s="5"/>
      <c r="AY120" s="6"/>
      <c r="AZ120" s="5"/>
      <c r="BB120" s="5"/>
      <c r="BC120" s="6"/>
      <c r="BD120" s="7"/>
      <c r="BH120" s="5"/>
      <c r="BI120" s="6"/>
    </row>
    <row r="121" spans="15:520" x14ac:dyDescent="0.3">
      <c r="O121" s="5"/>
      <c r="R121" s="5"/>
      <c r="S121" s="6"/>
      <c r="T121" s="6"/>
      <c r="U121" s="7"/>
      <c r="W121" s="6"/>
      <c r="X121" s="5"/>
      <c r="Z121" s="5"/>
      <c r="AA121" s="6"/>
      <c r="AB121" s="7"/>
      <c r="AG121" s="5"/>
      <c r="AH121" s="6"/>
      <c r="AP121" s="5"/>
      <c r="AR121" s="5"/>
      <c r="AS121" s="6"/>
      <c r="AT121" s="7"/>
      <c r="AX121" s="5"/>
      <c r="AY121" s="7"/>
      <c r="AZ121" s="5"/>
      <c r="BB121" s="5"/>
      <c r="BC121" s="6"/>
      <c r="BD121" s="7"/>
      <c r="BH121" s="5"/>
      <c r="BI121" s="7"/>
    </row>
    <row r="122" spans="15:520" x14ac:dyDescent="0.3">
      <c r="O122" s="5"/>
      <c r="R122" s="5"/>
      <c r="S122" s="6"/>
      <c r="T122" s="6"/>
      <c r="U122" s="7"/>
      <c r="W122" s="6"/>
      <c r="X122" s="5"/>
      <c r="Z122" s="5"/>
      <c r="AA122" s="6"/>
      <c r="AB122" s="7"/>
      <c r="AG122" s="5"/>
      <c r="AH122" s="6"/>
      <c r="AR122" s="6"/>
      <c r="AS122" s="7"/>
      <c r="AT122" s="7"/>
      <c r="AX122" s="5"/>
      <c r="AY122" s="6"/>
      <c r="AZ122" s="5"/>
      <c r="BB122" s="5"/>
      <c r="BC122" s="6"/>
      <c r="BD122" s="7"/>
      <c r="BH122" s="5"/>
      <c r="BI122" s="6"/>
    </row>
    <row r="123" spans="15:520" x14ac:dyDescent="0.3">
      <c r="O123" s="5"/>
      <c r="R123" s="5"/>
      <c r="S123" s="6"/>
      <c r="T123" s="6"/>
      <c r="U123" s="7"/>
      <c r="W123" s="6"/>
      <c r="X123" s="5"/>
      <c r="Z123" s="5"/>
      <c r="AA123" s="6"/>
      <c r="AB123" s="7"/>
      <c r="AG123" s="5"/>
      <c r="AH123" s="6"/>
      <c r="AP123" s="5"/>
      <c r="AR123" s="5"/>
      <c r="AS123" s="6"/>
      <c r="AT123" s="7"/>
      <c r="AX123" s="5"/>
      <c r="AY123" s="6"/>
      <c r="AZ123" s="5"/>
      <c r="BB123" s="5"/>
      <c r="BC123" s="6"/>
      <c r="BD123" s="7"/>
      <c r="BH123" s="5"/>
      <c r="BI123" s="6"/>
    </row>
    <row r="124" spans="15:520" x14ac:dyDescent="0.3">
      <c r="O124" s="5"/>
      <c r="R124" s="5"/>
      <c r="S124" s="6"/>
      <c r="T124" s="6"/>
      <c r="U124" s="7"/>
      <c r="W124" s="6"/>
      <c r="X124" s="5"/>
      <c r="Z124" s="5"/>
      <c r="AA124" s="6"/>
      <c r="AB124" s="7"/>
      <c r="AG124" s="5"/>
      <c r="AH124" s="6"/>
      <c r="AP124" s="5"/>
      <c r="AR124" s="5"/>
      <c r="AS124" s="6"/>
      <c r="AT124" s="7"/>
      <c r="AX124" s="5"/>
      <c r="AY124" s="6"/>
      <c r="AZ124" s="5"/>
      <c r="BB124" s="5"/>
      <c r="BC124" s="6"/>
      <c r="BD124" s="7"/>
      <c r="BH124" s="5"/>
      <c r="BI124" s="6"/>
    </row>
    <row r="125" spans="15:520" x14ac:dyDescent="0.3">
      <c r="R125" s="5"/>
      <c r="S125" s="6"/>
      <c r="T125" s="6"/>
      <c r="U125" s="7"/>
      <c r="W125" s="6"/>
      <c r="Z125" s="5"/>
      <c r="AA125" s="6"/>
      <c r="AB125" s="7"/>
      <c r="AG125" s="5"/>
      <c r="AH125" s="6"/>
      <c r="AP125" s="5"/>
      <c r="AR125" s="5"/>
      <c r="AS125" s="6"/>
      <c r="AT125" s="7"/>
      <c r="AX125" s="5"/>
      <c r="AY125" s="6"/>
      <c r="AZ125" s="5"/>
      <c r="BB125" s="5"/>
      <c r="BC125" s="6"/>
      <c r="BD125" s="7"/>
      <c r="BH125" s="5"/>
      <c r="BI125" s="6"/>
      <c r="BN125" s="8"/>
      <c r="BO125" s="8"/>
      <c r="BP125" s="8"/>
    </row>
    <row r="126" spans="15:520" x14ac:dyDescent="0.3">
      <c r="R126" s="5"/>
      <c r="S126" s="6"/>
      <c r="T126" s="6"/>
      <c r="U126" s="7"/>
      <c r="W126" s="7"/>
      <c r="Z126" s="5"/>
      <c r="AA126" s="6"/>
      <c r="AB126" s="7"/>
      <c r="AG126" s="5"/>
      <c r="AH126" s="7"/>
      <c r="AP126" s="5"/>
      <c r="AR126" s="5"/>
      <c r="AS126" s="6"/>
      <c r="AT126" s="7"/>
      <c r="AX126" s="5"/>
      <c r="AY126" s="6"/>
      <c r="AZ126" s="5"/>
      <c r="BB126" s="5"/>
      <c r="BC126" s="6"/>
      <c r="BD126" s="7"/>
      <c r="BH126" s="5"/>
      <c r="BI126" s="6"/>
    </row>
    <row r="127" spans="15:520" x14ac:dyDescent="0.3">
      <c r="R127" s="5"/>
      <c r="S127" s="6"/>
      <c r="T127" s="6"/>
      <c r="U127" s="7"/>
      <c r="W127" s="6"/>
      <c r="Z127" s="5"/>
      <c r="AA127" s="6"/>
      <c r="AB127" s="7"/>
      <c r="AG127" s="5"/>
      <c r="AH127" s="6"/>
      <c r="AP127" s="5"/>
      <c r="AR127" s="5"/>
      <c r="AS127" s="6"/>
      <c r="AT127" s="7"/>
      <c r="AX127" s="5"/>
      <c r="AY127" s="6"/>
      <c r="AZ127" s="5"/>
      <c r="BB127" s="5"/>
      <c r="BC127" s="6"/>
      <c r="BD127" s="7"/>
      <c r="BH127" s="5"/>
      <c r="BI127" s="6"/>
    </row>
    <row r="128" spans="15:520" x14ac:dyDescent="0.3">
      <c r="R128" s="5"/>
      <c r="S128" s="6"/>
      <c r="T128" s="6"/>
      <c r="U128" s="7"/>
      <c r="W128" s="6"/>
      <c r="Z128" s="5"/>
      <c r="AA128" s="6"/>
      <c r="AB128" s="7"/>
      <c r="AG128" s="5"/>
      <c r="AH128" s="6"/>
      <c r="AP128" s="5"/>
      <c r="AR128" s="5"/>
      <c r="AS128" s="6"/>
      <c r="AT128" s="7"/>
      <c r="AX128" s="5"/>
      <c r="AY128" s="6"/>
      <c r="AZ128" s="5"/>
      <c r="BB128" s="5"/>
      <c r="BC128" s="6"/>
      <c r="BD128" s="7"/>
      <c r="BH128" s="5"/>
      <c r="BI128" s="6"/>
    </row>
    <row r="129" spans="12:520" x14ac:dyDescent="0.3">
      <c r="L129" s="8"/>
      <c r="M129" s="8"/>
      <c r="N129" s="8"/>
      <c r="R129" s="5"/>
      <c r="S129" s="6"/>
      <c r="T129" s="6"/>
      <c r="U129" s="7"/>
      <c r="W129" s="7"/>
      <c r="Z129" s="5"/>
      <c r="AA129" s="6"/>
      <c r="AB129" s="7"/>
      <c r="AG129" s="5"/>
      <c r="AH129" s="7"/>
      <c r="AP129" s="5"/>
      <c r="AR129" s="5"/>
      <c r="AS129" s="6"/>
      <c r="AT129" s="7"/>
      <c r="AX129" s="5"/>
      <c r="AY129" s="6"/>
      <c r="AZ129" s="5"/>
      <c r="BB129" s="5"/>
      <c r="BC129" s="6"/>
      <c r="BD129" s="7"/>
      <c r="BH129" s="5"/>
      <c r="BI129" s="6"/>
    </row>
    <row r="130" spans="12:520" x14ac:dyDescent="0.3">
      <c r="AP130" s="5"/>
      <c r="AR130" s="5"/>
      <c r="AS130" s="6"/>
      <c r="AT130" s="7"/>
      <c r="AX130" s="5"/>
      <c r="AY130" s="6"/>
      <c r="AZ130" s="5"/>
      <c r="BB130" s="5"/>
      <c r="BC130" s="6"/>
      <c r="BD130" s="7"/>
      <c r="BH130" s="5"/>
      <c r="BI130" s="6"/>
    </row>
    <row r="131" spans="12:520" x14ac:dyDescent="0.3">
      <c r="R131" s="6"/>
      <c r="S131" s="7"/>
      <c r="T131" s="7"/>
      <c r="Z131" s="6"/>
      <c r="AA131" s="7"/>
      <c r="AG131" s="6"/>
      <c r="AP131" s="5"/>
      <c r="AR131" s="5"/>
      <c r="AS131" s="6"/>
      <c r="AX131" s="6"/>
      <c r="BB131" s="6"/>
      <c r="BC131" s="7"/>
      <c r="BH131" s="6"/>
      <c r="BS131" s="6"/>
      <c r="BT131" s="7"/>
      <c r="BY131" s="6"/>
      <c r="CC131" s="6"/>
      <c r="CD131" s="7"/>
      <c r="CI131" s="6"/>
    </row>
    <row r="132" spans="12:520" x14ac:dyDescent="0.3">
      <c r="P132" s="5"/>
      <c r="Q132" s="5"/>
      <c r="R132" s="5"/>
      <c r="S132" s="6"/>
      <c r="T132" s="6"/>
      <c r="U132" s="7"/>
      <c r="W132" s="6"/>
      <c r="AP132" s="5"/>
      <c r="AR132" s="5"/>
      <c r="AS132" s="6"/>
      <c r="AT132" s="7"/>
      <c r="AW132" s="5"/>
      <c r="AY132" s="6"/>
      <c r="BR132" s="5"/>
      <c r="BS132" s="5"/>
      <c r="BT132" s="6"/>
      <c r="BU132" s="7"/>
      <c r="BX132" s="5"/>
      <c r="BZ132" s="6"/>
    </row>
    <row r="133" spans="12:520" x14ac:dyDescent="0.3">
      <c r="P133" s="5"/>
      <c r="Q133" s="5"/>
      <c r="R133" s="5"/>
      <c r="S133" s="6"/>
      <c r="T133" s="6"/>
      <c r="U133" s="7"/>
      <c r="W133" s="6"/>
      <c r="AP133" s="5"/>
      <c r="AR133" s="5"/>
      <c r="AS133" s="6"/>
      <c r="AT133" s="7"/>
      <c r="AW133" s="5"/>
      <c r="AY133" s="6"/>
      <c r="BR133" s="5"/>
      <c r="BS133" s="5"/>
      <c r="BT133" s="6"/>
      <c r="BU133" s="7"/>
      <c r="BX133" s="5"/>
      <c r="BZ133" s="6"/>
    </row>
    <row r="134" spans="12:520" x14ac:dyDescent="0.3">
      <c r="P134" s="5"/>
      <c r="Q134" s="5"/>
      <c r="R134" s="5"/>
      <c r="S134" s="6"/>
      <c r="T134" s="6"/>
      <c r="U134" s="7"/>
      <c r="W134" s="6"/>
      <c r="AM134" s="8"/>
      <c r="AN134" s="8"/>
      <c r="AO134" s="8"/>
      <c r="AP134" s="5"/>
      <c r="AR134" s="5"/>
      <c r="AS134" s="6"/>
      <c r="AT134" s="7"/>
      <c r="AW134" s="5"/>
      <c r="AY134" s="6"/>
      <c r="BR134" s="5"/>
      <c r="BS134" s="5"/>
      <c r="BT134" s="6"/>
      <c r="BU134" s="7"/>
      <c r="BX134" s="5"/>
      <c r="BZ134" s="6"/>
    </row>
    <row r="135" spans="12:520" x14ac:dyDescent="0.3">
      <c r="P135" s="5"/>
      <c r="Q135" s="5"/>
      <c r="R135" s="5"/>
      <c r="S135" s="6"/>
      <c r="T135" s="6"/>
      <c r="U135" s="7"/>
      <c r="W135" s="6"/>
      <c r="AR135" s="6"/>
      <c r="AS135" s="7"/>
      <c r="AT135" s="7"/>
      <c r="AW135" s="5"/>
      <c r="AY135" s="6"/>
      <c r="BR135" s="5"/>
      <c r="BS135" s="5"/>
      <c r="BT135" s="6"/>
      <c r="BU135" s="7"/>
      <c r="BX135" s="5"/>
      <c r="BZ135" s="6"/>
    </row>
    <row r="136" spans="12:520" x14ac:dyDescent="0.3">
      <c r="P136" s="5"/>
      <c r="Q136" s="5"/>
      <c r="R136" s="5"/>
      <c r="S136" s="6"/>
      <c r="T136" s="6"/>
      <c r="U136" s="7"/>
      <c r="W136" s="6"/>
      <c r="AQ136" s="5"/>
      <c r="AR136" s="5"/>
      <c r="AS136" s="6"/>
      <c r="AT136" s="7"/>
      <c r="AW136" s="5"/>
      <c r="AY136" s="6"/>
      <c r="BR136" s="5"/>
      <c r="BS136" s="5"/>
      <c r="BT136" s="6"/>
      <c r="BU136" s="7"/>
      <c r="BX136" s="5"/>
      <c r="BZ136" s="6"/>
    </row>
    <row r="137" spans="12:520" x14ac:dyDescent="0.3">
      <c r="P137" s="5"/>
      <c r="Q137" s="5"/>
      <c r="R137" s="5"/>
      <c r="S137" s="6"/>
      <c r="T137" s="6"/>
      <c r="U137" s="7"/>
      <c r="W137" s="6"/>
      <c r="AQ137" s="5"/>
      <c r="AR137" s="5"/>
      <c r="AS137" s="6"/>
      <c r="AT137" s="7"/>
      <c r="AW137" s="5"/>
      <c r="AY137" s="6"/>
      <c r="BR137" s="5"/>
      <c r="BS137" s="5"/>
      <c r="BT137" s="6"/>
      <c r="BU137" s="7"/>
      <c r="BX137" s="5"/>
      <c r="BZ137" s="6"/>
    </row>
    <row r="138" spans="12:520" x14ac:dyDescent="0.3">
      <c r="P138" s="5"/>
      <c r="Q138" s="5"/>
      <c r="R138" s="5"/>
      <c r="S138" s="6"/>
      <c r="T138" s="6"/>
      <c r="U138" s="7"/>
      <c r="W138" s="6"/>
      <c r="AQ138" s="5"/>
      <c r="AR138" s="5"/>
      <c r="AS138" s="6"/>
      <c r="AT138" s="7"/>
      <c r="AW138" s="5"/>
      <c r="AY138" s="7"/>
      <c r="BN138" s="8"/>
      <c r="BO138" s="8"/>
      <c r="BP138" s="8"/>
      <c r="BR138" s="5"/>
      <c r="BS138" s="5"/>
      <c r="BT138" s="6"/>
      <c r="BU138" s="7"/>
      <c r="BX138" s="5"/>
      <c r="BZ138" s="7"/>
    </row>
    <row r="139" spans="12:520" x14ac:dyDescent="0.3">
      <c r="P139" s="5"/>
      <c r="Q139" s="5"/>
      <c r="R139" s="5"/>
      <c r="S139" s="6"/>
      <c r="T139" s="6"/>
      <c r="U139" s="7"/>
      <c r="W139" s="6"/>
      <c r="AQ139" s="5"/>
      <c r="AR139" s="5"/>
      <c r="AS139" s="6"/>
      <c r="AT139" s="7"/>
      <c r="AW139" s="5"/>
      <c r="AY139" s="6"/>
    </row>
    <row r="140" spans="12:520" x14ac:dyDescent="0.3">
      <c r="R140" s="6"/>
      <c r="S140" s="7"/>
      <c r="T140" s="7"/>
      <c r="Z140" s="6"/>
      <c r="AA140" s="7"/>
      <c r="AG140" s="6"/>
      <c r="AQ140" s="5"/>
      <c r="AR140" s="5"/>
      <c r="AS140" s="6"/>
      <c r="AX140" s="6"/>
      <c r="BB140" s="6"/>
      <c r="BC140" s="7"/>
      <c r="BH140" s="6"/>
      <c r="BS140" s="6"/>
      <c r="BT140" s="7"/>
      <c r="BY140" s="6"/>
      <c r="CC140" s="6"/>
      <c r="CD140" s="7"/>
      <c r="CI140" s="6"/>
      <c r="CT140" s="6"/>
      <c r="CU140" s="7"/>
      <c r="CZ140" s="6"/>
      <c r="DD140" s="6"/>
      <c r="DE140" s="7"/>
      <c r="DJ140" s="6"/>
      <c r="DU140" s="6"/>
      <c r="DV140" s="7"/>
      <c r="EA140" s="6"/>
      <c r="EE140" s="6"/>
      <c r="EF140" s="7"/>
      <c r="EK140" s="6"/>
      <c r="EV140" s="6"/>
      <c r="EW140" s="7"/>
      <c r="FB140" s="6"/>
      <c r="FF140" s="6"/>
      <c r="FG140" s="7"/>
      <c r="FL140" s="6"/>
      <c r="FW140" s="6"/>
      <c r="FX140" s="7"/>
      <c r="GC140" s="6"/>
      <c r="GG140" s="6"/>
      <c r="GH140" s="7"/>
      <c r="GM140" s="6"/>
      <c r="GX140" s="6"/>
      <c r="GY140" s="7"/>
      <c r="HD140" s="6"/>
      <c r="HH140" s="6"/>
      <c r="HI140" s="7"/>
      <c r="HN140" s="6"/>
      <c r="HY140" s="6"/>
      <c r="HZ140" s="7"/>
      <c r="IE140" s="6"/>
      <c r="II140" s="6"/>
      <c r="IJ140" s="7"/>
      <c r="IO140" s="6"/>
      <c r="IZ140" s="6"/>
      <c r="JA140" s="7"/>
      <c r="JF140" s="6"/>
      <c r="JJ140" s="6"/>
      <c r="JK140" s="7"/>
      <c r="JP140" s="6"/>
      <c r="KA140" s="6"/>
      <c r="KB140" s="7"/>
      <c r="KG140" s="6"/>
      <c r="KK140" s="6"/>
      <c r="KL140" s="7"/>
      <c r="KQ140" s="6"/>
      <c r="LB140" s="6"/>
      <c r="LC140" s="7"/>
      <c r="LH140" s="6"/>
      <c r="LL140" s="6"/>
      <c r="LM140" s="7"/>
      <c r="LR140" s="6"/>
      <c r="MC140" s="6"/>
      <c r="MD140" s="7"/>
      <c r="MI140" s="6"/>
      <c r="MM140" s="6"/>
      <c r="MN140" s="7"/>
      <c r="MS140" s="6"/>
      <c r="ND140" s="6"/>
      <c r="NE140" s="7"/>
      <c r="NJ140" s="6"/>
      <c r="NN140" s="6"/>
      <c r="NO140" s="7"/>
      <c r="NT140" s="6"/>
      <c r="OE140" s="6"/>
      <c r="OF140" s="7"/>
      <c r="OK140" s="6"/>
      <c r="OO140" s="6"/>
      <c r="OP140" s="7"/>
      <c r="OU140" s="6"/>
      <c r="PF140" s="6"/>
      <c r="PG140" s="7"/>
      <c r="PL140" s="6"/>
      <c r="PP140" s="6"/>
      <c r="PQ140" s="7"/>
      <c r="PV140" s="6"/>
      <c r="QG140" s="6"/>
      <c r="QH140" s="7"/>
      <c r="QM140" s="6"/>
      <c r="QQ140" s="6"/>
      <c r="QR140" s="7"/>
      <c r="QW140" s="6"/>
      <c r="RH140" s="6"/>
      <c r="RI140" s="7"/>
      <c r="RN140" s="6"/>
      <c r="RR140" s="6"/>
      <c r="RS140" s="7"/>
      <c r="RX140" s="6"/>
      <c r="SI140" s="6"/>
      <c r="SJ140" s="7"/>
      <c r="SO140" s="6"/>
      <c r="SS140" s="6"/>
      <c r="ST140" s="7"/>
      <c r="SY140" s="6"/>
    </row>
    <row r="141" spans="12:520" x14ac:dyDescent="0.3">
      <c r="S141" s="6"/>
      <c r="T141" s="6"/>
      <c r="U141" s="6"/>
      <c r="W141" s="6"/>
      <c r="AA141" s="6"/>
      <c r="AB141" s="6"/>
      <c r="AH141" s="6"/>
      <c r="AQ141" s="5"/>
      <c r="AR141" s="5"/>
      <c r="AS141" s="6"/>
      <c r="AT141" s="6"/>
      <c r="AY141" s="6"/>
      <c r="BC141" s="6"/>
      <c r="BD141" s="6"/>
      <c r="BI141" s="6"/>
      <c r="BT141" s="6"/>
      <c r="BU141" s="6"/>
      <c r="BZ141" s="6"/>
      <c r="CD141" s="6"/>
      <c r="CE141" s="6"/>
      <c r="CJ141" s="6"/>
      <c r="CU141" s="6"/>
      <c r="CV141" s="6"/>
      <c r="DA141" s="6"/>
      <c r="DE141" s="6"/>
      <c r="DF141" s="6"/>
      <c r="DK141" s="6"/>
      <c r="DV141" s="6"/>
      <c r="DW141" s="6"/>
      <c r="EB141" s="6"/>
      <c r="EF141" s="6"/>
      <c r="EG141" s="6"/>
      <c r="EL141" s="6"/>
      <c r="EW141" s="6"/>
      <c r="EX141" s="6"/>
      <c r="FC141" s="6"/>
      <c r="FG141" s="6"/>
      <c r="FH141" s="6"/>
      <c r="FM141" s="6"/>
      <c r="FX141" s="6"/>
      <c r="FY141" s="6"/>
      <c r="GD141" s="6"/>
      <c r="GH141" s="6"/>
      <c r="GI141" s="6"/>
      <c r="GN141" s="6"/>
      <c r="GY141" s="6"/>
      <c r="GZ141" s="6"/>
      <c r="HE141" s="6"/>
      <c r="HI141" s="6"/>
      <c r="HJ141" s="6"/>
      <c r="HO141" s="6"/>
      <c r="HZ141" s="6"/>
      <c r="IA141" s="6"/>
      <c r="IF141" s="6"/>
      <c r="IJ141" s="6"/>
      <c r="IK141" s="6"/>
      <c r="IP141" s="6"/>
      <c r="JA141" s="6"/>
      <c r="JB141" s="6"/>
      <c r="JG141" s="6"/>
      <c r="JK141" s="6"/>
      <c r="JL141" s="6"/>
      <c r="JQ141" s="6"/>
      <c r="KB141" s="6"/>
      <c r="KC141" s="6"/>
      <c r="KH141" s="6"/>
      <c r="KL141" s="6"/>
      <c r="KM141" s="6"/>
      <c r="KR141" s="6"/>
      <c r="LC141" s="6"/>
      <c r="LD141" s="6"/>
      <c r="LI141" s="6"/>
      <c r="LM141" s="6"/>
      <c r="LN141" s="6"/>
      <c r="LS141" s="6"/>
      <c r="MD141" s="6"/>
      <c r="ME141" s="6"/>
      <c r="MJ141" s="6"/>
      <c r="MN141" s="6"/>
      <c r="MO141" s="6"/>
      <c r="MT141" s="6"/>
      <c r="NE141" s="6"/>
      <c r="NF141" s="6"/>
      <c r="NK141" s="6"/>
      <c r="NO141" s="6"/>
      <c r="NP141" s="6"/>
      <c r="NU141" s="6"/>
      <c r="OF141" s="6"/>
      <c r="OG141" s="6"/>
      <c r="OL141" s="6"/>
      <c r="OP141" s="6"/>
      <c r="OQ141" s="6"/>
      <c r="OV141" s="6"/>
      <c r="PG141" s="6"/>
      <c r="PH141" s="6"/>
      <c r="PM141" s="6"/>
      <c r="PQ141" s="6"/>
      <c r="PR141" s="6"/>
      <c r="PW141" s="6"/>
      <c r="QH141" s="6"/>
      <c r="QI141" s="6"/>
      <c r="QN141" s="6"/>
      <c r="QR141" s="6"/>
      <c r="QS141" s="6"/>
      <c r="QX141" s="6"/>
      <c r="RI141" s="6"/>
      <c r="RJ141" s="6"/>
      <c r="RO141" s="6"/>
      <c r="RS141" s="6"/>
      <c r="RT141" s="6"/>
      <c r="RY141" s="6"/>
      <c r="SJ141" s="6"/>
      <c r="SK141" s="6"/>
      <c r="SP141" s="6"/>
      <c r="ST141" s="6"/>
      <c r="SU141" s="6"/>
      <c r="SZ141" s="6"/>
    </row>
    <row r="142" spans="12:520" x14ac:dyDescent="0.3">
      <c r="S142" s="6"/>
      <c r="T142" s="6"/>
      <c r="U142" s="6"/>
      <c r="W142" s="6"/>
      <c r="AA142" s="6"/>
      <c r="AB142" s="6"/>
      <c r="AH142" s="6"/>
      <c r="AQ142" s="5"/>
      <c r="AR142" s="5"/>
      <c r="AS142" s="6"/>
      <c r="AT142" s="6"/>
      <c r="AY142" s="6"/>
      <c r="BC142" s="6"/>
      <c r="BD142" s="6"/>
      <c r="BI142" s="6"/>
      <c r="BT142" s="6"/>
      <c r="BU142" s="6"/>
      <c r="BZ142" s="6"/>
      <c r="CD142" s="6"/>
      <c r="CE142" s="6"/>
      <c r="CJ142" s="6"/>
      <c r="CU142" s="6"/>
      <c r="CV142" s="6"/>
      <c r="DA142" s="6"/>
      <c r="DE142" s="6"/>
      <c r="DF142" s="6"/>
      <c r="DK142" s="6"/>
      <c r="DV142" s="6"/>
      <c r="DW142" s="6"/>
      <c r="EB142" s="6"/>
      <c r="EF142" s="6"/>
      <c r="EG142" s="6"/>
      <c r="EL142" s="6"/>
      <c r="EW142" s="6"/>
      <c r="EX142" s="6"/>
      <c r="FC142" s="6"/>
      <c r="FG142" s="6"/>
      <c r="FH142" s="6"/>
      <c r="FM142" s="6"/>
      <c r="FX142" s="6"/>
      <c r="FY142" s="6"/>
      <c r="GD142" s="6"/>
      <c r="GH142" s="6"/>
      <c r="GI142" s="6"/>
      <c r="GN142" s="6"/>
      <c r="GY142" s="6"/>
      <c r="GZ142" s="6"/>
      <c r="HE142" s="6"/>
      <c r="HI142" s="6"/>
      <c r="HJ142" s="6"/>
      <c r="HO142" s="6"/>
      <c r="HZ142" s="6"/>
      <c r="IA142" s="6"/>
      <c r="IF142" s="6"/>
      <c r="IJ142" s="6"/>
      <c r="IK142" s="6"/>
      <c r="IP142" s="6"/>
      <c r="JA142" s="6"/>
      <c r="JB142" s="6"/>
      <c r="JG142" s="6"/>
      <c r="JK142" s="6"/>
      <c r="JL142" s="6"/>
      <c r="JQ142" s="6"/>
      <c r="KB142" s="6"/>
      <c r="KC142" s="6"/>
      <c r="KH142" s="6"/>
      <c r="KL142" s="6"/>
      <c r="KM142" s="6"/>
      <c r="KR142" s="6"/>
      <c r="KW142" s="8"/>
      <c r="KX142" s="8"/>
      <c r="KY142" s="8"/>
      <c r="LC142" s="6"/>
      <c r="LD142" s="6"/>
      <c r="LI142" s="6"/>
      <c r="LM142" s="6"/>
      <c r="LN142" s="6"/>
      <c r="LS142" s="6"/>
      <c r="MD142" s="6"/>
      <c r="ME142" s="6"/>
      <c r="MJ142" s="6"/>
      <c r="MN142" s="6"/>
      <c r="MO142" s="6"/>
      <c r="MT142" s="6"/>
      <c r="NE142" s="6"/>
      <c r="NF142" s="6"/>
      <c r="NK142" s="6"/>
      <c r="NO142" s="6"/>
      <c r="NP142" s="6"/>
      <c r="NU142" s="6"/>
      <c r="OF142" s="6"/>
      <c r="OG142" s="6"/>
      <c r="OL142" s="6"/>
      <c r="OP142" s="6"/>
      <c r="OQ142" s="6"/>
      <c r="OV142" s="6"/>
      <c r="PG142" s="6"/>
      <c r="PH142" s="6"/>
      <c r="PM142" s="6"/>
      <c r="PQ142" s="6"/>
      <c r="PR142" s="6"/>
      <c r="PW142" s="6"/>
      <c r="QH142" s="6"/>
      <c r="QI142" s="6"/>
      <c r="QN142" s="6"/>
      <c r="QR142" s="6"/>
      <c r="QS142" s="6"/>
      <c r="QX142" s="6"/>
      <c r="RI142" s="6"/>
      <c r="RJ142" s="6"/>
      <c r="RO142" s="6"/>
      <c r="RS142" s="6"/>
      <c r="RT142" s="6"/>
      <c r="RY142" s="6"/>
      <c r="SJ142" s="6"/>
      <c r="SK142" s="6"/>
      <c r="SP142" s="6"/>
      <c r="ST142" s="6"/>
      <c r="SU142" s="6"/>
      <c r="SZ142" s="6"/>
    </row>
    <row r="143" spans="12:520" x14ac:dyDescent="0.3">
      <c r="S143" s="6"/>
      <c r="T143" s="6"/>
      <c r="U143" s="6"/>
      <c r="W143" s="6"/>
      <c r="AA143" s="6"/>
      <c r="AB143" s="6"/>
      <c r="AH143" s="6"/>
      <c r="AQ143" s="5"/>
      <c r="AR143" s="5"/>
      <c r="AS143" s="6"/>
      <c r="AT143" s="6"/>
      <c r="AY143" s="6"/>
      <c r="BC143" s="6"/>
      <c r="BD143" s="6"/>
      <c r="BI143" s="6"/>
      <c r="BT143" s="6"/>
      <c r="BU143" s="6"/>
      <c r="BZ143" s="6"/>
      <c r="CD143" s="6"/>
      <c r="CE143" s="6"/>
      <c r="CJ143" s="6"/>
      <c r="CU143" s="6"/>
      <c r="CV143" s="6"/>
      <c r="DA143" s="6"/>
      <c r="DE143" s="6"/>
      <c r="DF143" s="6"/>
      <c r="DK143" s="6"/>
      <c r="DV143" s="6"/>
      <c r="DW143" s="6"/>
      <c r="EB143" s="6"/>
      <c r="EF143" s="6"/>
      <c r="EG143" s="6"/>
      <c r="EL143" s="6"/>
      <c r="EW143" s="6"/>
      <c r="EX143" s="6"/>
      <c r="FC143" s="6"/>
      <c r="FG143" s="6"/>
      <c r="FH143" s="6"/>
      <c r="FM143" s="6"/>
      <c r="FX143" s="6"/>
      <c r="FY143" s="6"/>
      <c r="GD143" s="6"/>
      <c r="GH143" s="6"/>
      <c r="GI143" s="6"/>
      <c r="GN143" s="6"/>
      <c r="GY143" s="6"/>
      <c r="GZ143" s="6"/>
      <c r="HE143" s="6"/>
      <c r="HI143" s="6"/>
      <c r="HJ143" s="6"/>
      <c r="HO143" s="6"/>
      <c r="HZ143" s="6"/>
      <c r="IA143" s="6"/>
      <c r="IF143" s="6"/>
      <c r="IJ143" s="6"/>
      <c r="IK143" s="6"/>
      <c r="IP143" s="6"/>
      <c r="JA143" s="6"/>
      <c r="JB143" s="6"/>
      <c r="JG143" s="6"/>
      <c r="JK143" s="6"/>
      <c r="JL143" s="6"/>
      <c r="JQ143" s="6"/>
      <c r="KB143" s="6"/>
      <c r="KC143" s="6"/>
      <c r="KH143" s="6"/>
      <c r="KL143" s="6"/>
      <c r="KM143" s="6"/>
      <c r="KR143" s="6"/>
      <c r="MD143" s="6"/>
      <c r="ME143" s="6"/>
      <c r="MJ143" s="6"/>
      <c r="MN143" s="6"/>
      <c r="MO143" s="6"/>
      <c r="MT143" s="6"/>
      <c r="NE143" s="6"/>
      <c r="NF143" s="6"/>
      <c r="NK143" s="6"/>
      <c r="NO143" s="6"/>
      <c r="NP143" s="6"/>
      <c r="NU143" s="6"/>
      <c r="OF143" s="6"/>
      <c r="OG143" s="6"/>
      <c r="OL143" s="6"/>
      <c r="OP143" s="6"/>
      <c r="OQ143" s="6"/>
      <c r="OV143" s="6"/>
      <c r="PG143" s="6"/>
      <c r="PH143" s="6"/>
      <c r="PM143" s="6"/>
      <c r="PQ143" s="6"/>
      <c r="PR143" s="6"/>
      <c r="PW143" s="6"/>
      <c r="QH143" s="6"/>
      <c r="QI143" s="6"/>
      <c r="QN143" s="6"/>
      <c r="QR143" s="6"/>
      <c r="QS143" s="6"/>
      <c r="QX143" s="6"/>
      <c r="RI143" s="6"/>
      <c r="RJ143" s="6"/>
      <c r="RO143" s="6"/>
      <c r="RS143" s="6"/>
      <c r="RT143" s="6"/>
      <c r="RY143" s="6"/>
      <c r="SJ143" s="6"/>
      <c r="SK143" s="6"/>
      <c r="SP143" s="6"/>
      <c r="ST143" s="6"/>
      <c r="SU143" s="6"/>
      <c r="SZ143" s="6"/>
    </row>
    <row r="144" spans="12:520" x14ac:dyDescent="0.3">
      <c r="S144" s="6"/>
      <c r="T144" s="6"/>
      <c r="U144" s="6"/>
      <c r="W144" s="6"/>
      <c r="AA144" s="6"/>
      <c r="AB144" s="6"/>
      <c r="AH144" s="6"/>
      <c r="AR144" s="6"/>
      <c r="AS144" s="7"/>
      <c r="AT144" s="6"/>
      <c r="AY144" s="6"/>
      <c r="BC144" s="6"/>
      <c r="BD144" s="6"/>
      <c r="BI144" s="6"/>
      <c r="BT144" s="6"/>
      <c r="BU144" s="6"/>
      <c r="BZ144" s="6"/>
      <c r="CD144" s="6"/>
      <c r="CE144" s="6"/>
      <c r="CJ144" s="6"/>
      <c r="CO144" s="8"/>
      <c r="CP144" s="8"/>
      <c r="CQ144" s="8"/>
      <c r="CU144" s="6"/>
      <c r="CV144" s="6"/>
      <c r="DA144" s="6"/>
      <c r="DE144" s="6"/>
      <c r="DF144" s="6"/>
      <c r="DK144" s="6"/>
      <c r="DV144" s="6"/>
      <c r="DW144" s="6"/>
      <c r="EB144" s="6"/>
      <c r="EF144" s="6"/>
      <c r="EG144" s="6"/>
      <c r="EL144" s="6"/>
      <c r="EW144" s="6"/>
      <c r="EX144" s="6"/>
      <c r="FC144" s="6"/>
      <c r="FG144" s="6"/>
      <c r="FH144" s="6"/>
      <c r="FM144" s="6"/>
      <c r="FX144" s="6"/>
      <c r="FY144" s="6"/>
      <c r="GD144" s="6"/>
      <c r="GH144" s="6"/>
      <c r="GI144" s="6"/>
      <c r="GN144" s="6"/>
      <c r="GY144" s="6"/>
      <c r="GZ144" s="6"/>
      <c r="HE144" s="6"/>
      <c r="HI144" s="6"/>
      <c r="HJ144" s="6"/>
      <c r="HO144" s="6"/>
      <c r="HZ144" s="6"/>
      <c r="IA144" s="6"/>
      <c r="IF144" s="6"/>
      <c r="IJ144" s="6"/>
      <c r="IK144" s="6"/>
      <c r="IP144" s="6"/>
      <c r="JA144" s="6"/>
      <c r="JB144" s="6"/>
      <c r="JG144" s="6"/>
      <c r="JK144" s="6"/>
      <c r="JL144" s="6"/>
      <c r="JQ144" s="6"/>
      <c r="KB144" s="6"/>
      <c r="KC144" s="6"/>
      <c r="KH144" s="6"/>
      <c r="KL144" s="6"/>
      <c r="KM144" s="6"/>
      <c r="KR144" s="6"/>
      <c r="MD144" s="6"/>
      <c r="ME144" s="6"/>
      <c r="MJ144" s="6"/>
      <c r="MN144" s="6"/>
      <c r="MO144" s="6"/>
      <c r="MT144" s="6"/>
      <c r="NE144" s="6"/>
      <c r="NF144" s="6"/>
      <c r="NK144" s="6"/>
      <c r="NO144" s="6"/>
      <c r="NP144" s="6"/>
      <c r="NU144" s="6"/>
      <c r="OF144" s="6"/>
      <c r="OG144" s="6"/>
      <c r="OL144" s="6"/>
      <c r="OP144" s="6"/>
      <c r="OQ144" s="6"/>
      <c r="OV144" s="6"/>
      <c r="PG144" s="6"/>
      <c r="PH144" s="6"/>
      <c r="PM144" s="6"/>
      <c r="PQ144" s="6"/>
      <c r="PR144" s="6"/>
      <c r="PW144" s="6"/>
      <c r="QH144" s="6"/>
      <c r="QI144" s="6"/>
      <c r="QN144" s="6"/>
      <c r="QR144" s="6"/>
      <c r="QS144" s="6"/>
      <c r="QX144" s="6"/>
      <c r="RI144" s="6"/>
      <c r="RJ144" s="6"/>
      <c r="RO144" s="6"/>
      <c r="RS144" s="6"/>
      <c r="RT144" s="6"/>
      <c r="RY144" s="6"/>
      <c r="SJ144" s="6"/>
      <c r="SK144" s="6"/>
      <c r="SP144" s="6"/>
      <c r="ST144" s="6"/>
      <c r="SU144" s="6"/>
      <c r="SZ144" s="6"/>
    </row>
    <row r="145" spans="12:520" x14ac:dyDescent="0.3">
      <c r="S145" s="6"/>
      <c r="T145" s="6"/>
      <c r="U145" s="6"/>
      <c r="W145" s="6"/>
      <c r="AA145" s="6"/>
      <c r="AB145" s="6"/>
      <c r="AH145" s="6"/>
      <c r="AS145" s="6"/>
      <c r="AT145" s="6"/>
      <c r="AY145" s="6"/>
      <c r="BC145" s="6"/>
      <c r="BD145" s="6"/>
      <c r="BI145" s="6"/>
      <c r="BT145" s="6"/>
      <c r="BU145" s="6"/>
      <c r="BZ145" s="6"/>
      <c r="CD145" s="6"/>
      <c r="CE145" s="6"/>
      <c r="CJ145" s="6"/>
      <c r="DV145" s="6"/>
      <c r="DW145" s="6"/>
      <c r="EB145" s="6"/>
      <c r="EF145" s="6"/>
      <c r="EG145" s="6"/>
      <c r="EL145" s="6"/>
      <c r="EW145" s="6"/>
      <c r="EX145" s="6"/>
      <c r="FC145" s="6"/>
      <c r="FG145" s="6"/>
      <c r="FH145" s="6"/>
      <c r="FM145" s="6"/>
      <c r="FX145" s="6"/>
      <c r="FY145" s="6"/>
      <c r="GD145" s="6"/>
      <c r="GH145" s="6"/>
      <c r="GI145" s="6"/>
      <c r="GN145" s="6"/>
      <c r="GY145" s="6"/>
      <c r="GZ145" s="6"/>
      <c r="HE145" s="6"/>
      <c r="HI145" s="6"/>
      <c r="HJ145" s="6"/>
      <c r="HO145" s="6"/>
      <c r="HZ145" s="6"/>
      <c r="IA145" s="6"/>
      <c r="IF145" s="6"/>
      <c r="IJ145" s="6"/>
      <c r="IK145" s="6"/>
      <c r="IP145" s="6"/>
      <c r="JA145" s="6"/>
      <c r="JB145" s="6"/>
      <c r="JG145" s="6"/>
      <c r="JK145" s="6"/>
      <c r="JL145" s="6"/>
      <c r="JQ145" s="6"/>
      <c r="KB145" s="6"/>
      <c r="KC145" s="6"/>
      <c r="KH145" s="6"/>
      <c r="KL145" s="6"/>
      <c r="KM145" s="6"/>
      <c r="KR145" s="6"/>
      <c r="MD145" s="6"/>
      <c r="ME145" s="6"/>
      <c r="MJ145" s="6"/>
      <c r="MN145" s="6"/>
      <c r="MO145" s="6"/>
      <c r="MT145" s="6"/>
      <c r="NE145" s="6"/>
      <c r="NF145" s="6"/>
      <c r="NK145" s="6"/>
      <c r="NO145" s="6"/>
      <c r="NP145" s="6"/>
      <c r="NU145" s="6"/>
      <c r="OF145" s="6"/>
      <c r="OG145" s="6"/>
      <c r="OL145" s="6"/>
      <c r="OP145" s="6"/>
      <c r="OQ145" s="6"/>
      <c r="OV145" s="6"/>
      <c r="PG145" s="6"/>
      <c r="PH145" s="6"/>
      <c r="PM145" s="6"/>
      <c r="PQ145" s="6"/>
      <c r="PR145" s="6"/>
      <c r="PW145" s="6"/>
      <c r="QH145" s="6"/>
      <c r="QI145" s="6"/>
      <c r="QN145" s="6"/>
      <c r="QR145" s="6"/>
      <c r="QS145" s="6"/>
      <c r="QX145" s="6"/>
      <c r="RI145" s="6"/>
      <c r="RJ145" s="6"/>
      <c r="RO145" s="6"/>
      <c r="RS145" s="6"/>
      <c r="RT145" s="6"/>
      <c r="RY145" s="6"/>
      <c r="SJ145" s="6"/>
      <c r="SK145" s="6"/>
      <c r="SP145" s="6"/>
      <c r="ST145" s="6"/>
      <c r="SU145" s="6"/>
      <c r="SZ145" s="6"/>
    </row>
    <row r="146" spans="12:520" x14ac:dyDescent="0.3">
      <c r="S146" s="6"/>
      <c r="T146" s="6"/>
      <c r="U146" s="6"/>
      <c r="W146" s="6"/>
      <c r="AA146" s="6"/>
      <c r="AB146" s="6"/>
      <c r="AH146" s="6"/>
      <c r="AS146" s="6"/>
      <c r="AT146" s="6"/>
      <c r="AY146" s="6"/>
      <c r="BC146" s="6"/>
      <c r="BD146" s="6"/>
      <c r="BI146" s="6"/>
      <c r="BN146" s="8"/>
      <c r="BO146" s="8"/>
      <c r="BP146" s="8"/>
      <c r="BT146" s="6"/>
      <c r="BU146" s="6"/>
      <c r="BZ146" s="6"/>
      <c r="CD146" s="6"/>
      <c r="CE146" s="6"/>
      <c r="CJ146" s="6"/>
      <c r="DV146" s="6"/>
      <c r="DW146" s="6"/>
      <c r="EB146" s="6"/>
      <c r="EF146" s="6"/>
      <c r="EG146" s="6"/>
      <c r="EL146" s="6"/>
      <c r="EW146" s="6"/>
      <c r="EX146" s="6"/>
      <c r="FC146" s="6"/>
      <c r="FG146" s="6"/>
      <c r="FH146" s="6"/>
      <c r="FM146" s="6"/>
      <c r="FX146" s="6"/>
      <c r="FY146" s="6"/>
      <c r="GD146" s="6"/>
      <c r="GH146" s="6"/>
      <c r="GI146" s="6"/>
      <c r="GN146" s="6"/>
      <c r="GY146" s="6"/>
      <c r="GZ146" s="6"/>
      <c r="HE146" s="6"/>
      <c r="HI146" s="6"/>
      <c r="HJ146" s="6"/>
      <c r="HO146" s="6"/>
      <c r="HZ146" s="6"/>
      <c r="IA146" s="6"/>
      <c r="IF146" s="6"/>
      <c r="IJ146" s="6"/>
      <c r="IK146" s="6"/>
      <c r="IP146" s="6"/>
      <c r="JA146" s="6"/>
      <c r="JB146" s="6"/>
      <c r="JG146" s="6"/>
      <c r="JK146" s="6"/>
      <c r="JL146" s="6"/>
      <c r="JQ146" s="6"/>
      <c r="KB146" s="6"/>
      <c r="KC146" s="6"/>
      <c r="KH146" s="6"/>
      <c r="KL146" s="6"/>
      <c r="KM146" s="6"/>
      <c r="KR146" s="6"/>
      <c r="MD146" s="6"/>
      <c r="ME146" s="6"/>
      <c r="MJ146" s="6"/>
      <c r="MN146" s="6"/>
      <c r="MO146" s="6"/>
      <c r="MT146" s="6"/>
      <c r="NE146" s="6"/>
      <c r="NF146" s="6"/>
      <c r="NK146" s="6"/>
      <c r="NO146" s="6"/>
      <c r="NP146" s="6"/>
      <c r="NU146" s="6"/>
      <c r="OF146" s="6"/>
      <c r="OG146" s="6"/>
      <c r="OL146" s="6"/>
      <c r="OP146" s="6"/>
      <c r="OQ146" s="6"/>
      <c r="OV146" s="6"/>
      <c r="PG146" s="6"/>
      <c r="PH146" s="6"/>
      <c r="PM146" s="6"/>
      <c r="PQ146" s="6"/>
      <c r="PR146" s="6"/>
      <c r="PW146" s="6"/>
      <c r="QH146" s="6"/>
      <c r="QI146" s="6"/>
      <c r="QN146" s="6"/>
      <c r="QR146" s="6"/>
      <c r="QS146" s="6"/>
      <c r="QX146" s="6"/>
      <c r="RI146" s="6"/>
      <c r="RJ146" s="6"/>
      <c r="RO146" s="6"/>
      <c r="RS146" s="6"/>
      <c r="RT146" s="6"/>
      <c r="RY146" s="6"/>
      <c r="SJ146" s="6"/>
      <c r="SK146" s="6"/>
      <c r="SP146" s="6"/>
      <c r="ST146" s="6"/>
      <c r="SU146" s="6"/>
      <c r="SZ146" s="6"/>
    </row>
    <row r="147" spans="12:520" x14ac:dyDescent="0.3">
      <c r="S147" s="6"/>
      <c r="T147" s="6"/>
      <c r="U147" s="6"/>
      <c r="W147" s="6"/>
      <c r="AA147" s="6"/>
      <c r="AB147" s="6"/>
      <c r="AH147" s="6"/>
      <c r="AS147" s="6"/>
      <c r="AT147" s="6"/>
      <c r="AY147" s="6"/>
      <c r="BC147" s="6"/>
      <c r="BD147" s="6"/>
      <c r="BI147" s="6"/>
      <c r="DV147" s="6"/>
      <c r="DW147" s="6"/>
      <c r="EB147" s="6"/>
      <c r="EF147" s="6"/>
      <c r="EG147" s="6"/>
      <c r="EL147" s="6"/>
      <c r="EW147" s="6"/>
      <c r="EX147" s="6"/>
      <c r="FC147" s="6"/>
      <c r="FG147" s="6"/>
      <c r="FH147" s="6"/>
      <c r="FM147" s="6"/>
      <c r="FX147" s="6"/>
      <c r="FY147" s="6"/>
      <c r="GD147" s="6"/>
      <c r="GH147" s="6"/>
      <c r="GI147" s="6"/>
      <c r="GN147" s="6"/>
      <c r="GY147" s="6"/>
      <c r="GZ147" s="6"/>
      <c r="HE147" s="6"/>
      <c r="HI147" s="6"/>
      <c r="HJ147" s="6"/>
      <c r="HO147" s="6"/>
      <c r="HZ147" s="6"/>
      <c r="IA147" s="6"/>
      <c r="IF147" s="6"/>
      <c r="IJ147" s="6"/>
      <c r="IK147" s="6"/>
      <c r="IP147" s="6"/>
      <c r="JA147" s="6"/>
      <c r="JB147" s="6"/>
      <c r="JG147" s="6"/>
      <c r="JK147" s="6"/>
      <c r="JL147" s="6"/>
      <c r="JQ147" s="6"/>
      <c r="KB147" s="6"/>
      <c r="KC147" s="6"/>
      <c r="KH147" s="6"/>
      <c r="KL147" s="6"/>
      <c r="KM147" s="6"/>
      <c r="KR147" s="6"/>
      <c r="MD147" s="6"/>
      <c r="ME147" s="6"/>
      <c r="MJ147" s="6"/>
      <c r="MN147" s="6"/>
      <c r="MO147" s="6"/>
      <c r="MT147" s="6"/>
      <c r="NE147" s="6"/>
      <c r="NF147" s="6"/>
      <c r="NK147" s="6"/>
      <c r="NO147" s="6"/>
      <c r="NP147" s="6"/>
      <c r="NU147" s="6"/>
      <c r="OF147" s="6"/>
      <c r="OG147" s="6"/>
      <c r="OL147" s="6"/>
      <c r="OP147" s="6"/>
      <c r="OQ147" s="6"/>
      <c r="OV147" s="6"/>
      <c r="PG147" s="6"/>
      <c r="PH147" s="6"/>
      <c r="PM147" s="6"/>
      <c r="PQ147" s="6"/>
      <c r="PR147" s="6"/>
      <c r="PW147" s="6"/>
      <c r="QH147" s="6"/>
      <c r="QI147" s="6"/>
      <c r="QN147" s="6"/>
      <c r="QR147" s="6"/>
      <c r="QS147" s="6"/>
      <c r="QX147" s="6"/>
      <c r="RI147" s="6"/>
      <c r="RJ147" s="6"/>
      <c r="RO147" s="6"/>
      <c r="RS147" s="6"/>
      <c r="RT147" s="6"/>
      <c r="RY147" s="6"/>
      <c r="SJ147" s="6"/>
      <c r="SK147" s="6"/>
      <c r="SP147" s="6"/>
      <c r="ST147" s="6"/>
      <c r="SU147" s="6"/>
      <c r="SZ147" s="6"/>
    </row>
    <row r="148" spans="12:520" x14ac:dyDescent="0.3">
      <c r="S148" s="6"/>
      <c r="T148" s="6"/>
      <c r="U148" s="6"/>
      <c r="W148" s="6"/>
      <c r="AA148" s="6"/>
      <c r="AB148" s="6"/>
      <c r="AH148" s="6"/>
      <c r="AS148" s="6"/>
      <c r="AT148" s="6"/>
      <c r="AY148" s="6"/>
      <c r="BC148" s="6"/>
      <c r="BD148" s="6"/>
      <c r="BI148" s="6"/>
      <c r="DP148" s="8"/>
      <c r="DQ148" s="8"/>
      <c r="DR148" s="8"/>
      <c r="DV148" s="6"/>
      <c r="DW148" s="6"/>
      <c r="EB148" s="6"/>
      <c r="EF148" s="6"/>
      <c r="EG148" s="6"/>
      <c r="EL148" s="6"/>
      <c r="EW148" s="6"/>
      <c r="EX148" s="6"/>
      <c r="FC148" s="6"/>
      <c r="FG148" s="6"/>
      <c r="FH148" s="6"/>
      <c r="FM148" s="6"/>
      <c r="FX148" s="6"/>
      <c r="FY148" s="6"/>
      <c r="GD148" s="6"/>
      <c r="GH148" s="6"/>
      <c r="GI148" s="6"/>
      <c r="GN148" s="6"/>
      <c r="GY148" s="6"/>
      <c r="GZ148" s="6"/>
      <c r="HE148" s="6"/>
      <c r="HI148" s="6"/>
      <c r="HJ148" s="6"/>
      <c r="HO148" s="6"/>
      <c r="HZ148" s="6"/>
      <c r="IA148" s="6"/>
      <c r="IF148" s="6"/>
      <c r="IJ148" s="6"/>
      <c r="IK148" s="6"/>
      <c r="IP148" s="6"/>
      <c r="JA148" s="6"/>
      <c r="JB148" s="6"/>
      <c r="JG148" s="6"/>
      <c r="JK148" s="6"/>
      <c r="JL148" s="6"/>
      <c r="JQ148" s="6"/>
      <c r="KB148" s="6"/>
      <c r="KC148" s="6"/>
      <c r="KH148" s="6"/>
      <c r="KL148" s="6"/>
      <c r="KM148" s="6"/>
      <c r="KR148" s="6"/>
      <c r="MD148" s="6"/>
      <c r="ME148" s="6"/>
      <c r="MJ148" s="6"/>
      <c r="MN148" s="6"/>
      <c r="MO148" s="6"/>
      <c r="MT148" s="6"/>
      <c r="NE148" s="6"/>
      <c r="NF148" s="6"/>
      <c r="NK148" s="6"/>
      <c r="NO148" s="6"/>
      <c r="NP148" s="6"/>
      <c r="NU148" s="6"/>
      <c r="OF148" s="6"/>
      <c r="OG148" s="6"/>
      <c r="OL148" s="6"/>
      <c r="OP148" s="6"/>
      <c r="OQ148" s="6"/>
      <c r="OV148" s="6"/>
      <c r="PG148" s="6"/>
      <c r="PH148" s="6"/>
      <c r="PM148" s="6"/>
      <c r="PQ148" s="6"/>
      <c r="PR148" s="6"/>
      <c r="PW148" s="6"/>
      <c r="QH148" s="6"/>
      <c r="QI148" s="6"/>
      <c r="QN148" s="6"/>
      <c r="QR148" s="6"/>
      <c r="QS148" s="6"/>
      <c r="QX148" s="6"/>
      <c r="RI148" s="6"/>
      <c r="RJ148" s="6"/>
      <c r="RO148" s="6"/>
      <c r="RS148" s="6"/>
      <c r="RT148" s="6"/>
      <c r="RY148" s="6"/>
      <c r="SJ148" s="6"/>
      <c r="SK148" s="6"/>
      <c r="SP148" s="6"/>
      <c r="ST148" s="6"/>
      <c r="SU148" s="6"/>
      <c r="SZ148" s="6"/>
    </row>
    <row r="149" spans="12:520" x14ac:dyDescent="0.3">
      <c r="S149" s="6"/>
      <c r="T149" s="6"/>
      <c r="U149" s="6"/>
      <c r="W149" s="6"/>
      <c r="AA149" s="6"/>
      <c r="AB149" s="6"/>
      <c r="AH149" s="6"/>
      <c r="AS149" s="6"/>
      <c r="AT149" s="6"/>
      <c r="AY149" s="6"/>
      <c r="BC149" s="6"/>
      <c r="BD149" s="6"/>
      <c r="BI149" s="6"/>
      <c r="EW149" s="6"/>
      <c r="EX149" s="6"/>
      <c r="FC149" s="6"/>
      <c r="FG149" s="6"/>
      <c r="FH149" s="6"/>
      <c r="FM149" s="6"/>
      <c r="FX149" s="6"/>
      <c r="FY149" s="6"/>
      <c r="GD149" s="6"/>
      <c r="GH149" s="6"/>
      <c r="GI149" s="6"/>
      <c r="GN149" s="6"/>
      <c r="GY149" s="6"/>
      <c r="GZ149" s="6"/>
      <c r="HE149" s="6"/>
      <c r="HI149" s="6"/>
      <c r="HJ149" s="6"/>
      <c r="HO149" s="6"/>
      <c r="HZ149" s="6"/>
      <c r="IA149" s="6"/>
      <c r="IF149" s="6"/>
      <c r="IJ149" s="6"/>
      <c r="IK149" s="6"/>
      <c r="IP149" s="6"/>
      <c r="JA149" s="6"/>
      <c r="JB149" s="6"/>
      <c r="JG149" s="6"/>
      <c r="JK149" s="6"/>
      <c r="JL149" s="6"/>
      <c r="JQ149" s="6"/>
      <c r="KB149" s="6"/>
      <c r="KC149" s="6"/>
      <c r="KH149" s="6"/>
      <c r="KL149" s="6"/>
      <c r="KM149" s="6"/>
      <c r="KR149" s="6"/>
      <c r="MD149" s="6"/>
      <c r="ME149" s="6"/>
      <c r="MJ149" s="6"/>
      <c r="MN149" s="6"/>
      <c r="MO149" s="6"/>
      <c r="MT149" s="6"/>
      <c r="NE149" s="6"/>
      <c r="NF149" s="6"/>
      <c r="NK149" s="6"/>
      <c r="NO149" s="6"/>
      <c r="NP149" s="6"/>
      <c r="NU149" s="6"/>
      <c r="OF149" s="6"/>
      <c r="OG149" s="6"/>
      <c r="OL149" s="6"/>
      <c r="OP149" s="6"/>
      <c r="OQ149" s="6"/>
      <c r="OV149" s="6"/>
      <c r="PG149" s="6"/>
      <c r="PH149" s="6"/>
      <c r="PM149" s="6"/>
      <c r="PQ149" s="6"/>
      <c r="PR149" s="6"/>
      <c r="PW149" s="6"/>
      <c r="QH149" s="6"/>
      <c r="QI149" s="6"/>
      <c r="QN149" s="6"/>
      <c r="QR149" s="6"/>
      <c r="QS149" s="6"/>
      <c r="QX149" s="6"/>
      <c r="RI149" s="6"/>
      <c r="RJ149" s="6"/>
      <c r="RO149" s="6"/>
      <c r="RS149" s="6"/>
      <c r="RT149" s="6"/>
      <c r="RY149" s="6"/>
      <c r="SJ149" s="6"/>
      <c r="SK149" s="6"/>
      <c r="SP149" s="6"/>
      <c r="ST149" s="6"/>
      <c r="SU149" s="6"/>
      <c r="SZ149" s="6"/>
    </row>
    <row r="150" spans="12:520" x14ac:dyDescent="0.3">
      <c r="S150" s="6"/>
      <c r="T150" s="6"/>
      <c r="U150" s="6"/>
      <c r="W150" s="6"/>
      <c r="AA150" s="6"/>
      <c r="AB150" s="6"/>
      <c r="AH150" s="6"/>
      <c r="AS150" s="6"/>
      <c r="AT150" s="6"/>
      <c r="AY150" s="6"/>
      <c r="BC150" s="6"/>
      <c r="BD150" s="6"/>
      <c r="BI150" s="6"/>
      <c r="EQ150" s="8"/>
      <c r="ER150" s="8"/>
      <c r="ES150" s="8"/>
      <c r="EW150" s="6"/>
      <c r="EX150" s="6"/>
      <c r="FC150" s="6"/>
      <c r="FG150" s="6"/>
      <c r="FH150" s="6"/>
      <c r="FM150" s="6"/>
      <c r="FX150" s="6"/>
      <c r="FY150" s="6"/>
      <c r="GD150" s="6"/>
      <c r="GH150" s="6"/>
      <c r="GI150" s="6"/>
      <c r="GN150" s="6"/>
      <c r="GY150" s="6"/>
      <c r="GZ150" s="6"/>
      <c r="HE150" s="6"/>
      <c r="HI150" s="6"/>
      <c r="HJ150" s="6"/>
      <c r="HO150" s="6"/>
      <c r="HZ150" s="6"/>
      <c r="IA150" s="6"/>
      <c r="IF150" s="6"/>
      <c r="IJ150" s="6"/>
      <c r="IK150" s="6"/>
      <c r="IP150" s="6"/>
      <c r="JA150" s="6"/>
      <c r="JB150" s="6"/>
      <c r="JG150" s="6"/>
      <c r="JK150" s="6"/>
      <c r="JL150" s="6"/>
      <c r="JQ150" s="6"/>
      <c r="KB150" s="6"/>
      <c r="KC150" s="6"/>
      <c r="KH150" s="6"/>
      <c r="KL150" s="6"/>
      <c r="KM150" s="6"/>
      <c r="KR150" s="6"/>
      <c r="MD150" s="6"/>
      <c r="ME150" s="6"/>
      <c r="MJ150" s="6"/>
      <c r="MN150" s="6"/>
      <c r="MO150" s="6"/>
      <c r="MT150" s="6"/>
      <c r="NE150" s="6"/>
      <c r="NF150" s="6"/>
      <c r="NK150" s="6"/>
      <c r="NO150" s="6"/>
      <c r="NP150" s="6"/>
      <c r="NU150" s="6"/>
      <c r="OF150" s="6"/>
      <c r="OG150" s="6"/>
      <c r="OL150" s="6"/>
      <c r="OP150" s="6"/>
      <c r="OQ150" s="6"/>
      <c r="OV150" s="6"/>
      <c r="PG150" s="6"/>
      <c r="PH150" s="6"/>
      <c r="PM150" s="6"/>
      <c r="PQ150" s="6"/>
      <c r="PR150" s="6"/>
      <c r="PW150" s="6"/>
      <c r="QH150" s="6"/>
      <c r="QI150" s="6"/>
      <c r="QN150" s="6"/>
      <c r="QR150" s="6"/>
      <c r="QS150" s="6"/>
      <c r="QX150" s="6"/>
      <c r="RI150" s="6"/>
      <c r="RJ150" s="6"/>
      <c r="RO150" s="6"/>
      <c r="RS150" s="6"/>
      <c r="RT150" s="6"/>
      <c r="RY150" s="6"/>
      <c r="SJ150" s="6"/>
      <c r="SK150" s="6"/>
      <c r="SP150" s="6"/>
      <c r="ST150" s="6"/>
      <c r="SU150" s="6"/>
      <c r="SZ150" s="6"/>
    </row>
    <row r="151" spans="12:520" x14ac:dyDescent="0.3">
      <c r="L151" s="8"/>
      <c r="M151" s="8"/>
      <c r="N151" s="8"/>
      <c r="S151" s="6"/>
      <c r="T151" s="6"/>
      <c r="U151" s="6"/>
      <c r="W151" s="6"/>
      <c r="AA151" s="6"/>
      <c r="AB151" s="6"/>
      <c r="AH151" s="6"/>
      <c r="AS151" s="6"/>
      <c r="AT151" s="6"/>
      <c r="AY151" s="6"/>
      <c r="BC151" s="6"/>
      <c r="BD151" s="6"/>
      <c r="BI151" s="6"/>
      <c r="FR151" s="8"/>
      <c r="FS151" s="8"/>
      <c r="FT151" s="8"/>
      <c r="FX151" s="6"/>
      <c r="FY151" s="6"/>
      <c r="GD151" s="6"/>
      <c r="GH151" s="6"/>
      <c r="GI151" s="6"/>
      <c r="GN151" s="6"/>
      <c r="GS151" s="8"/>
      <c r="GT151" s="8"/>
      <c r="GU151" s="8"/>
      <c r="GY151" s="6"/>
      <c r="GZ151" s="6"/>
      <c r="HE151" s="6"/>
      <c r="HI151" s="6"/>
      <c r="HJ151" s="6"/>
      <c r="HO151" s="6"/>
      <c r="HT151" s="8"/>
      <c r="HU151" s="8"/>
      <c r="HV151" s="8"/>
      <c r="HZ151" s="6"/>
      <c r="IA151" s="6"/>
      <c r="IF151" s="6"/>
      <c r="IJ151" s="6"/>
      <c r="IK151" s="6"/>
      <c r="IP151" s="6"/>
      <c r="IU151" s="8"/>
      <c r="IV151" s="8"/>
      <c r="IW151" s="8"/>
      <c r="JA151" s="6"/>
      <c r="JB151" s="6"/>
      <c r="JG151" s="6"/>
      <c r="JK151" s="6"/>
      <c r="JL151" s="6"/>
      <c r="JQ151" s="6"/>
      <c r="JV151" s="8"/>
      <c r="JW151" s="8"/>
      <c r="JX151" s="8"/>
      <c r="KB151" s="6"/>
      <c r="KC151" s="6"/>
      <c r="KH151" s="6"/>
      <c r="KL151" s="6"/>
      <c r="KM151" s="6"/>
      <c r="KR151" s="6"/>
      <c r="LX151" s="8"/>
      <c r="LY151" s="8"/>
      <c r="LZ151" s="8"/>
      <c r="MD151" s="6"/>
      <c r="ME151" s="6"/>
      <c r="MJ151" s="6"/>
      <c r="MN151" s="6"/>
      <c r="MO151" s="6"/>
      <c r="MT151" s="6"/>
      <c r="MY151" s="8"/>
      <c r="MZ151" s="8"/>
      <c r="NA151" s="8"/>
      <c r="NE151" s="6"/>
      <c r="NF151" s="6"/>
      <c r="NK151" s="6"/>
      <c r="NO151" s="6"/>
      <c r="NP151" s="6"/>
      <c r="NU151" s="6"/>
      <c r="NZ151" s="8"/>
      <c r="OA151" s="8"/>
      <c r="OB151" s="8"/>
      <c r="OF151" s="6"/>
      <c r="OG151" s="6"/>
      <c r="OL151" s="6"/>
      <c r="OP151" s="6"/>
      <c r="OQ151" s="6"/>
      <c r="OV151" s="6"/>
      <c r="PA151" s="8"/>
      <c r="PB151" s="8"/>
      <c r="PC151" s="8"/>
      <c r="PG151" s="6"/>
      <c r="PH151" s="6"/>
      <c r="PM151" s="6"/>
      <c r="PQ151" s="6"/>
      <c r="PR151" s="6"/>
      <c r="PW151" s="6"/>
      <c r="QB151" s="8"/>
      <c r="QC151" s="8"/>
      <c r="QD151" s="8"/>
      <c r="QH151" s="6"/>
      <c r="QI151" s="6"/>
      <c r="QN151" s="6"/>
      <c r="QR151" s="6"/>
      <c r="QS151" s="6"/>
      <c r="QX151" s="6"/>
      <c r="RC151" s="8"/>
      <c r="RD151" s="8"/>
      <c r="RE151" s="8"/>
      <c r="RI151" s="6"/>
      <c r="RJ151" s="6"/>
      <c r="RO151" s="6"/>
      <c r="RS151" s="6"/>
      <c r="RT151" s="6"/>
      <c r="RY151" s="6"/>
      <c r="SD151" s="8"/>
      <c r="SE151" s="8"/>
      <c r="SF151" s="8"/>
      <c r="SJ151" s="6"/>
      <c r="SK151" s="6"/>
      <c r="SP151" s="6"/>
      <c r="ST151" s="6"/>
      <c r="SU151" s="6"/>
      <c r="SZ151" s="6"/>
    </row>
    <row r="152" spans="12:520" x14ac:dyDescent="0.3">
      <c r="AS152" s="6"/>
      <c r="AT152" s="7"/>
      <c r="AW152" s="5"/>
      <c r="AY152" s="6"/>
    </row>
    <row r="153" spans="12:520" x14ac:dyDescent="0.3">
      <c r="R153" s="6"/>
      <c r="S153" s="7"/>
      <c r="T153" s="7"/>
      <c r="Z153" s="6"/>
      <c r="AA153" s="7"/>
      <c r="AG153" s="6"/>
      <c r="AS153" s="6"/>
      <c r="AX153" s="6"/>
      <c r="BB153" s="6"/>
      <c r="BC153" s="7"/>
      <c r="BH153" s="6"/>
      <c r="BS153" s="6"/>
      <c r="BT153" s="7"/>
      <c r="BY153" s="6"/>
      <c r="CC153" s="6"/>
      <c r="CD153" s="7"/>
      <c r="CI153" s="6"/>
      <c r="CT153" s="6"/>
      <c r="CU153" s="7"/>
      <c r="CZ153" s="6"/>
      <c r="DD153" s="6"/>
      <c r="DE153" s="7"/>
      <c r="DJ153" s="6"/>
      <c r="DU153" s="6"/>
      <c r="DV153" s="7"/>
      <c r="EA153" s="6"/>
      <c r="EE153" s="6"/>
      <c r="EF153" s="7"/>
      <c r="EK153" s="6"/>
      <c r="EV153" s="6"/>
      <c r="EW153" s="7"/>
      <c r="FB153" s="6"/>
      <c r="FF153" s="6"/>
      <c r="FG153" s="7"/>
      <c r="FL153" s="6"/>
      <c r="FW153" s="6"/>
      <c r="FX153" s="7"/>
      <c r="GC153" s="6"/>
      <c r="GG153" s="6"/>
      <c r="GH153" s="7"/>
      <c r="GM153" s="6"/>
      <c r="GX153" s="6"/>
      <c r="GY153" s="7"/>
      <c r="HD153" s="6"/>
      <c r="HH153" s="6"/>
      <c r="HI153" s="7"/>
      <c r="HN153" s="6"/>
      <c r="HY153" s="6"/>
      <c r="HZ153" s="7"/>
      <c r="IE153" s="6"/>
      <c r="II153" s="6"/>
      <c r="IJ153" s="7"/>
      <c r="IO153" s="6"/>
      <c r="IZ153" s="6"/>
      <c r="JA153" s="7"/>
      <c r="JF153" s="6"/>
      <c r="JJ153" s="6"/>
      <c r="JK153" s="7"/>
      <c r="JP153" s="6"/>
      <c r="KA153" s="6"/>
      <c r="KB153" s="7"/>
      <c r="KG153" s="6"/>
      <c r="KK153" s="6"/>
      <c r="KL153" s="7"/>
      <c r="KQ153" s="6"/>
      <c r="LB153" s="6"/>
      <c r="LC153" s="7"/>
      <c r="LH153" s="6"/>
      <c r="LL153" s="6"/>
      <c r="LM153" s="7"/>
      <c r="LR153" s="6"/>
      <c r="MC153" s="6"/>
      <c r="MD153" s="7"/>
      <c r="MI153" s="6"/>
      <c r="MM153" s="6"/>
      <c r="MN153" s="7"/>
      <c r="MS153" s="6"/>
      <c r="ND153" s="6"/>
      <c r="NE153" s="7"/>
      <c r="NJ153" s="6"/>
      <c r="NN153" s="6"/>
      <c r="NO153" s="7"/>
      <c r="NT153" s="6"/>
      <c r="OE153" s="6"/>
      <c r="OF153" s="7"/>
      <c r="OK153" s="6"/>
      <c r="OO153" s="6"/>
      <c r="OP153" s="7"/>
      <c r="OU153" s="6"/>
      <c r="PF153" s="6"/>
      <c r="PG153" s="7"/>
      <c r="PL153" s="6"/>
      <c r="PP153" s="6"/>
      <c r="PQ153" s="7"/>
      <c r="PV153" s="6"/>
      <c r="QG153" s="6"/>
      <c r="QH153" s="7"/>
      <c r="QM153" s="6"/>
      <c r="QQ153" s="6"/>
      <c r="QR153" s="7"/>
      <c r="QW153" s="6"/>
      <c r="RH153" s="6"/>
      <c r="RI153" s="7"/>
      <c r="RN153" s="6"/>
      <c r="RR153" s="6"/>
      <c r="RS153" s="7"/>
      <c r="RX153" s="6"/>
      <c r="SI153" s="6"/>
      <c r="SJ153" s="7"/>
      <c r="SO153" s="6"/>
      <c r="SS153" s="6"/>
      <c r="ST153" s="7"/>
      <c r="SY153" s="6"/>
    </row>
    <row r="154" spans="12:520" x14ac:dyDescent="0.3">
      <c r="R154" s="5"/>
      <c r="S154" s="6"/>
      <c r="T154" s="6"/>
      <c r="U154" s="7"/>
      <c r="W154" s="6"/>
      <c r="Z154" s="5"/>
      <c r="AA154" s="6"/>
      <c r="AB154" s="7"/>
      <c r="AG154" s="5"/>
      <c r="AH154" s="6"/>
      <c r="AS154" s="6"/>
      <c r="AT154" s="7"/>
      <c r="AW154" s="5"/>
      <c r="AY154" s="6"/>
      <c r="BC154" s="6"/>
      <c r="BD154" s="6"/>
      <c r="BI154" s="6"/>
      <c r="BT154" s="6"/>
      <c r="BU154" s="6"/>
      <c r="BZ154" s="6"/>
      <c r="CD154" s="6"/>
      <c r="CE154" s="6"/>
      <c r="CJ154" s="6"/>
      <c r="CU154" s="6"/>
      <c r="CV154" s="6"/>
      <c r="DA154" s="6"/>
      <c r="DE154" s="6"/>
      <c r="DF154" s="6"/>
      <c r="DK154" s="6"/>
      <c r="DV154" s="6"/>
      <c r="DW154" s="6"/>
      <c r="EB154" s="6"/>
      <c r="EF154" s="6"/>
      <c r="EG154" s="6"/>
      <c r="EL154" s="6"/>
      <c r="EW154" s="6"/>
      <c r="EX154" s="6"/>
      <c r="FC154" s="6"/>
      <c r="FG154" s="6"/>
      <c r="FH154" s="6"/>
      <c r="FM154" s="6"/>
      <c r="FX154" s="6"/>
      <c r="FY154" s="6"/>
      <c r="GD154" s="6"/>
      <c r="GH154" s="6"/>
      <c r="GI154" s="6"/>
      <c r="GN154" s="6"/>
      <c r="GY154" s="6"/>
      <c r="GZ154" s="6"/>
      <c r="HE154" s="6"/>
      <c r="HI154" s="6"/>
      <c r="HJ154" s="6"/>
      <c r="HO154" s="6"/>
      <c r="HZ154" s="6"/>
      <c r="IA154" s="6"/>
      <c r="IF154" s="6"/>
      <c r="IJ154" s="6"/>
      <c r="IK154" s="6"/>
      <c r="IP154" s="6"/>
      <c r="JA154" s="6"/>
      <c r="JB154" s="6"/>
      <c r="JG154" s="6"/>
      <c r="JK154" s="6"/>
      <c r="JL154" s="6"/>
      <c r="JQ154" s="6"/>
      <c r="KB154" s="6"/>
      <c r="KC154" s="6"/>
      <c r="KH154" s="6"/>
      <c r="KL154" s="6"/>
      <c r="KM154" s="6"/>
      <c r="KR154" s="6"/>
      <c r="LC154" s="6"/>
      <c r="LD154" s="6"/>
      <c r="LI154" s="6"/>
      <c r="LM154" s="6"/>
      <c r="LN154" s="6"/>
      <c r="LS154" s="6"/>
      <c r="MD154" s="6"/>
      <c r="ME154" s="6"/>
      <c r="MJ154" s="6"/>
      <c r="MN154" s="6"/>
      <c r="MO154" s="6"/>
      <c r="MT154" s="6"/>
      <c r="NE154" s="6"/>
      <c r="NF154" s="6"/>
      <c r="NK154" s="6"/>
      <c r="NO154" s="6"/>
      <c r="NP154" s="6"/>
      <c r="NU154" s="6"/>
      <c r="OF154" s="6"/>
      <c r="OG154" s="6"/>
      <c r="OL154" s="6"/>
      <c r="OP154" s="6"/>
      <c r="OQ154" s="6"/>
      <c r="OV154" s="6"/>
      <c r="PG154" s="6"/>
      <c r="PH154" s="6"/>
      <c r="PM154" s="6"/>
      <c r="PQ154" s="6"/>
      <c r="PR154" s="6"/>
      <c r="PW154" s="6"/>
      <c r="QH154" s="6"/>
      <c r="QI154" s="6"/>
      <c r="QN154" s="6"/>
      <c r="QR154" s="6"/>
      <c r="QS154" s="6"/>
      <c r="QX154" s="6"/>
      <c r="RI154" s="6"/>
      <c r="RJ154" s="6"/>
      <c r="RO154" s="6"/>
      <c r="RS154" s="6"/>
      <c r="RT154" s="6"/>
      <c r="RY154" s="6"/>
      <c r="SJ154" s="6"/>
      <c r="SK154" s="6"/>
      <c r="SP154" s="6"/>
      <c r="ST154" s="6"/>
      <c r="SU154" s="6"/>
      <c r="SZ154" s="6"/>
    </row>
    <row r="155" spans="12:520" x14ac:dyDescent="0.3">
      <c r="O155" s="5"/>
      <c r="R155" s="5"/>
      <c r="S155" s="6"/>
      <c r="T155" s="6"/>
      <c r="U155" s="7"/>
      <c r="W155" s="6"/>
      <c r="X155" s="5"/>
      <c r="Z155" s="5"/>
      <c r="AA155" s="6"/>
      <c r="AB155" s="7"/>
      <c r="AG155" s="5"/>
      <c r="AH155" s="6"/>
      <c r="AM155" s="8"/>
      <c r="AN155" s="8"/>
      <c r="AO155" s="8"/>
      <c r="AS155" s="6"/>
      <c r="AT155" s="7"/>
      <c r="AW155" s="5"/>
      <c r="AY155" s="6"/>
      <c r="BC155" s="6"/>
      <c r="BD155" s="6"/>
      <c r="BI155" s="6"/>
      <c r="BT155" s="6"/>
      <c r="BU155" s="6"/>
      <c r="BZ155" s="6"/>
      <c r="CD155" s="6"/>
      <c r="CE155" s="6"/>
      <c r="CJ155" s="6"/>
      <c r="CU155" s="6"/>
      <c r="CV155" s="6"/>
      <c r="DA155" s="6"/>
      <c r="DE155" s="6"/>
      <c r="DF155" s="6"/>
      <c r="DK155" s="6"/>
      <c r="DV155" s="6"/>
      <c r="DW155" s="6"/>
      <c r="EB155" s="6"/>
      <c r="EF155" s="6"/>
      <c r="EG155" s="6"/>
      <c r="EL155" s="6"/>
      <c r="EW155" s="6"/>
      <c r="EX155" s="6"/>
      <c r="FC155" s="6"/>
      <c r="FG155" s="6"/>
      <c r="FH155" s="6"/>
      <c r="FM155" s="6"/>
      <c r="FX155" s="6"/>
      <c r="FY155" s="6"/>
      <c r="GD155" s="6"/>
      <c r="GH155" s="6"/>
      <c r="GI155" s="6"/>
      <c r="GN155" s="6"/>
      <c r="GY155" s="6"/>
      <c r="GZ155" s="6"/>
      <c r="HE155" s="6"/>
      <c r="HI155" s="6"/>
      <c r="HJ155" s="6"/>
      <c r="HO155" s="6"/>
      <c r="HZ155" s="6"/>
      <c r="IA155" s="6"/>
      <c r="IF155" s="6"/>
      <c r="IJ155" s="6"/>
      <c r="IK155" s="6"/>
      <c r="IP155" s="6"/>
      <c r="JA155" s="6"/>
      <c r="JB155" s="6"/>
      <c r="JG155" s="6"/>
      <c r="JK155" s="6"/>
      <c r="JL155" s="6"/>
      <c r="JQ155" s="6"/>
      <c r="KB155" s="6"/>
      <c r="KC155" s="6"/>
      <c r="KH155" s="6"/>
      <c r="KL155" s="6"/>
      <c r="KM155" s="6"/>
      <c r="KR155" s="6"/>
      <c r="KW155" s="8"/>
      <c r="KX155" s="8"/>
      <c r="KY155" s="8"/>
      <c r="LC155" s="6"/>
      <c r="LD155" s="6"/>
      <c r="LI155" s="6"/>
      <c r="LM155" s="6"/>
      <c r="LN155" s="6"/>
      <c r="LS155" s="6"/>
      <c r="MD155" s="6"/>
      <c r="ME155" s="6"/>
      <c r="MJ155" s="6"/>
      <c r="MN155" s="6"/>
      <c r="MO155" s="6"/>
      <c r="MT155" s="6"/>
      <c r="NE155" s="6"/>
      <c r="NF155" s="6"/>
      <c r="NK155" s="6"/>
      <c r="NO155" s="6"/>
      <c r="NP155" s="6"/>
      <c r="NU155" s="6"/>
      <c r="OF155" s="6"/>
      <c r="OG155" s="6"/>
      <c r="OL155" s="6"/>
      <c r="OP155" s="6"/>
      <c r="OQ155" s="6"/>
      <c r="OV155" s="6"/>
      <c r="PG155" s="6"/>
      <c r="PH155" s="6"/>
      <c r="PM155" s="6"/>
      <c r="PQ155" s="6"/>
      <c r="PR155" s="6"/>
      <c r="PW155" s="6"/>
      <c r="QH155" s="6"/>
      <c r="QI155" s="6"/>
      <c r="QN155" s="6"/>
      <c r="QR155" s="6"/>
      <c r="QS155" s="6"/>
      <c r="QX155" s="6"/>
      <c r="RI155" s="6"/>
      <c r="RJ155" s="6"/>
      <c r="RO155" s="6"/>
      <c r="RS155" s="6"/>
      <c r="RT155" s="6"/>
      <c r="RY155" s="6"/>
      <c r="SJ155" s="6"/>
      <c r="SK155" s="6"/>
      <c r="SP155" s="6"/>
      <c r="ST155" s="6"/>
      <c r="SU155" s="6"/>
      <c r="SZ155" s="6"/>
    </row>
    <row r="156" spans="12:520" x14ac:dyDescent="0.3">
      <c r="O156" s="5"/>
      <c r="R156" s="5"/>
      <c r="S156" s="6"/>
      <c r="T156" s="6"/>
      <c r="U156" s="7"/>
      <c r="W156" s="6"/>
      <c r="X156" s="5"/>
      <c r="Z156" s="5"/>
      <c r="AA156" s="6"/>
      <c r="AB156" s="7"/>
      <c r="AG156" s="5"/>
      <c r="AH156" s="6"/>
      <c r="AQ156" s="5"/>
      <c r="AR156" s="5"/>
      <c r="AS156" s="6"/>
      <c r="AT156" s="7"/>
      <c r="AW156" s="5"/>
      <c r="AY156" s="7"/>
      <c r="BC156" s="6"/>
      <c r="BD156" s="6"/>
      <c r="BI156" s="6"/>
      <c r="BT156" s="6"/>
      <c r="BU156" s="6"/>
      <c r="BZ156" s="6"/>
      <c r="CD156" s="6"/>
      <c r="CE156" s="6"/>
      <c r="CJ156" s="6"/>
      <c r="CU156" s="6"/>
      <c r="CV156" s="6"/>
      <c r="DA156" s="6"/>
      <c r="DE156" s="6"/>
      <c r="DF156" s="6"/>
      <c r="DK156" s="6"/>
      <c r="DV156" s="6"/>
      <c r="DW156" s="6"/>
      <c r="EB156" s="6"/>
      <c r="EF156" s="6"/>
      <c r="EG156" s="6"/>
      <c r="EL156" s="6"/>
      <c r="EW156" s="6"/>
      <c r="EX156" s="6"/>
      <c r="FC156" s="6"/>
      <c r="FG156" s="6"/>
      <c r="FH156" s="6"/>
      <c r="FM156" s="6"/>
      <c r="FX156" s="6"/>
      <c r="FY156" s="6"/>
      <c r="GD156" s="6"/>
      <c r="GH156" s="6"/>
      <c r="GI156" s="6"/>
      <c r="GN156" s="6"/>
      <c r="GY156" s="6"/>
      <c r="GZ156" s="6"/>
      <c r="HE156" s="6"/>
      <c r="HI156" s="6"/>
      <c r="HJ156" s="6"/>
      <c r="HO156" s="6"/>
      <c r="HZ156" s="6"/>
      <c r="IA156" s="6"/>
      <c r="IF156" s="6"/>
      <c r="IJ156" s="6"/>
      <c r="IK156" s="6"/>
      <c r="IP156" s="6"/>
      <c r="JA156" s="6"/>
      <c r="JB156" s="6"/>
      <c r="JG156" s="6"/>
      <c r="JK156" s="6"/>
      <c r="JL156" s="6"/>
      <c r="JQ156" s="6"/>
      <c r="KB156" s="6"/>
      <c r="KC156" s="6"/>
      <c r="KH156" s="6"/>
      <c r="KL156" s="6"/>
      <c r="KM156" s="6"/>
      <c r="KR156" s="6"/>
      <c r="MD156" s="6"/>
      <c r="ME156" s="6"/>
      <c r="MJ156" s="6"/>
      <c r="MN156" s="6"/>
      <c r="MO156" s="6"/>
      <c r="MT156" s="6"/>
      <c r="NE156" s="6"/>
      <c r="NF156" s="6"/>
      <c r="NK156" s="6"/>
      <c r="NO156" s="6"/>
      <c r="NP156" s="6"/>
      <c r="NU156" s="6"/>
      <c r="OF156" s="6"/>
      <c r="OG156" s="6"/>
      <c r="OL156" s="6"/>
      <c r="OP156" s="6"/>
      <c r="OQ156" s="6"/>
      <c r="OV156" s="6"/>
      <c r="PG156" s="6"/>
      <c r="PH156" s="6"/>
      <c r="PM156" s="6"/>
      <c r="PQ156" s="6"/>
      <c r="PR156" s="6"/>
      <c r="PW156" s="6"/>
      <c r="QH156" s="6"/>
      <c r="QI156" s="6"/>
      <c r="QN156" s="6"/>
      <c r="QR156" s="6"/>
      <c r="QS156" s="6"/>
      <c r="QX156" s="6"/>
      <c r="RI156" s="6"/>
      <c r="RJ156" s="6"/>
      <c r="RO156" s="6"/>
      <c r="RS156" s="6"/>
      <c r="RT156" s="6"/>
      <c r="RY156" s="6"/>
      <c r="SJ156" s="6"/>
      <c r="SK156" s="6"/>
      <c r="SP156" s="6"/>
      <c r="ST156" s="6"/>
      <c r="SU156" s="6"/>
      <c r="SZ156" s="6"/>
    </row>
    <row r="157" spans="12:520" x14ac:dyDescent="0.3">
      <c r="O157" s="5"/>
      <c r="R157" s="5"/>
      <c r="S157" s="6"/>
      <c r="T157" s="6"/>
      <c r="U157" s="7"/>
      <c r="W157" s="6"/>
      <c r="X157" s="5"/>
      <c r="Z157" s="5"/>
      <c r="AA157" s="6"/>
      <c r="AB157" s="7"/>
      <c r="AG157" s="5"/>
      <c r="AH157" s="6"/>
      <c r="AR157" s="6"/>
      <c r="AS157" s="7"/>
      <c r="AT157" s="7"/>
      <c r="AW157" s="5"/>
      <c r="AY157" s="6"/>
      <c r="BC157" s="6"/>
      <c r="BD157" s="6"/>
      <c r="BI157" s="6"/>
      <c r="BT157" s="6"/>
      <c r="BU157" s="6"/>
      <c r="BZ157" s="6"/>
      <c r="CD157" s="6"/>
      <c r="CE157" s="6"/>
      <c r="CJ157" s="6"/>
      <c r="CO157" s="8"/>
      <c r="CP157" s="8"/>
      <c r="CQ157" s="8"/>
      <c r="CU157" s="6"/>
      <c r="CV157" s="6"/>
      <c r="DA157" s="6"/>
      <c r="DE157" s="6"/>
      <c r="DF157" s="6"/>
      <c r="DK157" s="6"/>
      <c r="DV157" s="6"/>
      <c r="DW157" s="6"/>
      <c r="EB157" s="6"/>
      <c r="EF157" s="6"/>
      <c r="EG157" s="6"/>
      <c r="EL157" s="6"/>
      <c r="EW157" s="6"/>
      <c r="EX157" s="6"/>
      <c r="FC157" s="6"/>
      <c r="FG157" s="6"/>
      <c r="FH157" s="6"/>
      <c r="FM157" s="6"/>
      <c r="FX157" s="6"/>
      <c r="FY157" s="6"/>
      <c r="GD157" s="6"/>
      <c r="GH157" s="6"/>
      <c r="GI157" s="6"/>
      <c r="GN157" s="6"/>
      <c r="GY157" s="6"/>
      <c r="GZ157" s="6"/>
      <c r="HE157" s="6"/>
      <c r="HI157" s="6"/>
      <c r="HJ157" s="6"/>
      <c r="HO157" s="6"/>
      <c r="HZ157" s="6"/>
      <c r="IA157" s="6"/>
      <c r="IF157" s="6"/>
      <c r="IJ157" s="6"/>
      <c r="IK157" s="6"/>
      <c r="IP157" s="6"/>
      <c r="JA157" s="6"/>
      <c r="JB157" s="6"/>
      <c r="JG157" s="6"/>
      <c r="JK157" s="6"/>
      <c r="JL157" s="6"/>
      <c r="JQ157" s="6"/>
      <c r="KB157" s="6"/>
      <c r="KC157" s="6"/>
      <c r="KH157" s="6"/>
      <c r="KL157" s="6"/>
      <c r="KM157" s="6"/>
      <c r="KR157" s="6"/>
      <c r="MD157" s="6"/>
      <c r="ME157" s="6"/>
      <c r="MJ157" s="6"/>
      <c r="MN157" s="6"/>
      <c r="MO157" s="6"/>
      <c r="MT157" s="6"/>
      <c r="NE157" s="6"/>
      <c r="NF157" s="6"/>
      <c r="NK157" s="6"/>
      <c r="NO157" s="6"/>
      <c r="NP157" s="6"/>
      <c r="NU157" s="6"/>
      <c r="OF157" s="6"/>
      <c r="OG157" s="6"/>
      <c r="OL157" s="6"/>
      <c r="OP157" s="6"/>
      <c r="OQ157" s="6"/>
      <c r="OV157" s="6"/>
      <c r="PG157" s="6"/>
      <c r="PH157" s="6"/>
      <c r="PM157" s="6"/>
      <c r="PQ157" s="6"/>
      <c r="PR157" s="6"/>
      <c r="PW157" s="6"/>
      <c r="QH157" s="6"/>
      <c r="QI157" s="6"/>
      <c r="QN157" s="6"/>
      <c r="QR157" s="6"/>
      <c r="QS157" s="6"/>
      <c r="QX157" s="6"/>
      <c r="RI157" s="6"/>
      <c r="RJ157" s="6"/>
      <c r="RO157" s="6"/>
      <c r="RS157" s="6"/>
      <c r="RT157" s="6"/>
      <c r="RY157" s="6"/>
      <c r="SJ157" s="6"/>
      <c r="SK157" s="6"/>
      <c r="SP157" s="6"/>
      <c r="ST157" s="6"/>
      <c r="SU157" s="6"/>
      <c r="SZ157" s="6"/>
    </row>
    <row r="158" spans="12:520" x14ac:dyDescent="0.3">
      <c r="O158" s="5"/>
      <c r="R158" s="5"/>
      <c r="S158" s="6"/>
      <c r="T158" s="6"/>
      <c r="U158" s="7"/>
      <c r="W158" s="6"/>
      <c r="X158" s="5"/>
      <c r="Z158" s="5"/>
      <c r="AA158" s="6"/>
      <c r="AB158" s="7"/>
      <c r="AG158" s="5"/>
      <c r="AH158" s="6"/>
      <c r="AQ158" s="5"/>
      <c r="AR158" s="5"/>
      <c r="AS158" s="6"/>
      <c r="AT158" s="7"/>
      <c r="AW158" s="5"/>
      <c r="AY158" s="6"/>
      <c r="BC158" s="6"/>
      <c r="BD158" s="6"/>
      <c r="BI158" s="6"/>
      <c r="BT158" s="6"/>
      <c r="BU158" s="6"/>
      <c r="BZ158" s="6"/>
      <c r="CD158" s="6"/>
      <c r="CE158" s="6"/>
      <c r="CJ158" s="6"/>
      <c r="DV158" s="6"/>
      <c r="DW158" s="6"/>
      <c r="EB158" s="6"/>
      <c r="EF158" s="6"/>
      <c r="EG158" s="6"/>
      <c r="EL158" s="6"/>
      <c r="EW158" s="6"/>
      <c r="EX158" s="6"/>
      <c r="FC158" s="6"/>
      <c r="FG158" s="6"/>
      <c r="FH158" s="6"/>
      <c r="FM158" s="6"/>
      <c r="FX158" s="6"/>
      <c r="FY158" s="6"/>
      <c r="GD158" s="6"/>
      <c r="GH158" s="6"/>
      <c r="GI158" s="6"/>
      <c r="GN158" s="6"/>
      <c r="GY158" s="6"/>
      <c r="GZ158" s="6"/>
      <c r="HE158" s="6"/>
      <c r="HI158" s="6"/>
      <c r="HJ158" s="6"/>
      <c r="HO158" s="6"/>
      <c r="HZ158" s="6"/>
      <c r="IA158" s="6"/>
      <c r="IF158" s="6"/>
      <c r="IJ158" s="6"/>
      <c r="IK158" s="6"/>
      <c r="IP158" s="6"/>
      <c r="JA158" s="6"/>
      <c r="JB158" s="6"/>
      <c r="JG158" s="6"/>
      <c r="JK158" s="6"/>
      <c r="JL158" s="6"/>
      <c r="JQ158" s="6"/>
      <c r="KB158" s="6"/>
      <c r="KC158" s="6"/>
      <c r="KH158" s="6"/>
      <c r="KL158" s="6"/>
      <c r="KM158" s="6"/>
      <c r="KR158" s="6"/>
      <c r="MD158" s="6"/>
      <c r="ME158" s="6"/>
      <c r="MJ158" s="6"/>
      <c r="MN158" s="6"/>
      <c r="MO158" s="6"/>
      <c r="MT158" s="6"/>
      <c r="NE158" s="6"/>
      <c r="NF158" s="6"/>
      <c r="NK158" s="6"/>
      <c r="NO158" s="6"/>
      <c r="NP158" s="6"/>
      <c r="NU158" s="6"/>
      <c r="OF158" s="6"/>
      <c r="OG158" s="6"/>
      <c r="OL158" s="6"/>
      <c r="OP158" s="6"/>
      <c r="OQ158" s="6"/>
      <c r="OV158" s="6"/>
      <c r="PG158" s="6"/>
      <c r="PH158" s="6"/>
      <c r="PM158" s="6"/>
      <c r="PQ158" s="6"/>
      <c r="PR158" s="6"/>
      <c r="PW158" s="6"/>
      <c r="QH158" s="6"/>
      <c r="QI158" s="6"/>
      <c r="QN158" s="6"/>
      <c r="QR158" s="6"/>
      <c r="QS158" s="6"/>
      <c r="QX158" s="6"/>
      <c r="RI158" s="6"/>
      <c r="RJ158" s="6"/>
      <c r="RO158" s="6"/>
      <c r="RS158" s="6"/>
      <c r="RT158" s="6"/>
      <c r="RY158" s="6"/>
      <c r="SJ158" s="6"/>
      <c r="SK158" s="6"/>
      <c r="SP158" s="6"/>
      <c r="ST158" s="6"/>
      <c r="SU158" s="6"/>
      <c r="SZ158" s="6"/>
    </row>
    <row r="159" spans="12:520" x14ac:dyDescent="0.3">
      <c r="O159" s="5"/>
      <c r="R159" s="5"/>
      <c r="S159" s="6"/>
      <c r="T159" s="6"/>
      <c r="U159" s="7"/>
      <c r="W159" s="6"/>
      <c r="X159" s="5"/>
      <c r="Z159" s="5"/>
      <c r="AA159" s="6"/>
      <c r="AB159" s="7"/>
      <c r="AG159" s="5"/>
      <c r="AH159" s="6"/>
      <c r="AQ159" s="5"/>
      <c r="AR159" s="5"/>
      <c r="AS159" s="6"/>
      <c r="AT159" s="7"/>
      <c r="AW159" s="5"/>
      <c r="AY159" s="6"/>
      <c r="BC159" s="6"/>
      <c r="BD159" s="6"/>
      <c r="BI159" s="6"/>
      <c r="BN159" s="8"/>
      <c r="BO159" s="8"/>
      <c r="BP159" s="8"/>
      <c r="BT159" s="6"/>
      <c r="BU159" s="6"/>
      <c r="BZ159" s="6"/>
      <c r="CD159" s="6"/>
      <c r="CE159" s="6"/>
      <c r="CJ159" s="6"/>
      <c r="DV159" s="6"/>
      <c r="DW159" s="6"/>
      <c r="EB159" s="6"/>
      <c r="EF159" s="6"/>
      <c r="EG159" s="6"/>
      <c r="EL159" s="6"/>
      <c r="EW159" s="6"/>
      <c r="EX159" s="6"/>
      <c r="FC159" s="6"/>
      <c r="FG159" s="6"/>
      <c r="FH159" s="6"/>
      <c r="FM159" s="6"/>
      <c r="FX159" s="6"/>
      <c r="FY159" s="6"/>
      <c r="GD159" s="6"/>
      <c r="GH159" s="6"/>
      <c r="GI159" s="6"/>
      <c r="GN159" s="6"/>
      <c r="GY159" s="6"/>
      <c r="GZ159" s="6"/>
      <c r="HE159" s="6"/>
      <c r="HI159" s="6"/>
      <c r="HJ159" s="6"/>
      <c r="HO159" s="6"/>
      <c r="HZ159" s="6"/>
      <c r="IA159" s="6"/>
      <c r="IF159" s="6"/>
      <c r="IJ159" s="6"/>
      <c r="IK159" s="6"/>
      <c r="IP159" s="6"/>
      <c r="JA159" s="6"/>
      <c r="JB159" s="6"/>
      <c r="JG159" s="6"/>
      <c r="JK159" s="6"/>
      <c r="JL159" s="6"/>
      <c r="JQ159" s="6"/>
      <c r="KB159" s="6"/>
      <c r="KC159" s="6"/>
      <c r="KH159" s="6"/>
      <c r="KL159" s="6"/>
      <c r="KM159" s="6"/>
      <c r="KR159" s="6"/>
      <c r="MD159" s="6"/>
      <c r="ME159" s="6"/>
      <c r="MJ159" s="6"/>
      <c r="MN159" s="6"/>
      <c r="MO159" s="6"/>
      <c r="MT159" s="6"/>
      <c r="NE159" s="6"/>
      <c r="NF159" s="6"/>
      <c r="NK159" s="6"/>
      <c r="NO159" s="6"/>
      <c r="NP159" s="6"/>
      <c r="NU159" s="6"/>
      <c r="OF159" s="6"/>
      <c r="OG159" s="6"/>
      <c r="OL159" s="6"/>
      <c r="OP159" s="6"/>
      <c r="OQ159" s="6"/>
      <c r="OV159" s="6"/>
      <c r="PG159" s="6"/>
      <c r="PH159" s="6"/>
      <c r="PM159" s="6"/>
      <c r="PQ159" s="6"/>
      <c r="PR159" s="6"/>
      <c r="PW159" s="6"/>
      <c r="QH159" s="6"/>
      <c r="QI159" s="6"/>
      <c r="QN159" s="6"/>
      <c r="QR159" s="6"/>
      <c r="QS159" s="6"/>
      <c r="QX159" s="6"/>
      <c r="RI159" s="6"/>
      <c r="RJ159" s="6"/>
      <c r="RO159" s="6"/>
      <c r="RS159" s="6"/>
      <c r="RT159" s="6"/>
      <c r="RY159" s="6"/>
      <c r="SJ159" s="6"/>
      <c r="SK159" s="6"/>
      <c r="SP159" s="6"/>
      <c r="ST159" s="6"/>
      <c r="SU159" s="6"/>
      <c r="SZ159" s="6"/>
    </row>
    <row r="160" spans="12:520" x14ac:dyDescent="0.3">
      <c r="O160" s="5"/>
      <c r="R160" s="5"/>
      <c r="S160" s="6"/>
      <c r="T160" s="6"/>
      <c r="U160" s="7"/>
      <c r="W160" s="6"/>
      <c r="X160" s="5"/>
      <c r="Z160" s="5"/>
      <c r="AA160" s="6"/>
      <c r="AB160" s="7"/>
      <c r="AG160" s="5"/>
      <c r="AH160" s="6"/>
      <c r="AQ160" s="5"/>
      <c r="AR160" s="5"/>
      <c r="AS160" s="6"/>
      <c r="AT160" s="7"/>
      <c r="AW160" s="5"/>
      <c r="AY160" s="6"/>
      <c r="BC160" s="6"/>
      <c r="BD160" s="6"/>
      <c r="BI160" s="6"/>
      <c r="DV160" s="6"/>
      <c r="DW160" s="6"/>
      <c r="EB160" s="6"/>
      <c r="EF160" s="6"/>
      <c r="EG160" s="6"/>
      <c r="EL160" s="6"/>
      <c r="EW160" s="6"/>
      <c r="EX160" s="6"/>
      <c r="FC160" s="6"/>
      <c r="FG160" s="6"/>
      <c r="FH160" s="6"/>
      <c r="FM160" s="6"/>
      <c r="FX160" s="6"/>
      <c r="FY160" s="6"/>
      <c r="GD160" s="6"/>
      <c r="GH160" s="6"/>
      <c r="GI160" s="6"/>
      <c r="GN160" s="6"/>
      <c r="GY160" s="6"/>
      <c r="GZ160" s="6"/>
      <c r="HE160" s="6"/>
      <c r="HI160" s="6"/>
      <c r="HJ160" s="6"/>
      <c r="HO160" s="6"/>
      <c r="HZ160" s="6"/>
      <c r="IA160" s="6"/>
      <c r="IF160" s="6"/>
      <c r="IJ160" s="6"/>
      <c r="IK160" s="6"/>
      <c r="IP160" s="6"/>
      <c r="JA160" s="6"/>
      <c r="JB160" s="6"/>
      <c r="JG160" s="6"/>
      <c r="JK160" s="6"/>
      <c r="JL160" s="6"/>
      <c r="JQ160" s="6"/>
      <c r="KB160" s="6"/>
      <c r="KC160" s="6"/>
      <c r="KH160" s="6"/>
      <c r="KL160" s="6"/>
      <c r="KM160" s="6"/>
      <c r="KR160" s="6"/>
      <c r="MD160" s="6"/>
      <c r="ME160" s="6"/>
      <c r="MJ160" s="6"/>
      <c r="MN160" s="6"/>
      <c r="MO160" s="6"/>
      <c r="MT160" s="6"/>
      <c r="NE160" s="6"/>
      <c r="NF160" s="6"/>
      <c r="NK160" s="6"/>
      <c r="NO160" s="6"/>
      <c r="NP160" s="6"/>
      <c r="NU160" s="6"/>
      <c r="OF160" s="6"/>
      <c r="OG160" s="6"/>
      <c r="OL160" s="6"/>
      <c r="OP160" s="6"/>
      <c r="OQ160" s="6"/>
      <c r="OV160" s="6"/>
      <c r="PG160" s="6"/>
      <c r="PH160" s="6"/>
      <c r="PM160" s="6"/>
      <c r="PQ160" s="6"/>
      <c r="PR160" s="6"/>
      <c r="PW160" s="6"/>
      <c r="QH160" s="6"/>
      <c r="QI160" s="6"/>
      <c r="QN160" s="6"/>
      <c r="QR160" s="6"/>
      <c r="QS160" s="6"/>
      <c r="QX160" s="6"/>
      <c r="RI160" s="6"/>
      <c r="RJ160" s="6"/>
      <c r="RO160" s="6"/>
      <c r="RS160" s="6"/>
      <c r="RT160" s="6"/>
      <c r="RY160" s="6"/>
      <c r="SJ160" s="6"/>
      <c r="SK160" s="6"/>
      <c r="SP160" s="6"/>
      <c r="ST160" s="6"/>
      <c r="SU160" s="6"/>
      <c r="SZ160" s="6"/>
    </row>
    <row r="161" spans="12:520" x14ac:dyDescent="0.3">
      <c r="R161" s="5"/>
      <c r="S161" s="6"/>
      <c r="T161" s="6"/>
      <c r="U161" s="7"/>
      <c r="W161" s="6"/>
      <c r="Z161" s="5"/>
      <c r="AA161" s="6"/>
      <c r="AB161" s="7"/>
      <c r="AG161" s="5"/>
      <c r="AH161" s="6"/>
      <c r="AQ161" s="5"/>
      <c r="AR161" s="5"/>
      <c r="AS161" s="6"/>
      <c r="AT161" s="7"/>
      <c r="AW161" s="5"/>
      <c r="AY161" s="6"/>
      <c r="BC161" s="6"/>
      <c r="BD161" s="6"/>
      <c r="BI161" s="6"/>
      <c r="DP161" s="8"/>
      <c r="DQ161" s="8"/>
      <c r="DR161" s="8"/>
      <c r="DV161" s="6"/>
      <c r="DW161" s="6"/>
      <c r="EB161" s="6"/>
      <c r="EF161" s="6"/>
      <c r="EG161" s="6"/>
      <c r="EL161" s="6"/>
      <c r="EW161" s="6"/>
      <c r="EX161" s="6"/>
      <c r="FC161" s="6"/>
      <c r="FG161" s="6"/>
      <c r="FH161" s="6"/>
      <c r="FM161" s="6"/>
      <c r="FX161" s="6"/>
      <c r="FY161" s="6"/>
      <c r="GD161" s="6"/>
      <c r="GH161" s="6"/>
      <c r="GI161" s="6"/>
      <c r="GN161" s="6"/>
      <c r="GY161" s="6"/>
      <c r="GZ161" s="6"/>
      <c r="HE161" s="6"/>
      <c r="HI161" s="6"/>
      <c r="HJ161" s="6"/>
      <c r="HO161" s="6"/>
      <c r="HZ161" s="6"/>
      <c r="IA161" s="6"/>
      <c r="IF161" s="6"/>
      <c r="IJ161" s="6"/>
      <c r="IK161" s="6"/>
      <c r="IP161" s="6"/>
      <c r="JA161" s="6"/>
      <c r="JB161" s="6"/>
      <c r="JG161" s="6"/>
      <c r="JK161" s="6"/>
      <c r="JL161" s="6"/>
      <c r="JQ161" s="6"/>
      <c r="KB161" s="6"/>
      <c r="KC161" s="6"/>
      <c r="KH161" s="6"/>
      <c r="KL161" s="6"/>
      <c r="KM161" s="6"/>
      <c r="KR161" s="6"/>
      <c r="MD161" s="6"/>
      <c r="ME161" s="6"/>
      <c r="MJ161" s="6"/>
      <c r="MN161" s="6"/>
      <c r="MO161" s="6"/>
      <c r="MT161" s="6"/>
      <c r="NE161" s="6"/>
      <c r="NF161" s="6"/>
      <c r="NK161" s="6"/>
      <c r="NO161" s="6"/>
      <c r="NP161" s="6"/>
      <c r="NU161" s="6"/>
      <c r="OF161" s="6"/>
      <c r="OG161" s="6"/>
      <c r="OL161" s="6"/>
      <c r="OP161" s="6"/>
      <c r="OQ161" s="6"/>
      <c r="OV161" s="6"/>
      <c r="PG161" s="6"/>
      <c r="PH161" s="6"/>
      <c r="PM161" s="6"/>
      <c r="PQ161" s="6"/>
      <c r="PR161" s="6"/>
      <c r="PW161" s="6"/>
      <c r="QH161" s="6"/>
      <c r="QI161" s="6"/>
      <c r="QN161" s="6"/>
      <c r="QR161" s="6"/>
      <c r="QS161" s="6"/>
      <c r="QX161" s="6"/>
      <c r="RI161" s="6"/>
      <c r="RJ161" s="6"/>
      <c r="RO161" s="6"/>
      <c r="RS161" s="6"/>
      <c r="RT161" s="6"/>
      <c r="RY161" s="6"/>
      <c r="SJ161" s="6"/>
      <c r="SK161" s="6"/>
      <c r="SP161" s="6"/>
      <c r="ST161" s="6"/>
      <c r="SU161" s="6"/>
      <c r="SZ161" s="6"/>
    </row>
    <row r="162" spans="12:520" x14ac:dyDescent="0.3">
      <c r="R162" s="5"/>
      <c r="S162" s="6"/>
      <c r="T162" s="6"/>
      <c r="U162" s="7"/>
      <c r="W162" s="7"/>
      <c r="Z162" s="5"/>
      <c r="AA162" s="6"/>
      <c r="AB162" s="7"/>
      <c r="AG162" s="5"/>
      <c r="AH162" s="7"/>
      <c r="AQ162" s="5"/>
      <c r="AR162" s="5"/>
      <c r="AS162" s="6"/>
      <c r="AT162" s="7"/>
      <c r="AW162" s="5"/>
      <c r="AY162" s="6"/>
      <c r="BC162" s="6"/>
      <c r="BD162" s="6"/>
      <c r="BI162" s="6"/>
      <c r="EW162" s="6"/>
      <c r="EX162" s="6"/>
      <c r="FC162" s="6"/>
      <c r="FG162" s="6"/>
      <c r="FH162" s="6"/>
      <c r="FM162" s="6"/>
      <c r="FX162" s="6"/>
      <c r="FY162" s="6"/>
      <c r="GD162" s="6"/>
      <c r="GH162" s="6"/>
      <c r="GI162" s="6"/>
      <c r="GN162" s="6"/>
      <c r="GY162" s="6"/>
      <c r="GZ162" s="6"/>
      <c r="HE162" s="6"/>
      <c r="HI162" s="6"/>
      <c r="HJ162" s="6"/>
      <c r="HO162" s="6"/>
      <c r="HZ162" s="6"/>
      <c r="IA162" s="6"/>
      <c r="IF162" s="6"/>
      <c r="IJ162" s="6"/>
      <c r="IK162" s="6"/>
      <c r="IP162" s="6"/>
      <c r="JA162" s="6"/>
      <c r="JB162" s="6"/>
      <c r="JG162" s="6"/>
      <c r="JK162" s="6"/>
      <c r="JL162" s="6"/>
      <c r="JQ162" s="6"/>
      <c r="KB162" s="6"/>
      <c r="KC162" s="6"/>
      <c r="KH162" s="6"/>
      <c r="KL162" s="6"/>
      <c r="KM162" s="6"/>
      <c r="KR162" s="6"/>
      <c r="MD162" s="6"/>
      <c r="ME162" s="6"/>
      <c r="MJ162" s="6"/>
      <c r="MN162" s="6"/>
      <c r="MO162" s="6"/>
      <c r="MT162" s="6"/>
      <c r="NE162" s="6"/>
      <c r="NF162" s="6"/>
      <c r="NK162" s="6"/>
      <c r="NO162" s="6"/>
      <c r="NP162" s="6"/>
      <c r="NU162" s="6"/>
      <c r="OF162" s="6"/>
      <c r="OG162" s="6"/>
      <c r="OL162" s="6"/>
      <c r="OP162" s="6"/>
      <c r="OQ162" s="6"/>
      <c r="OV162" s="6"/>
      <c r="PG162" s="6"/>
      <c r="PH162" s="6"/>
      <c r="PM162" s="6"/>
      <c r="PQ162" s="6"/>
      <c r="PR162" s="6"/>
      <c r="PW162" s="6"/>
      <c r="QH162" s="6"/>
      <c r="QI162" s="6"/>
      <c r="QN162" s="6"/>
      <c r="QR162" s="6"/>
      <c r="QS162" s="6"/>
      <c r="QX162" s="6"/>
      <c r="RI162" s="6"/>
      <c r="RJ162" s="6"/>
      <c r="RO162" s="6"/>
      <c r="RS162" s="6"/>
      <c r="RT162" s="6"/>
      <c r="RY162" s="6"/>
      <c r="SJ162" s="6"/>
      <c r="SK162" s="6"/>
      <c r="SP162" s="6"/>
      <c r="ST162" s="6"/>
      <c r="SU162" s="6"/>
      <c r="SZ162" s="6"/>
    </row>
    <row r="163" spans="12:520" x14ac:dyDescent="0.3">
      <c r="R163" s="5"/>
      <c r="S163" s="6"/>
      <c r="T163" s="6"/>
      <c r="U163" s="7"/>
      <c r="W163" s="6"/>
      <c r="Z163" s="5"/>
      <c r="AA163" s="6"/>
      <c r="AB163" s="7"/>
      <c r="AG163" s="5"/>
      <c r="AH163" s="6"/>
      <c r="AQ163" s="5"/>
      <c r="AR163" s="5"/>
      <c r="AS163" s="6"/>
      <c r="AT163" s="7"/>
      <c r="AW163" s="5"/>
      <c r="AY163" s="7"/>
      <c r="BC163" s="6"/>
      <c r="BD163" s="6"/>
      <c r="BI163" s="6"/>
      <c r="EQ163" s="8"/>
      <c r="ER163" s="8"/>
      <c r="ES163" s="8"/>
      <c r="EW163" s="6"/>
      <c r="EX163" s="6"/>
      <c r="FC163" s="6"/>
      <c r="FG163" s="6"/>
      <c r="FH163" s="6"/>
      <c r="FM163" s="6"/>
      <c r="FX163" s="6"/>
      <c r="FY163" s="6"/>
      <c r="GD163" s="6"/>
      <c r="GH163" s="6"/>
      <c r="GI163" s="6"/>
      <c r="GN163" s="6"/>
      <c r="GY163" s="6"/>
      <c r="GZ163" s="6"/>
      <c r="HE163" s="6"/>
      <c r="HI163" s="6"/>
      <c r="HJ163" s="6"/>
      <c r="HO163" s="6"/>
      <c r="HZ163" s="6"/>
      <c r="IA163" s="6"/>
      <c r="IF163" s="6"/>
      <c r="IJ163" s="6"/>
      <c r="IK163" s="6"/>
      <c r="IP163" s="6"/>
      <c r="JA163" s="6"/>
      <c r="JB163" s="6"/>
      <c r="JG163" s="6"/>
      <c r="JK163" s="6"/>
      <c r="JL163" s="6"/>
      <c r="JQ163" s="6"/>
      <c r="KB163" s="6"/>
      <c r="KC163" s="6"/>
      <c r="KH163" s="6"/>
      <c r="KL163" s="6"/>
      <c r="KM163" s="6"/>
      <c r="KR163" s="6"/>
      <c r="MD163" s="6"/>
      <c r="ME163" s="6"/>
      <c r="MJ163" s="6"/>
      <c r="MN163" s="6"/>
      <c r="MO163" s="6"/>
      <c r="MT163" s="6"/>
      <c r="NE163" s="6"/>
      <c r="NF163" s="6"/>
      <c r="NK163" s="6"/>
      <c r="NO163" s="6"/>
      <c r="NP163" s="6"/>
      <c r="NU163" s="6"/>
      <c r="OF163" s="6"/>
      <c r="OG163" s="6"/>
      <c r="OL163" s="6"/>
      <c r="OP163" s="6"/>
      <c r="OQ163" s="6"/>
      <c r="OV163" s="6"/>
      <c r="PG163" s="6"/>
      <c r="PH163" s="6"/>
      <c r="PM163" s="6"/>
      <c r="PQ163" s="6"/>
      <c r="PR163" s="6"/>
      <c r="PW163" s="6"/>
      <c r="QH163" s="6"/>
      <c r="QI163" s="6"/>
      <c r="QN163" s="6"/>
      <c r="QR163" s="6"/>
      <c r="QS163" s="6"/>
      <c r="QX163" s="6"/>
      <c r="RI163" s="6"/>
      <c r="RJ163" s="6"/>
      <c r="RO163" s="6"/>
      <c r="RS163" s="6"/>
      <c r="RT163" s="6"/>
      <c r="RY163" s="6"/>
      <c r="SJ163" s="6"/>
      <c r="SK163" s="6"/>
      <c r="SP163" s="6"/>
      <c r="ST163" s="6"/>
      <c r="SU163" s="6"/>
      <c r="SZ163" s="6"/>
    </row>
    <row r="164" spans="12:520" x14ac:dyDescent="0.3">
      <c r="L164" s="8"/>
      <c r="M164" s="8"/>
      <c r="N164" s="8"/>
      <c r="R164" s="5"/>
      <c r="S164" s="6"/>
      <c r="T164" s="6"/>
      <c r="U164" s="7"/>
      <c r="W164" s="6"/>
      <c r="Z164" s="5"/>
      <c r="AA164" s="6"/>
      <c r="AB164" s="7"/>
      <c r="AG164" s="5"/>
      <c r="AH164" s="6"/>
      <c r="AQ164" s="5"/>
      <c r="AR164" s="5"/>
      <c r="AS164" s="6"/>
      <c r="AT164" s="7"/>
      <c r="AW164" s="5"/>
      <c r="AY164" s="6"/>
      <c r="BC164" s="6"/>
      <c r="BD164" s="6"/>
      <c r="BI164" s="6"/>
      <c r="FR164" s="8"/>
      <c r="FS164" s="8"/>
      <c r="FT164" s="8"/>
      <c r="FX164" s="6"/>
      <c r="FY164" s="6"/>
      <c r="GD164" s="6"/>
      <c r="GH164" s="6"/>
      <c r="GI164" s="6"/>
      <c r="GN164" s="6"/>
      <c r="GS164" s="8"/>
      <c r="GT164" s="8"/>
      <c r="GU164" s="8"/>
      <c r="GY164" s="6"/>
      <c r="GZ164" s="6"/>
      <c r="HE164" s="6"/>
      <c r="HI164" s="6"/>
      <c r="HJ164" s="6"/>
      <c r="HO164" s="6"/>
      <c r="HT164" s="8"/>
      <c r="HU164" s="8"/>
      <c r="HV164" s="8"/>
      <c r="HZ164" s="6"/>
      <c r="IA164" s="6"/>
      <c r="IF164" s="6"/>
      <c r="IJ164" s="6"/>
      <c r="IK164" s="6"/>
      <c r="IP164" s="6"/>
      <c r="IU164" s="8"/>
      <c r="IV164" s="8"/>
      <c r="IW164" s="8"/>
      <c r="JA164" s="6"/>
      <c r="JB164" s="6"/>
      <c r="JG164" s="6"/>
      <c r="JK164" s="6"/>
      <c r="JL164" s="6"/>
      <c r="JQ164" s="6"/>
      <c r="JV164" s="8"/>
      <c r="JW164" s="8"/>
      <c r="JX164" s="8"/>
      <c r="KB164" s="6"/>
      <c r="KC164" s="6"/>
      <c r="KH164" s="6"/>
      <c r="KL164" s="6"/>
      <c r="KM164" s="6"/>
      <c r="KR164" s="6"/>
      <c r="LX164" s="8"/>
      <c r="LY164" s="8"/>
      <c r="LZ164" s="8"/>
      <c r="MD164" s="6"/>
      <c r="ME164" s="6"/>
      <c r="MJ164" s="6"/>
      <c r="MN164" s="6"/>
      <c r="MO164" s="6"/>
      <c r="MT164" s="6"/>
      <c r="MY164" s="8"/>
      <c r="MZ164" s="8"/>
      <c r="NA164" s="8"/>
      <c r="NE164" s="6"/>
      <c r="NF164" s="6"/>
      <c r="NK164" s="6"/>
      <c r="NO164" s="6"/>
      <c r="NP164" s="6"/>
      <c r="NU164" s="6"/>
      <c r="NZ164" s="8"/>
      <c r="OA164" s="8"/>
      <c r="OB164" s="8"/>
      <c r="OF164" s="6"/>
      <c r="OG164" s="6"/>
      <c r="OL164" s="6"/>
      <c r="OP164" s="6"/>
      <c r="OQ164" s="6"/>
      <c r="OV164" s="6"/>
      <c r="PA164" s="8"/>
      <c r="PB164" s="8"/>
      <c r="PC164" s="8"/>
      <c r="PG164" s="6"/>
      <c r="PH164" s="6"/>
      <c r="PM164" s="6"/>
      <c r="PQ164" s="6"/>
      <c r="PR164" s="6"/>
      <c r="PW164" s="6"/>
      <c r="QB164" s="8"/>
      <c r="QC164" s="8"/>
      <c r="QD164" s="8"/>
      <c r="QH164" s="6"/>
      <c r="QI164" s="6"/>
      <c r="QN164" s="6"/>
      <c r="QR164" s="6"/>
      <c r="QS164" s="6"/>
      <c r="QX164" s="6"/>
      <c r="RC164" s="8"/>
      <c r="RD164" s="8"/>
      <c r="RE164" s="8"/>
      <c r="RI164" s="6"/>
      <c r="RJ164" s="6"/>
      <c r="RO164" s="6"/>
      <c r="RS164" s="6"/>
      <c r="RT164" s="6"/>
      <c r="RY164" s="6"/>
      <c r="SD164" s="8"/>
      <c r="SE164" s="8"/>
      <c r="SF164" s="8"/>
      <c r="SJ164" s="6"/>
      <c r="SK164" s="6"/>
      <c r="SP164" s="6"/>
      <c r="ST164" s="6"/>
      <c r="SU164" s="6"/>
      <c r="SZ164" s="6"/>
    </row>
    <row r="165" spans="12:520" x14ac:dyDescent="0.3">
      <c r="AQ165" s="5"/>
      <c r="AR165" s="5"/>
      <c r="AS165" s="6"/>
    </row>
    <row r="166" spans="12:520" x14ac:dyDescent="0.3">
      <c r="AQ166" s="5"/>
      <c r="AR166" s="5"/>
      <c r="AS166" s="6"/>
    </row>
    <row r="167" spans="12:520" x14ac:dyDescent="0.3">
      <c r="AQ167" s="5"/>
      <c r="AR167" s="5"/>
      <c r="AS167" s="6"/>
    </row>
    <row r="168" spans="12:520" x14ac:dyDescent="0.3">
      <c r="AM168" s="8"/>
      <c r="AN168" s="8"/>
      <c r="AO168" s="8"/>
      <c r="AQ168" s="5"/>
      <c r="AR168" s="5"/>
      <c r="AS168" s="6"/>
    </row>
    <row r="185" spans="12:520" x14ac:dyDescent="0.3">
      <c r="R185" s="6"/>
      <c r="S185" s="7"/>
      <c r="T185" s="7"/>
      <c r="Z185" s="6"/>
      <c r="AA185" s="7"/>
      <c r="AG185" s="6"/>
      <c r="AX185" s="6"/>
      <c r="BB185" s="6"/>
      <c r="BC185" s="7"/>
      <c r="BH185" s="6"/>
      <c r="BS185" s="6"/>
      <c r="BT185" s="7"/>
      <c r="BY185" s="6"/>
      <c r="CC185" s="6"/>
      <c r="CD185" s="7"/>
      <c r="CI185" s="6"/>
      <c r="CT185" s="6"/>
      <c r="CU185" s="7"/>
      <c r="CZ185" s="6"/>
      <c r="DD185" s="6"/>
      <c r="DE185" s="7"/>
      <c r="DJ185" s="6"/>
      <c r="DU185" s="6"/>
      <c r="DV185" s="7"/>
      <c r="EA185" s="6"/>
      <c r="EE185" s="6"/>
      <c r="EF185" s="7"/>
      <c r="EK185" s="6"/>
      <c r="EV185" s="6"/>
      <c r="EW185" s="7"/>
      <c r="FB185" s="6"/>
      <c r="FF185" s="6"/>
      <c r="FG185" s="7"/>
      <c r="FL185" s="6"/>
      <c r="FW185" s="6"/>
      <c r="FX185" s="7"/>
      <c r="GC185" s="6"/>
      <c r="GG185" s="6"/>
      <c r="GH185" s="7"/>
      <c r="GM185" s="6"/>
      <c r="GX185" s="6"/>
      <c r="GY185" s="7"/>
      <c r="HD185" s="6"/>
      <c r="HH185" s="6"/>
      <c r="HI185" s="7"/>
      <c r="HN185" s="6"/>
      <c r="HY185" s="6"/>
      <c r="HZ185" s="7"/>
      <c r="IE185" s="6"/>
      <c r="II185" s="6"/>
      <c r="IJ185" s="7"/>
      <c r="IO185" s="6"/>
      <c r="IZ185" s="6"/>
      <c r="JA185" s="7"/>
      <c r="JF185" s="6"/>
      <c r="JJ185" s="6"/>
      <c r="JK185" s="7"/>
      <c r="JP185" s="6"/>
      <c r="KA185" s="6"/>
      <c r="KB185" s="7"/>
      <c r="KG185" s="6"/>
      <c r="KK185" s="6"/>
      <c r="KL185" s="7"/>
      <c r="KQ185" s="6"/>
      <c r="LB185" s="6"/>
      <c r="LC185" s="7"/>
      <c r="LH185" s="6"/>
      <c r="LL185" s="6"/>
      <c r="LM185" s="7"/>
      <c r="LR185" s="6"/>
      <c r="MC185" s="6"/>
      <c r="MD185" s="7"/>
      <c r="MI185" s="6"/>
      <c r="MM185" s="6"/>
      <c r="MN185" s="7"/>
      <c r="MS185" s="6"/>
      <c r="ND185" s="6"/>
      <c r="NE185" s="7"/>
      <c r="NJ185" s="6"/>
      <c r="NN185" s="6"/>
      <c r="NO185" s="7"/>
      <c r="NT185" s="6"/>
      <c r="OE185" s="6"/>
      <c r="OF185" s="7"/>
      <c r="OK185" s="6"/>
      <c r="OO185" s="6"/>
      <c r="OP185" s="7"/>
      <c r="OU185" s="6"/>
      <c r="PF185" s="6"/>
      <c r="PG185" s="7"/>
      <c r="PL185" s="6"/>
      <c r="PP185" s="6"/>
      <c r="PQ185" s="7"/>
      <c r="PV185" s="6"/>
      <c r="QG185" s="6"/>
      <c r="QH185" s="7"/>
      <c r="QM185" s="6"/>
      <c r="QQ185" s="6"/>
      <c r="QR185" s="7"/>
      <c r="QW185" s="6"/>
      <c r="RH185" s="6"/>
      <c r="RI185" s="7"/>
      <c r="RN185" s="6"/>
      <c r="RR185" s="6"/>
      <c r="RS185" s="7"/>
      <c r="RX185" s="6"/>
      <c r="SI185" s="6"/>
      <c r="SJ185" s="7"/>
      <c r="SO185" s="6"/>
      <c r="SS185" s="6"/>
      <c r="ST185" s="7"/>
      <c r="SY185" s="6"/>
    </row>
    <row r="186" spans="12:520" x14ac:dyDescent="0.3">
      <c r="L186" s="8"/>
      <c r="M186" s="8"/>
      <c r="N186" s="8"/>
      <c r="S186" s="6"/>
      <c r="T186" s="6"/>
      <c r="U186" s="6"/>
      <c r="W186" s="6"/>
      <c r="AA186" s="6"/>
      <c r="AB186" s="6"/>
      <c r="AH186" s="6"/>
      <c r="AT186" s="6"/>
      <c r="AY186" s="6"/>
      <c r="BC186" s="6"/>
      <c r="BD186" s="6"/>
      <c r="BI186" s="6"/>
      <c r="BT186" s="6"/>
      <c r="BU186" s="6"/>
      <c r="BZ186" s="6"/>
      <c r="CD186" s="6"/>
      <c r="CE186" s="6"/>
      <c r="CJ186" s="6"/>
      <c r="CU186" s="6"/>
      <c r="CV186" s="6"/>
      <c r="DA186" s="6"/>
      <c r="DE186" s="6"/>
      <c r="DF186" s="6"/>
      <c r="DK186" s="6"/>
      <c r="DV186" s="6"/>
      <c r="DW186" s="6"/>
      <c r="EB186" s="6"/>
      <c r="EF186" s="6"/>
      <c r="EG186" s="6"/>
      <c r="EL186" s="6"/>
      <c r="EW186" s="6"/>
      <c r="EX186" s="6"/>
      <c r="FC186" s="6"/>
      <c r="FG186" s="6"/>
      <c r="FH186" s="6"/>
      <c r="FM186" s="6"/>
      <c r="FX186" s="6"/>
      <c r="FY186" s="6"/>
      <c r="GD186" s="6"/>
      <c r="GH186" s="6"/>
      <c r="GI186" s="6"/>
      <c r="GN186" s="6"/>
      <c r="GY186" s="6"/>
      <c r="GZ186" s="6"/>
      <c r="HE186" s="6"/>
      <c r="HI186" s="6"/>
      <c r="HJ186" s="6"/>
      <c r="HO186" s="6"/>
      <c r="HZ186" s="6"/>
      <c r="IA186" s="6"/>
      <c r="IF186" s="6"/>
      <c r="IJ186" s="6"/>
      <c r="IK186" s="6"/>
      <c r="IP186" s="6"/>
      <c r="JA186" s="6"/>
      <c r="JB186" s="6"/>
      <c r="JG186" s="6"/>
      <c r="JK186" s="6"/>
      <c r="JL186" s="6"/>
      <c r="JQ186" s="6"/>
      <c r="KB186" s="6"/>
      <c r="KC186" s="6"/>
      <c r="KH186" s="6"/>
      <c r="KL186" s="6"/>
      <c r="KM186" s="6"/>
      <c r="KR186" s="6"/>
      <c r="LC186" s="6"/>
      <c r="LD186" s="6"/>
      <c r="LI186" s="6"/>
      <c r="LM186" s="6"/>
      <c r="LN186" s="6"/>
      <c r="LS186" s="6"/>
      <c r="MD186" s="6"/>
      <c r="ME186" s="6"/>
      <c r="MJ186" s="6"/>
      <c r="MN186" s="6"/>
      <c r="MO186" s="6"/>
      <c r="MT186" s="6"/>
      <c r="NE186" s="6"/>
      <c r="NF186" s="6"/>
      <c r="NK186" s="6"/>
      <c r="NO186" s="6"/>
      <c r="NP186" s="6"/>
      <c r="NU186" s="6"/>
      <c r="OF186" s="6"/>
      <c r="OG186" s="6"/>
      <c r="OL186" s="6"/>
      <c r="OP186" s="6"/>
      <c r="OQ186" s="6"/>
      <c r="OV186" s="6"/>
      <c r="PG186" s="6"/>
      <c r="PH186" s="6"/>
      <c r="PM186" s="6"/>
      <c r="PQ186" s="6"/>
      <c r="PR186" s="6"/>
      <c r="PW186" s="6"/>
      <c r="QH186" s="6"/>
      <c r="QI186" s="6"/>
      <c r="QN186" s="6"/>
      <c r="QR186" s="6"/>
      <c r="QS186" s="6"/>
      <c r="QX186" s="6"/>
      <c r="RI186" s="6"/>
      <c r="RJ186" s="6"/>
      <c r="RO186" s="6"/>
      <c r="RS186" s="6"/>
      <c r="RT186" s="6"/>
      <c r="RY186" s="6"/>
      <c r="SJ186" s="6"/>
      <c r="SK186" s="6"/>
      <c r="SP186" s="6"/>
      <c r="ST186" s="6"/>
      <c r="SU186" s="6"/>
      <c r="SZ186" s="6"/>
    </row>
    <row r="187" spans="12:520" x14ac:dyDescent="0.3">
      <c r="AT187" s="6"/>
      <c r="AY187" s="6"/>
      <c r="BC187" s="6"/>
      <c r="BD187" s="6"/>
      <c r="BI187" s="6"/>
      <c r="BT187" s="6"/>
      <c r="BU187" s="6"/>
      <c r="BZ187" s="6"/>
      <c r="CD187" s="6"/>
      <c r="CE187" s="6"/>
      <c r="CJ187" s="6"/>
      <c r="CU187" s="6"/>
      <c r="CV187" s="6"/>
      <c r="DA187" s="6"/>
      <c r="DE187" s="6"/>
      <c r="DF187" s="6"/>
      <c r="DK187" s="6"/>
      <c r="DV187" s="6"/>
      <c r="DW187" s="6"/>
      <c r="EB187" s="6"/>
      <c r="EF187" s="6"/>
      <c r="EG187" s="6"/>
      <c r="EL187" s="6"/>
      <c r="EW187" s="6"/>
      <c r="EX187" s="6"/>
      <c r="FC187" s="6"/>
      <c r="FG187" s="6"/>
      <c r="FH187" s="6"/>
      <c r="FM187" s="6"/>
      <c r="FX187" s="6"/>
      <c r="FY187" s="6"/>
      <c r="GD187" s="6"/>
      <c r="GH187" s="6"/>
      <c r="GI187" s="6"/>
      <c r="GN187" s="6"/>
      <c r="GY187" s="6"/>
      <c r="GZ187" s="6"/>
      <c r="HE187" s="6"/>
      <c r="HI187" s="6"/>
      <c r="HJ187" s="6"/>
      <c r="HO187" s="6"/>
      <c r="HZ187" s="6"/>
      <c r="IA187" s="6"/>
      <c r="IF187" s="6"/>
      <c r="IJ187" s="6"/>
      <c r="IK187" s="6"/>
      <c r="IP187" s="6"/>
      <c r="JA187" s="6"/>
      <c r="JB187" s="6"/>
      <c r="JG187" s="6"/>
      <c r="JK187" s="6"/>
      <c r="JL187" s="6"/>
      <c r="JQ187" s="6"/>
      <c r="KB187" s="6"/>
      <c r="KC187" s="6"/>
      <c r="KH187" s="6"/>
      <c r="KL187" s="6"/>
      <c r="KM187" s="6"/>
      <c r="KR187" s="6"/>
      <c r="LC187" s="6"/>
      <c r="LD187" s="6"/>
      <c r="LI187" s="6"/>
      <c r="LM187" s="6"/>
      <c r="LN187" s="6"/>
      <c r="LS187" s="6"/>
      <c r="MD187" s="6"/>
      <c r="ME187" s="6"/>
      <c r="MJ187" s="6"/>
      <c r="MN187" s="6"/>
      <c r="MO187" s="6"/>
      <c r="MT187" s="6"/>
      <c r="NE187" s="6"/>
      <c r="NF187" s="6"/>
      <c r="NK187" s="6"/>
      <c r="NO187" s="6"/>
      <c r="NP187" s="6"/>
      <c r="NU187" s="6"/>
      <c r="OF187" s="6"/>
      <c r="OG187" s="6"/>
      <c r="OL187" s="6"/>
      <c r="OP187" s="6"/>
      <c r="OQ187" s="6"/>
      <c r="OV187" s="6"/>
      <c r="PG187" s="6"/>
      <c r="PH187" s="6"/>
      <c r="PM187" s="6"/>
      <c r="PQ187" s="6"/>
      <c r="PR187" s="6"/>
      <c r="PW187" s="6"/>
      <c r="QH187" s="6"/>
      <c r="QI187" s="6"/>
      <c r="QN187" s="6"/>
      <c r="QR187" s="6"/>
      <c r="QS187" s="6"/>
      <c r="QX187" s="6"/>
      <c r="RI187" s="6"/>
      <c r="RJ187" s="6"/>
      <c r="RO187" s="6"/>
      <c r="RS187" s="6"/>
      <c r="RT187" s="6"/>
      <c r="RY187" s="6"/>
      <c r="SJ187" s="6"/>
      <c r="SK187" s="6"/>
      <c r="SP187" s="6"/>
      <c r="ST187" s="6"/>
      <c r="SU187" s="6"/>
      <c r="SZ187" s="6"/>
    </row>
    <row r="188" spans="12:520" x14ac:dyDescent="0.3">
      <c r="AT188" s="6"/>
      <c r="AY188" s="6"/>
      <c r="BC188" s="6"/>
      <c r="BD188" s="6"/>
      <c r="BI188" s="6"/>
      <c r="BT188" s="6"/>
      <c r="BU188" s="6"/>
      <c r="BZ188" s="6"/>
      <c r="CD188" s="6"/>
      <c r="CE188" s="6"/>
      <c r="CJ188" s="6"/>
      <c r="CU188" s="6"/>
      <c r="CV188" s="6"/>
      <c r="DA188" s="6"/>
      <c r="DE188" s="6"/>
      <c r="DF188" s="6"/>
      <c r="DK188" s="6"/>
      <c r="DV188" s="6"/>
      <c r="DW188" s="6"/>
      <c r="EB188" s="6"/>
      <c r="EF188" s="6"/>
      <c r="EG188" s="6"/>
      <c r="EL188" s="6"/>
      <c r="EW188" s="6"/>
      <c r="EX188" s="6"/>
      <c r="FC188" s="6"/>
      <c r="FG188" s="6"/>
      <c r="FH188" s="6"/>
      <c r="FM188" s="6"/>
      <c r="FX188" s="6"/>
      <c r="FY188" s="6"/>
      <c r="GD188" s="6"/>
      <c r="GH188" s="6"/>
      <c r="GI188" s="6"/>
      <c r="GN188" s="6"/>
      <c r="GY188" s="6"/>
      <c r="GZ188" s="6"/>
      <c r="HE188" s="6"/>
      <c r="HI188" s="6"/>
      <c r="HJ188" s="6"/>
      <c r="HO188" s="6"/>
      <c r="HZ188" s="6"/>
      <c r="IA188" s="6"/>
      <c r="IF188" s="6"/>
      <c r="IJ188" s="6"/>
      <c r="IK188" s="6"/>
      <c r="IP188" s="6"/>
      <c r="JA188" s="6"/>
      <c r="JB188" s="6"/>
      <c r="JG188" s="6"/>
      <c r="JK188" s="6"/>
      <c r="JL188" s="6"/>
      <c r="JQ188" s="6"/>
      <c r="KB188" s="6"/>
      <c r="KC188" s="6"/>
      <c r="KH188" s="6"/>
      <c r="KL188" s="6"/>
      <c r="KM188" s="6"/>
      <c r="KR188" s="6"/>
      <c r="LC188" s="6"/>
      <c r="LD188" s="6"/>
      <c r="LI188" s="6"/>
      <c r="LM188" s="6"/>
      <c r="LN188" s="6"/>
      <c r="LS188" s="6"/>
      <c r="MD188" s="6"/>
      <c r="ME188" s="6"/>
      <c r="MJ188" s="6"/>
      <c r="MN188" s="6"/>
      <c r="MO188" s="6"/>
      <c r="MT188" s="6"/>
      <c r="NE188" s="6"/>
      <c r="NF188" s="6"/>
      <c r="NK188" s="6"/>
      <c r="NO188" s="6"/>
      <c r="NP188" s="6"/>
      <c r="NU188" s="6"/>
      <c r="OF188" s="6"/>
      <c r="OG188" s="6"/>
      <c r="OL188" s="6"/>
      <c r="OP188" s="6"/>
      <c r="OQ188" s="6"/>
      <c r="OV188" s="6"/>
      <c r="PG188" s="6"/>
      <c r="PH188" s="6"/>
      <c r="PM188" s="6"/>
      <c r="PQ188" s="6"/>
      <c r="PR188" s="6"/>
      <c r="PW188" s="6"/>
      <c r="QH188" s="6"/>
      <c r="QI188" s="6"/>
      <c r="QN188" s="6"/>
      <c r="QR188" s="6"/>
      <c r="QS188" s="6"/>
      <c r="QX188" s="6"/>
      <c r="RC188" s="8"/>
      <c r="RD188" s="8"/>
      <c r="RE188" s="8"/>
      <c r="RI188" s="6"/>
      <c r="RJ188" s="6"/>
      <c r="RO188" s="6"/>
      <c r="RS188" s="6"/>
      <c r="RT188" s="6"/>
      <c r="RY188" s="6"/>
      <c r="SJ188" s="6"/>
      <c r="SK188" s="6"/>
      <c r="SP188" s="6"/>
      <c r="ST188" s="6"/>
      <c r="SU188" s="6"/>
      <c r="SZ188" s="6"/>
    </row>
    <row r="189" spans="12:520" x14ac:dyDescent="0.3">
      <c r="AR189" s="6"/>
      <c r="AS189" s="7"/>
      <c r="AT189" s="6"/>
      <c r="AY189" s="6"/>
      <c r="BC189" s="6"/>
      <c r="BD189" s="6"/>
      <c r="BI189" s="6"/>
      <c r="BT189" s="6"/>
      <c r="BU189" s="6"/>
      <c r="BZ189" s="6"/>
      <c r="CD189" s="6"/>
      <c r="CE189" s="6"/>
      <c r="CJ189" s="6"/>
      <c r="CU189" s="6"/>
      <c r="CV189" s="6"/>
      <c r="DA189" s="6"/>
      <c r="DE189" s="6"/>
      <c r="DF189" s="6"/>
      <c r="DK189" s="6"/>
      <c r="DV189" s="6"/>
      <c r="DW189" s="6"/>
      <c r="EB189" s="6"/>
      <c r="EF189" s="6"/>
      <c r="EG189" s="6"/>
      <c r="EL189" s="6"/>
      <c r="EW189" s="6"/>
      <c r="EX189" s="6"/>
      <c r="FC189" s="6"/>
      <c r="FG189" s="6"/>
      <c r="FH189" s="6"/>
      <c r="FM189" s="6"/>
      <c r="FX189" s="6"/>
      <c r="FY189" s="6"/>
      <c r="GD189" s="6"/>
      <c r="GH189" s="6"/>
      <c r="GI189" s="6"/>
      <c r="GN189" s="6"/>
      <c r="GY189" s="6"/>
      <c r="GZ189" s="6"/>
      <c r="HE189" s="6"/>
      <c r="HI189" s="6"/>
      <c r="HJ189" s="6"/>
      <c r="HO189" s="6"/>
      <c r="HZ189" s="6"/>
      <c r="IA189" s="6"/>
      <c r="IF189" s="6"/>
      <c r="IJ189" s="6"/>
      <c r="IK189" s="6"/>
      <c r="IP189" s="6"/>
      <c r="JA189" s="6"/>
      <c r="JB189" s="6"/>
      <c r="JG189" s="6"/>
      <c r="JK189" s="6"/>
      <c r="JL189" s="6"/>
      <c r="JQ189" s="6"/>
      <c r="KB189" s="6"/>
      <c r="KC189" s="6"/>
      <c r="KH189" s="6"/>
      <c r="KL189" s="6"/>
      <c r="KM189" s="6"/>
      <c r="KR189" s="6"/>
      <c r="LC189" s="6"/>
      <c r="LD189" s="6"/>
      <c r="LI189" s="6"/>
      <c r="LM189" s="6"/>
      <c r="LN189" s="6"/>
      <c r="LS189" s="6"/>
      <c r="MD189" s="6"/>
      <c r="ME189" s="6"/>
      <c r="MJ189" s="6"/>
      <c r="MN189" s="6"/>
      <c r="MO189" s="6"/>
      <c r="MT189" s="6"/>
      <c r="NE189" s="6"/>
      <c r="NF189" s="6"/>
      <c r="NK189" s="6"/>
      <c r="NO189" s="6"/>
      <c r="NP189" s="6"/>
      <c r="NU189" s="6"/>
      <c r="OF189" s="6"/>
      <c r="OG189" s="6"/>
      <c r="OL189" s="6"/>
      <c r="OP189" s="6"/>
      <c r="OQ189" s="6"/>
      <c r="OV189" s="6"/>
      <c r="PG189" s="6"/>
      <c r="PH189" s="6"/>
      <c r="PM189" s="6"/>
      <c r="PQ189" s="6"/>
      <c r="PR189" s="6"/>
      <c r="PW189" s="6"/>
      <c r="QH189" s="6"/>
      <c r="QI189" s="6"/>
      <c r="QN189" s="6"/>
      <c r="QR189" s="6"/>
      <c r="QS189" s="6"/>
      <c r="QX189" s="6"/>
      <c r="SJ189" s="6"/>
      <c r="SK189" s="6"/>
      <c r="SP189" s="6"/>
      <c r="ST189" s="6"/>
      <c r="SU189" s="6"/>
      <c r="SZ189" s="6"/>
    </row>
    <row r="190" spans="12:520" x14ac:dyDescent="0.3">
      <c r="AS190" s="6"/>
      <c r="AT190" s="6"/>
      <c r="AY190" s="6"/>
      <c r="BC190" s="6"/>
      <c r="BD190" s="6"/>
      <c r="BI190" s="6"/>
      <c r="BT190" s="6"/>
      <c r="BU190" s="6"/>
      <c r="BZ190" s="6"/>
      <c r="CD190" s="6"/>
      <c r="CE190" s="6"/>
      <c r="CJ190" s="6"/>
      <c r="CU190" s="6"/>
      <c r="CV190" s="6"/>
      <c r="DA190" s="6"/>
      <c r="DE190" s="6"/>
      <c r="DF190" s="6"/>
      <c r="DK190" s="6"/>
      <c r="DV190" s="6"/>
      <c r="DW190" s="6"/>
      <c r="EB190" s="6"/>
      <c r="EF190" s="6"/>
      <c r="EG190" s="6"/>
      <c r="EL190" s="6"/>
      <c r="EW190" s="6"/>
      <c r="EX190" s="6"/>
      <c r="FC190" s="6"/>
      <c r="FG190" s="6"/>
      <c r="FH190" s="6"/>
      <c r="FM190" s="6"/>
      <c r="FX190" s="6"/>
      <c r="FY190" s="6"/>
      <c r="GD190" s="6"/>
      <c r="GH190" s="6"/>
      <c r="GI190" s="6"/>
      <c r="GN190" s="6"/>
      <c r="GY190" s="6"/>
      <c r="GZ190" s="6"/>
      <c r="HE190" s="6"/>
      <c r="HI190" s="6"/>
      <c r="HJ190" s="6"/>
      <c r="HO190" s="6"/>
      <c r="HZ190" s="6"/>
      <c r="IA190" s="6"/>
      <c r="IF190" s="6"/>
      <c r="IJ190" s="6"/>
      <c r="IK190" s="6"/>
      <c r="IP190" s="6"/>
      <c r="JA190" s="6"/>
      <c r="JB190" s="6"/>
      <c r="JG190" s="6"/>
      <c r="JK190" s="6"/>
      <c r="JL190" s="6"/>
      <c r="JQ190" s="6"/>
      <c r="KB190" s="6"/>
      <c r="KC190" s="6"/>
      <c r="KH190" s="6"/>
      <c r="KL190" s="6"/>
      <c r="KM190" s="6"/>
      <c r="KR190" s="6"/>
      <c r="LC190" s="6"/>
      <c r="LD190" s="6"/>
      <c r="LI190" s="6"/>
      <c r="LM190" s="6"/>
      <c r="LN190" s="6"/>
      <c r="LS190" s="6"/>
      <c r="MD190" s="6"/>
      <c r="ME190" s="6"/>
      <c r="MJ190" s="6"/>
      <c r="MN190" s="6"/>
      <c r="MO190" s="6"/>
      <c r="MT190" s="6"/>
      <c r="NE190" s="6"/>
      <c r="NF190" s="6"/>
      <c r="NK190" s="6"/>
      <c r="NO190" s="6"/>
      <c r="NP190" s="6"/>
      <c r="NU190" s="6"/>
      <c r="OF190" s="6"/>
      <c r="OG190" s="6"/>
      <c r="OL190" s="6"/>
      <c r="OP190" s="6"/>
      <c r="OQ190" s="6"/>
      <c r="OV190" s="6"/>
      <c r="PG190" s="6"/>
      <c r="PH190" s="6"/>
      <c r="PM190" s="6"/>
      <c r="PQ190" s="6"/>
      <c r="PR190" s="6"/>
      <c r="PW190" s="6"/>
      <c r="QH190" s="6"/>
      <c r="QI190" s="6"/>
      <c r="QN190" s="6"/>
      <c r="QR190" s="6"/>
      <c r="QS190" s="6"/>
      <c r="QX190" s="6"/>
      <c r="SJ190" s="6"/>
      <c r="SK190" s="6"/>
      <c r="SP190" s="6"/>
      <c r="ST190" s="6"/>
      <c r="SU190" s="6"/>
      <c r="SZ190" s="6"/>
    </row>
    <row r="191" spans="12:520" x14ac:dyDescent="0.3">
      <c r="AS191" s="6"/>
      <c r="BT191" s="6"/>
      <c r="BU191" s="6"/>
      <c r="BZ191" s="6"/>
      <c r="CD191" s="6"/>
      <c r="CE191" s="6"/>
      <c r="CJ191" s="6"/>
      <c r="CU191" s="6"/>
      <c r="CV191" s="6"/>
      <c r="DA191" s="6"/>
      <c r="DE191" s="6"/>
      <c r="DF191" s="6"/>
      <c r="DK191" s="6"/>
      <c r="DV191" s="6"/>
      <c r="DW191" s="6"/>
      <c r="EB191" s="6"/>
      <c r="EF191" s="6"/>
      <c r="EG191" s="6"/>
      <c r="EL191" s="6"/>
      <c r="EW191" s="6"/>
      <c r="EX191" s="6"/>
      <c r="FC191" s="6"/>
      <c r="FG191" s="6"/>
      <c r="FH191" s="6"/>
      <c r="FM191" s="6"/>
      <c r="FX191" s="6"/>
      <c r="FY191" s="6"/>
      <c r="GD191" s="6"/>
      <c r="GH191" s="6"/>
      <c r="GI191" s="6"/>
      <c r="GN191" s="6"/>
      <c r="GY191" s="6"/>
      <c r="GZ191" s="6"/>
      <c r="HE191" s="6"/>
      <c r="HI191" s="6"/>
      <c r="HJ191" s="6"/>
      <c r="HO191" s="6"/>
      <c r="HZ191" s="6"/>
      <c r="IA191" s="6"/>
      <c r="IF191" s="6"/>
      <c r="IJ191" s="6"/>
      <c r="IK191" s="6"/>
      <c r="IP191" s="6"/>
      <c r="JA191" s="6"/>
      <c r="JB191" s="6"/>
      <c r="JG191" s="6"/>
      <c r="JK191" s="6"/>
      <c r="JL191" s="6"/>
      <c r="JQ191" s="6"/>
      <c r="KB191" s="6"/>
      <c r="KC191" s="6"/>
      <c r="KH191" s="6"/>
      <c r="KL191" s="6"/>
      <c r="KM191" s="6"/>
      <c r="KR191" s="6"/>
      <c r="LC191" s="6"/>
      <c r="LD191" s="6"/>
      <c r="LI191" s="6"/>
      <c r="LM191" s="6"/>
      <c r="LN191" s="6"/>
      <c r="LS191" s="6"/>
      <c r="MD191" s="6"/>
      <c r="ME191" s="6"/>
      <c r="MJ191" s="6"/>
      <c r="MN191" s="6"/>
      <c r="MO191" s="6"/>
      <c r="MT191" s="6"/>
      <c r="NE191" s="6"/>
      <c r="NF191" s="6"/>
      <c r="NK191" s="6"/>
      <c r="NO191" s="6"/>
      <c r="NP191" s="6"/>
      <c r="NU191" s="6"/>
      <c r="OF191" s="6"/>
      <c r="OG191" s="6"/>
      <c r="OL191" s="6"/>
      <c r="OP191" s="6"/>
      <c r="OQ191" s="6"/>
      <c r="OV191" s="6"/>
      <c r="PG191" s="6"/>
      <c r="PH191" s="6"/>
      <c r="PM191" s="6"/>
      <c r="PQ191" s="6"/>
      <c r="PR191" s="6"/>
      <c r="PW191" s="6"/>
      <c r="QH191" s="6"/>
      <c r="QI191" s="6"/>
      <c r="QN191" s="6"/>
      <c r="QR191" s="6"/>
      <c r="QS191" s="6"/>
      <c r="QX191" s="6"/>
      <c r="SJ191" s="6"/>
      <c r="SK191" s="6"/>
      <c r="SP191" s="6"/>
      <c r="ST191" s="6"/>
      <c r="SU191" s="6"/>
      <c r="SZ191" s="6"/>
    </row>
    <row r="192" spans="12:520" x14ac:dyDescent="0.3">
      <c r="AS192" s="6"/>
      <c r="BT192" s="6"/>
      <c r="BU192" s="6"/>
      <c r="BZ192" s="6"/>
      <c r="CD192" s="6"/>
      <c r="CE192" s="6"/>
      <c r="CJ192" s="6"/>
      <c r="CU192" s="6"/>
      <c r="CV192" s="6"/>
      <c r="DA192" s="6"/>
      <c r="DE192" s="6"/>
      <c r="DF192" s="6"/>
      <c r="DK192" s="6"/>
      <c r="DV192" s="6"/>
      <c r="DW192" s="6"/>
      <c r="EB192" s="6"/>
      <c r="EF192" s="6"/>
      <c r="EG192" s="6"/>
      <c r="EL192" s="6"/>
      <c r="EW192" s="6"/>
      <c r="EX192" s="6"/>
      <c r="FC192" s="6"/>
      <c r="FG192" s="6"/>
      <c r="FH192" s="6"/>
      <c r="FM192" s="6"/>
      <c r="FX192" s="6"/>
      <c r="FY192" s="6"/>
      <c r="GD192" s="6"/>
      <c r="GH192" s="6"/>
      <c r="GI192" s="6"/>
      <c r="GN192" s="6"/>
      <c r="GY192" s="6"/>
      <c r="GZ192" s="6"/>
      <c r="HE192" s="6"/>
      <c r="HI192" s="6"/>
      <c r="HJ192" s="6"/>
      <c r="HO192" s="6"/>
      <c r="HZ192" s="6"/>
      <c r="IA192" s="6"/>
      <c r="IF192" s="6"/>
      <c r="IJ192" s="6"/>
      <c r="IK192" s="6"/>
      <c r="IP192" s="6"/>
      <c r="JA192" s="6"/>
      <c r="JB192" s="6"/>
      <c r="JG192" s="6"/>
      <c r="JK192" s="6"/>
      <c r="JL192" s="6"/>
      <c r="JQ192" s="6"/>
      <c r="JV192" s="8"/>
      <c r="JW192" s="8"/>
      <c r="JX192" s="8"/>
      <c r="KB192" s="6"/>
      <c r="KC192" s="6"/>
      <c r="KH192" s="6"/>
      <c r="KL192" s="6"/>
      <c r="KM192" s="6"/>
      <c r="KR192" s="6"/>
      <c r="LC192" s="6"/>
      <c r="LD192" s="6"/>
      <c r="LI192" s="6"/>
      <c r="LM192" s="6"/>
      <c r="LN192" s="6"/>
      <c r="LS192" s="6"/>
      <c r="MD192" s="6"/>
      <c r="ME192" s="6"/>
      <c r="MJ192" s="6"/>
      <c r="MN192" s="6"/>
      <c r="MO192" s="6"/>
      <c r="MT192" s="6"/>
      <c r="NE192" s="6"/>
      <c r="NF192" s="6"/>
      <c r="NK192" s="6"/>
      <c r="NO192" s="6"/>
      <c r="NP192" s="6"/>
      <c r="NU192" s="6"/>
      <c r="OF192" s="6"/>
      <c r="OG192" s="6"/>
      <c r="OL192" s="6"/>
      <c r="OP192" s="6"/>
      <c r="OQ192" s="6"/>
      <c r="OV192" s="6"/>
      <c r="PG192" s="6"/>
      <c r="PH192" s="6"/>
      <c r="PM192" s="6"/>
      <c r="PQ192" s="6"/>
      <c r="PR192" s="6"/>
      <c r="PW192" s="6"/>
      <c r="QH192" s="6"/>
      <c r="QI192" s="6"/>
      <c r="QN192" s="6"/>
      <c r="QR192" s="6"/>
      <c r="QS192" s="6"/>
      <c r="QX192" s="6"/>
      <c r="SJ192" s="6"/>
      <c r="SK192" s="6"/>
      <c r="SP192" s="6"/>
      <c r="ST192" s="6"/>
      <c r="SU192" s="6"/>
      <c r="SZ192" s="6"/>
    </row>
    <row r="193" spans="12:520" x14ac:dyDescent="0.3">
      <c r="AS193" s="6"/>
      <c r="BT193" s="6"/>
      <c r="BU193" s="6"/>
      <c r="BZ193" s="6"/>
      <c r="CD193" s="6"/>
      <c r="CE193" s="6"/>
      <c r="CJ193" s="6"/>
      <c r="CU193" s="6"/>
      <c r="CV193" s="6"/>
      <c r="DA193" s="6"/>
      <c r="DE193" s="6"/>
      <c r="DF193" s="6"/>
      <c r="DK193" s="6"/>
      <c r="DV193" s="6"/>
      <c r="DW193" s="6"/>
      <c r="EB193" s="6"/>
      <c r="EF193" s="6"/>
      <c r="EG193" s="6"/>
      <c r="EL193" s="6"/>
      <c r="EW193" s="6"/>
      <c r="EX193" s="6"/>
      <c r="FC193" s="6"/>
      <c r="FG193" s="6"/>
      <c r="FH193" s="6"/>
      <c r="FM193" s="6"/>
      <c r="FX193" s="6"/>
      <c r="FY193" s="6"/>
      <c r="GD193" s="6"/>
      <c r="GH193" s="6"/>
      <c r="GI193" s="6"/>
      <c r="GN193" s="6"/>
      <c r="GY193" s="6"/>
      <c r="GZ193" s="6"/>
      <c r="HE193" s="6"/>
      <c r="HI193" s="6"/>
      <c r="HJ193" s="6"/>
      <c r="HO193" s="6"/>
      <c r="HZ193" s="6"/>
      <c r="IA193" s="6"/>
      <c r="IF193" s="6"/>
      <c r="IJ193" s="6"/>
      <c r="IK193" s="6"/>
      <c r="IP193" s="6"/>
      <c r="JA193" s="6"/>
      <c r="JB193" s="6"/>
      <c r="JG193" s="6"/>
      <c r="JK193" s="6"/>
      <c r="JL193" s="6"/>
      <c r="JQ193" s="6"/>
      <c r="LC193" s="6"/>
      <c r="LD193" s="6"/>
      <c r="LI193" s="6"/>
      <c r="LM193" s="6"/>
      <c r="LN193" s="6"/>
      <c r="LS193" s="6"/>
      <c r="MD193" s="6"/>
      <c r="ME193" s="6"/>
      <c r="MJ193" s="6"/>
      <c r="MN193" s="6"/>
      <c r="MO193" s="6"/>
      <c r="MT193" s="6"/>
      <c r="NE193" s="6"/>
      <c r="NF193" s="6"/>
      <c r="NK193" s="6"/>
      <c r="NO193" s="6"/>
      <c r="NP193" s="6"/>
      <c r="NU193" s="6"/>
      <c r="OF193" s="6"/>
      <c r="OG193" s="6"/>
      <c r="OL193" s="6"/>
      <c r="OP193" s="6"/>
      <c r="OQ193" s="6"/>
      <c r="OV193" s="6"/>
      <c r="PG193" s="6"/>
      <c r="PH193" s="6"/>
      <c r="PM193" s="6"/>
      <c r="PQ193" s="6"/>
      <c r="PR193" s="6"/>
      <c r="PW193" s="6"/>
      <c r="QH193" s="6"/>
      <c r="QI193" s="6"/>
      <c r="QN193" s="6"/>
      <c r="QR193" s="6"/>
      <c r="QS193" s="6"/>
      <c r="QX193" s="6"/>
      <c r="SJ193" s="6"/>
      <c r="SK193" s="6"/>
      <c r="SP193" s="6"/>
      <c r="ST193" s="6"/>
      <c r="SU193" s="6"/>
      <c r="SZ193" s="6"/>
    </row>
    <row r="194" spans="12:520" x14ac:dyDescent="0.3">
      <c r="AM194" s="8"/>
      <c r="AN194" s="8"/>
      <c r="AO194" s="8"/>
      <c r="AS194" s="6"/>
      <c r="BT194" s="6"/>
      <c r="BU194" s="6"/>
      <c r="BZ194" s="6"/>
      <c r="CD194" s="6"/>
      <c r="CE194" s="6"/>
      <c r="CJ194" s="6"/>
      <c r="CU194" s="6"/>
      <c r="CV194" s="6"/>
      <c r="DA194" s="6"/>
      <c r="DE194" s="6"/>
      <c r="DF194" s="6"/>
      <c r="DK194" s="6"/>
      <c r="DV194" s="6"/>
      <c r="DW194" s="6"/>
      <c r="EB194" s="6"/>
      <c r="EF194" s="6"/>
      <c r="EG194" s="6"/>
      <c r="EL194" s="6"/>
      <c r="EW194" s="6"/>
      <c r="EX194" s="6"/>
      <c r="FC194" s="6"/>
      <c r="FG194" s="6"/>
      <c r="FH194" s="6"/>
      <c r="FM194" s="6"/>
      <c r="FX194" s="6"/>
      <c r="FY194" s="6"/>
      <c r="GD194" s="6"/>
      <c r="GH194" s="6"/>
      <c r="GI194" s="6"/>
      <c r="GN194" s="6"/>
      <c r="GY194" s="6"/>
      <c r="GZ194" s="6"/>
      <c r="HE194" s="6"/>
      <c r="HI194" s="6"/>
      <c r="HJ194" s="6"/>
      <c r="HO194" s="6"/>
      <c r="HZ194" s="6"/>
      <c r="IA194" s="6"/>
      <c r="IF194" s="6"/>
      <c r="IJ194" s="6"/>
      <c r="IK194" s="6"/>
      <c r="IP194" s="6"/>
      <c r="JA194" s="6"/>
      <c r="JB194" s="6"/>
      <c r="JG194" s="6"/>
      <c r="JK194" s="6"/>
      <c r="JL194" s="6"/>
      <c r="JQ194" s="6"/>
      <c r="LC194" s="6"/>
      <c r="LD194" s="6"/>
      <c r="LI194" s="6"/>
      <c r="LM194" s="6"/>
      <c r="LN194" s="6"/>
      <c r="LS194" s="6"/>
      <c r="MD194" s="6"/>
      <c r="ME194" s="6"/>
      <c r="MJ194" s="6"/>
      <c r="MN194" s="6"/>
      <c r="MO194" s="6"/>
      <c r="MT194" s="6"/>
      <c r="NE194" s="6"/>
      <c r="NF194" s="6"/>
      <c r="NK194" s="6"/>
      <c r="NO194" s="6"/>
      <c r="NP194" s="6"/>
      <c r="NU194" s="6"/>
      <c r="OF194" s="6"/>
      <c r="OG194" s="6"/>
      <c r="OL194" s="6"/>
      <c r="OP194" s="6"/>
      <c r="OQ194" s="6"/>
      <c r="OV194" s="6"/>
      <c r="PA194" s="8"/>
      <c r="PB194" s="8"/>
      <c r="PC194" s="8"/>
      <c r="PG194" s="6"/>
      <c r="PH194" s="6"/>
      <c r="PM194" s="6"/>
      <c r="PQ194" s="6"/>
      <c r="PR194" s="6"/>
      <c r="PW194" s="6"/>
      <c r="QH194" s="6"/>
      <c r="QI194" s="6"/>
      <c r="QN194" s="6"/>
      <c r="QR194" s="6"/>
      <c r="QS194" s="6"/>
      <c r="QX194" s="6"/>
      <c r="SJ194" s="6"/>
      <c r="SK194" s="6"/>
      <c r="SP194" s="6"/>
      <c r="ST194" s="6"/>
      <c r="SU194" s="6"/>
      <c r="SZ194" s="6"/>
    </row>
    <row r="195" spans="12:520" x14ac:dyDescent="0.3">
      <c r="BT195" s="6"/>
      <c r="BU195" s="6"/>
      <c r="BZ195" s="6"/>
      <c r="CD195" s="6"/>
      <c r="CE195" s="6"/>
      <c r="CJ195" s="6"/>
      <c r="CU195" s="6"/>
      <c r="CV195" s="6"/>
      <c r="DA195" s="6"/>
      <c r="DE195" s="6"/>
      <c r="DF195" s="6"/>
      <c r="DK195" s="6"/>
      <c r="DV195" s="6"/>
      <c r="DW195" s="6"/>
      <c r="EB195" s="6"/>
      <c r="EF195" s="6"/>
      <c r="EG195" s="6"/>
      <c r="EL195" s="6"/>
      <c r="EW195" s="6"/>
      <c r="EX195" s="6"/>
      <c r="FC195" s="6"/>
      <c r="FG195" s="6"/>
      <c r="FH195" s="6"/>
      <c r="FM195" s="6"/>
      <c r="FX195" s="6"/>
      <c r="FY195" s="6"/>
      <c r="GD195" s="6"/>
      <c r="GH195" s="6"/>
      <c r="GI195" s="6"/>
      <c r="GN195" s="6"/>
      <c r="GY195" s="6"/>
      <c r="GZ195" s="6"/>
      <c r="HE195" s="6"/>
      <c r="HI195" s="6"/>
      <c r="HJ195" s="6"/>
      <c r="HO195" s="6"/>
      <c r="HZ195" s="6"/>
      <c r="IA195" s="6"/>
      <c r="IF195" s="6"/>
      <c r="IJ195" s="6"/>
      <c r="IK195" s="6"/>
      <c r="IP195" s="6"/>
      <c r="JA195" s="6"/>
      <c r="JB195" s="6"/>
      <c r="JG195" s="6"/>
      <c r="JK195" s="6"/>
      <c r="JL195" s="6"/>
      <c r="JQ195" s="6"/>
      <c r="LC195" s="6"/>
      <c r="LD195" s="6"/>
      <c r="LI195" s="6"/>
      <c r="LM195" s="6"/>
      <c r="LN195" s="6"/>
      <c r="LS195" s="6"/>
      <c r="MD195" s="6"/>
      <c r="ME195" s="6"/>
      <c r="MJ195" s="6"/>
      <c r="MN195" s="6"/>
      <c r="MO195" s="6"/>
      <c r="MT195" s="6"/>
      <c r="NE195" s="6"/>
      <c r="NF195" s="6"/>
      <c r="NK195" s="6"/>
      <c r="NO195" s="6"/>
      <c r="NP195" s="6"/>
      <c r="NU195" s="6"/>
      <c r="OF195" s="6"/>
      <c r="OG195" s="6"/>
      <c r="OL195" s="6"/>
      <c r="OP195" s="6"/>
      <c r="OQ195" s="6"/>
      <c r="OV195" s="6"/>
      <c r="QH195" s="6"/>
      <c r="QI195" s="6"/>
      <c r="QN195" s="6"/>
      <c r="QR195" s="6"/>
      <c r="QS195" s="6"/>
      <c r="QX195" s="6"/>
      <c r="SJ195" s="6"/>
      <c r="SK195" s="6"/>
      <c r="SP195" s="6"/>
      <c r="ST195" s="6"/>
      <c r="SU195" s="6"/>
      <c r="SZ195" s="6"/>
    </row>
    <row r="196" spans="12:520" x14ac:dyDescent="0.3">
      <c r="BN196" s="8"/>
      <c r="BO196" s="8"/>
      <c r="BP196" s="8"/>
      <c r="BT196" s="6"/>
      <c r="BU196" s="6"/>
      <c r="BZ196" s="6"/>
      <c r="CD196" s="6"/>
      <c r="CE196" s="6"/>
      <c r="CJ196" s="6"/>
      <c r="CO196" s="8"/>
      <c r="CP196" s="8"/>
      <c r="CQ196" s="8"/>
      <c r="CU196" s="6"/>
      <c r="CV196" s="6"/>
      <c r="DA196" s="6"/>
      <c r="DE196" s="6"/>
      <c r="DF196" s="6"/>
      <c r="DK196" s="6"/>
      <c r="DP196" s="8"/>
      <c r="DQ196" s="8"/>
      <c r="DR196" s="8"/>
      <c r="DV196" s="6"/>
      <c r="DW196" s="6"/>
      <c r="EB196" s="6"/>
      <c r="EF196" s="6"/>
      <c r="EG196" s="6"/>
      <c r="EL196" s="6"/>
      <c r="EQ196" s="8"/>
      <c r="ER196" s="8"/>
      <c r="ES196" s="8"/>
      <c r="EW196" s="6"/>
      <c r="EX196" s="6"/>
      <c r="FC196" s="6"/>
      <c r="FG196" s="6"/>
      <c r="FH196" s="6"/>
      <c r="FM196" s="6"/>
      <c r="FR196" s="8"/>
      <c r="FS196" s="8"/>
      <c r="FT196" s="8"/>
      <c r="FX196" s="6"/>
      <c r="FY196" s="6"/>
      <c r="GD196" s="6"/>
      <c r="GH196" s="6"/>
      <c r="GI196" s="6"/>
      <c r="GN196" s="6"/>
      <c r="GS196" s="8"/>
      <c r="GT196" s="8"/>
      <c r="GU196" s="8"/>
      <c r="GY196" s="6"/>
      <c r="GZ196" s="6"/>
      <c r="HE196" s="6"/>
      <c r="HI196" s="6"/>
      <c r="HJ196" s="6"/>
      <c r="HO196" s="6"/>
      <c r="HT196" s="8"/>
      <c r="HU196" s="8"/>
      <c r="HV196" s="8"/>
      <c r="HZ196" s="6"/>
      <c r="IA196" s="6"/>
      <c r="IF196" s="6"/>
      <c r="IJ196" s="6"/>
      <c r="IK196" s="6"/>
      <c r="IP196" s="6"/>
      <c r="IU196" s="8"/>
      <c r="IV196" s="8"/>
      <c r="IW196" s="8"/>
      <c r="JA196" s="6"/>
      <c r="JB196" s="6"/>
      <c r="JG196" s="6"/>
      <c r="JK196" s="6"/>
      <c r="JL196" s="6"/>
      <c r="JQ196" s="6"/>
      <c r="KW196" s="8"/>
      <c r="KX196" s="8"/>
      <c r="KY196" s="8"/>
      <c r="LC196" s="6"/>
      <c r="LD196" s="6"/>
      <c r="LI196" s="6"/>
      <c r="LM196" s="6"/>
      <c r="LN196" s="6"/>
      <c r="LS196" s="6"/>
      <c r="LX196" s="8"/>
      <c r="LY196" s="8"/>
      <c r="LZ196" s="8"/>
      <c r="MD196" s="6"/>
      <c r="ME196" s="6"/>
      <c r="MJ196" s="6"/>
      <c r="MN196" s="6"/>
      <c r="MO196" s="6"/>
      <c r="MT196" s="6"/>
      <c r="MY196" s="8"/>
      <c r="MZ196" s="8"/>
      <c r="NA196" s="8"/>
      <c r="NE196" s="6"/>
      <c r="NF196" s="6"/>
      <c r="NK196" s="6"/>
      <c r="NO196" s="6"/>
      <c r="NP196" s="6"/>
      <c r="NU196" s="6"/>
      <c r="NZ196" s="8"/>
      <c r="OA196" s="8"/>
      <c r="OB196" s="8"/>
      <c r="OF196" s="6"/>
      <c r="OG196" s="6"/>
      <c r="OL196" s="6"/>
      <c r="OP196" s="6"/>
      <c r="OQ196" s="6"/>
      <c r="OV196" s="6"/>
      <c r="QB196" s="8"/>
      <c r="QC196" s="8"/>
      <c r="QD196" s="8"/>
      <c r="QH196" s="6"/>
      <c r="QI196" s="6"/>
      <c r="QN196" s="6"/>
      <c r="QR196" s="6"/>
      <c r="QS196" s="6"/>
      <c r="QX196" s="6"/>
      <c r="SD196" s="8"/>
      <c r="SE196" s="8"/>
      <c r="SF196" s="8"/>
      <c r="SJ196" s="6"/>
      <c r="SK196" s="6"/>
      <c r="SP196" s="6"/>
      <c r="ST196" s="6"/>
      <c r="SU196" s="6"/>
      <c r="SZ196" s="6"/>
    </row>
    <row r="198" spans="12:520" x14ac:dyDescent="0.3">
      <c r="R198" s="6"/>
      <c r="S198" s="7"/>
      <c r="T198" s="7"/>
      <c r="Z198" s="6"/>
      <c r="AA198" s="7"/>
      <c r="AG198" s="6"/>
      <c r="AX198" s="6"/>
      <c r="BB198" s="6"/>
      <c r="BC198" s="7"/>
      <c r="BH198" s="6"/>
      <c r="BS198" s="6"/>
      <c r="BT198" s="7"/>
      <c r="BY198" s="6"/>
      <c r="CC198" s="6"/>
      <c r="CD198" s="7"/>
      <c r="CI198" s="6"/>
      <c r="CT198" s="6"/>
      <c r="CU198" s="7"/>
      <c r="CZ198" s="6"/>
      <c r="DD198" s="6"/>
      <c r="DE198" s="7"/>
      <c r="DJ198" s="6"/>
      <c r="DU198" s="6"/>
      <c r="DV198" s="7"/>
      <c r="EA198" s="6"/>
      <c r="EE198" s="6"/>
      <c r="EF198" s="7"/>
      <c r="EK198" s="6"/>
      <c r="EV198" s="6"/>
      <c r="EW198" s="7"/>
      <c r="FB198" s="6"/>
      <c r="FF198" s="6"/>
      <c r="FG198" s="7"/>
      <c r="FL198" s="6"/>
      <c r="FW198" s="6"/>
      <c r="FX198" s="7"/>
      <c r="GC198" s="6"/>
      <c r="GG198" s="6"/>
      <c r="GH198" s="7"/>
      <c r="GM198" s="6"/>
      <c r="GX198" s="6"/>
      <c r="GY198" s="7"/>
      <c r="HD198" s="6"/>
      <c r="HH198" s="6"/>
      <c r="HI198" s="7"/>
      <c r="HN198" s="6"/>
      <c r="HY198" s="6"/>
      <c r="HZ198" s="7"/>
      <c r="IE198" s="6"/>
      <c r="II198" s="6"/>
      <c r="IJ198" s="7"/>
      <c r="IO198" s="6"/>
      <c r="IZ198" s="6"/>
      <c r="JA198" s="7"/>
      <c r="JF198" s="6"/>
      <c r="JJ198" s="6"/>
      <c r="JK198" s="7"/>
      <c r="JP198" s="6"/>
      <c r="KA198" s="6"/>
      <c r="KB198" s="7"/>
      <c r="KG198" s="6"/>
      <c r="KK198" s="6"/>
      <c r="KL198" s="7"/>
      <c r="KQ198" s="6"/>
      <c r="LB198" s="6"/>
      <c r="LC198" s="7"/>
      <c r="LH198" s="6"/>
      <c r="LL198" s="6"/>
      <c r="LM198" s="7"/>
      <c r="LR198" s="6"/>
      <c r="MC198" s="6"/>
      <c r="MD198" s="7"/>
      <c r="MI198" s="6"/>
      <c r="MM198" s="6"/>
      <c r="MN198" s="7"/>
      <c r="MS198" s="6"/>
      <c r="ND198" s="6"/>
      <c r="NE198" s="7"/>
      <c r="NJ198" s="6"/>
      <c r="NN198" s="6"/>
      <c r="NO198" s="7"/>
      <c r="NT198" s="6"/>
      <c r="OE198" s="6"/>
      <c r="OF198" s="7"/>
      <c r="OK198" s="6"/>
      <c r="OO198" s="6"/>
      <c r="OP198" s="7"/>
      <c r="OU198" s="6"/>
      <c r="PF198" s="6"/>
      <c r="PG198" s="7"/>
      <c r="PL198" s="6"/>
      <c r="PP198" s="6"/>
      <c r="PQ198" s="7"/>
      <c r="PV198" s="6"/>
      <c r="QG198" s="6"/>
      <c r="QH198" s="7"/>
      <c r="QM198" s="6"/>
      <c r="QQ198" s="6"/>
      <c r="QR198" s="7"/>
      <c r="QW198" s="6"/>
      <c r="RH198" s="6"/>
      <c r="RI198" s="7"/>
      <c r="RN198" s="6"/>
      <c r="RR198" s="6"/>
      <c r="RS198" s="7"/>
      <c r="RX198" s="6"/>
      <c r="SI198" s="6"/>
      <c r="SJ198" s="7"/>
      <c r="SO198" s="6"/>
      <c r="SS198" s="6"/>
      <c r="ST198" s="7"/>
      <c r="SY198" s="6"/>
    </row>
    <row r="199" spans="12:520" x14ac:dyDescent="0.3">
      <c r="L199" s="8"/>
      <c r="M199" s="8"/>
      <c r="N199" s="8"/>
      <c r="O199" s="5"/>
      <c r="R199" s="5"/>
      <c r="S199" s="6"/>
      <c r="T199" s="6"/>
      <c r="U199" s="7"/>
      <c r="W199" s="6"/>
      <c r="X199" s="5"/>
      <c r="Z199" s="5"/>
      <c r="AA199" s="6"/>
      <c r="AB199" s="7"/>
      <c r="AG199" s="5"/>
      <c r="AH199" s="6"/>
      <c r="AT199" s="7"/>
      <c r="AW199" s="5"/>
      <c r="AY199" s="6"/>
      <c r="BC199" s="6"/>
      <c r="BD199" s="6"/>
      <c r="BI199" s="6"/>
      <c r="BT199" s="6"/>
      <c r="BU199" s="6"/>
      <c r="BZ199" s="6"/>
      <c r="CD199" s="6"/>
      <c r="CE199" s="6"/>
      <c r="CJ199" s="6"/>
      <c r="CU199" s="6"/>
      <c r="CV199" s="6"/>
      <c r="DA199" s="6"/>
      <c r="DE199" s="6"/>
      <c r="DF199" s="6"/>
      <c r="DK199" s="6"/>
      <c r="DV199" s="6"/>
      <c r="DW199" s="6"/>
      <c r="EB199" s="6"/>
      <c r="EF199" s="6"/>
      <c r="EG199" s="6"/>
      <c r="EL199" s="6"/>
      <c r="EW199" s="6"/>
      <c r="EX199" s="6"/>
      <c r="FC199" s="6"/>
      <c r="FG199" s="6"/>
      <c r="FH199" s="6"/>
      <c r="FM199" s="6"/>
      <c r="FX199" s="6"/>
      <c r="FY199" s="6"/>
      <c r="GD199" s="6"/>
      <c r="GH199" s="6"/>
      <c r="GI199" s="6"/>
      <c r="GN199" s="6"/>
      <c r="GY199" s="6"/>
      <c r="GZ199" s="6"/>
      <c r="HE199" s="6"/>
      <c r="HI199" s="6"/>
      <c r="HJ199" s="6"/>
      <c r="HO199" s="6"/>
      <c r="HZ199" s="6"/>
      <c r="IA199" s="6"/>
      <c r="IF199" s="6"/>
      <c r="IJ199" s="6"/>
      <c r="IK199" s="6"/>
      <c r="IP199" s="6"/>
      <c r="JA199" s="6"/>
      <c r="JB199" s="6"/>
      <c r="JG199" s="6"/>
      <c r="JK199" s="6"/>
      <c r="JL199" s="6"/>
      <c r="JQ199" s="6"/>
      <c r="KB199" s="6"/>
      <c r="KC199" s="6"/>
      <c r="KH199" s="6"/>
      <c r="KL199" s="6"/>
      <c r="KM199" s="6"/>
      <c r="KR199" s="6"/>
      <c r="LC199" s="6"/>
      <c r="LD199" s="6"/>
      <c r="LI199" s="6"/>
      <c r="LM199" s="6"/>
      <c r="LN199" s="6"/>
      <c r="LS199" s="6"/>
      <c r="MD199" s="6"/>
      <c r="ME199" s="6"/>
      <c r="MJ199" s="6"/>
      <c r="MN199" s="6"/>
      <c r="MO199" s="6"/>
      <c r="MT199" s="6"/>
      <c r="NE199" s="6"/>
      <c r="NF199" s="6"/>
      <c r="NK199" s="6"/>
      <c r="NO199" s="6"/>
      <c r="NP199" s="6"/>
      <c r="NU199" s="6"/>
      <c r="OF199" s="6"/>
      <c r="OG199" s="6"/>
      <c r="OL199" s="6"/>
      <c r="OP199" s="6"/>
      <c r="OQ199" s="6"/>
      <c r="OV199" s="6"/>
      <c r="PG199" s="6"/>
      <c r="PH199" s="6"/>
      <c r="PM199" s="6"/>
      <c r="PQ199" s="6"/>
      <c r="PR199" s="6"/>
      <c r="PW199" s="6"/>
      <c r="QH199" s="6"/>
      <c r="QI199" s="6"/>
      <c r="QN199" s="6"/>
      <c r="QR199" s="6"/>
      <c r="QS199" s="6"/>
      <c r="QX199" s="6"/>
      <c r="RI199" s="6"/>
      <c r="RJ199" s="6"/>
      <c r="RO199" s="6"/>
      <c r="RS199" s="6"/>
      <c r="RT199" s="6"/>
      <c r="RY199" s="6"/>
      <c r="SJ199" s="6"/>
      <c r="SK199" s="6"/>
      <c r="SP199" s="6"/>
      <c r="ST199" s="6"/>
      <c r="SU199" s="6"/>
      <c r="SZ199" s="6"/>
    </row>
    <row r="200" spans="12:520" x14ac:dyDescent="0.3">
      <c r="AT200" s="7"/>
      <c r="AW200" s="5"/>
      <c r="AY200" s="6"/>
      <c r="BC200" s="6"/>
      <c r="BD200" s="6"/>
      <c r="BI200" s="6"/>
      <c r="BT200" s="6"/>
      <c r="BU200" s="6"/>
      <c r="BZ200" s="6"/>
      <c r="CD200" s="6"/>
      <c r="CE200" s="6"/>
      <c r="CJ200" s="6"/>
      <c r="CU200" s="6"/>
      <c r="CV200" s="6"/>
      <c r="DA200" s="6"/>
      <c r="DE200" s="6"/>
      <c r="DF200" s="6"/>
      <c r="DK200" s="6"/>
      <c r="DV200" s="6"/>
      <c r="DW200" s="6"/>
      <c r="EB200" s="6"/>
      <c r="EF200" s="6"/>
      <c r="EG200" s="6"/>
      <c r="EL200" s="6"/>
      <c r="EW200" s="6"/>
      <c r="EX200" s="6"/>
      <c r="FC200" s="6"/>
      <c r="FG200" s="6"/>
      <c r="FH200" s="6"/>
      <c r="FM200" s="6"/>
      <c r="FX200" s="6"/>
      <c r="FY200" s="6"/>
      <c r="GD200" s="6"/>
      <c r="GH200" s="6"/>
      <c r="GI200" s="6"/>
      <c r="GN200" s="6"/>
      <c r="GY200" s="6"/>
      <c r="GZ200" s="6"/>
      <c r="HE200" s="6"/>
      <c r="HI200" s="6"/>
      <c r="HJ200" s="6"/>
      <c r="HO200" s="6"/>
      <c r="HZ200" s="6"/>
      <c r="IA200" s="6"/>
      <c r="IF200" s="6"/>
      <c r="IJ200" s="6"/>
      <c r="IK200" s="6"/>
      <c r="IP200" s="6"/>
      <c r="JA200" s="6"/>
      <c r="JB200" s="6"/>
      <c r="JG200" s="6"/>
      <c r="JK200" s="6"/>
      <c r="JL200" s="6"/>
      <c r="JQ200" s="6"/>
      <c r="KB200" s="6"/>
      <c r="KC200" s="6"/>
      <c r="KH200" s="6"/>
      <c r="KL200" s="6"/>
      <c r="KM200" s="6"/>
      <c r="KR200" s="6"/>
      <c r="LC200" s="6"/>
      <c r="LD200" s="6"/>
      <c r="LI200" s="6"/>
      <c r="LM200" s="6"/>
      <c r="LN200" s="6"/>
      <c r="LS200" s="6"/>
      <c r="MD200" s="6"/>
      <c r="ME200" s="6"/>
      <c r="MJ200" s="6"/>
      <c r="MN200" s="6"/>
      <c r="MO200" s="6"/>
      <c r="MT200" s="6"/>
      <c r="NE200" s="6"/>
      <c r="NF200" s="6"/>
      <c r="NK200" s="6"/>
      <c r="NO200" s="6"/>
      <c r="NP200" s="6"/>
      <c r="NU200" s="6"/>
      <c r="OF200" s="6"/>
      <c r="OG200" s="6"/>
      <c r="OL200" s="6"/>
      <c r="OP200" s="6"/>
      <c r="OQ200" s="6"/>
      <c r="OV200" s="6"/>
      <c r="PG200" s="6"/>
      <c r="PH200" s="6"/>
      <c r="PM200" s="6"/>
      <c r="PQ200" s="6"/>
      <c r="PR200" s="6"/>
      <c r="PW200" s="6"/>
      <c r="QH200" s="6"/>
      <c r="QI200" s="6"/>
      <c r="QN200" s="6"/>
      <c r="QR200" s="6"/>
      <c r="QS200" s="6"/>
      <c r="QX200" s="6"/>
      <c r="RI200" s="6"/>
      <c r="RJ200" s="6"/>
      <c r="RO200" s="6"/>
      <c r="RS200" s="6"/>
      <c r="RT200" s="6"/>
      <c r="RY200" s="6"/>
      <c r="SJ200" s="6"/>
      <c r="SK200" s="6"/>
      <c r="SP200" s="6"/>
      <c r="ST200" s="6"/>
      <c r="SU200" s="6"/>
      <c r="SZ200" s="6"/>
    </row>
    <row r="201" spans="12:520" x14ac:dyDescent="0.3">
      <c r="AT201" s="7"/>
      <c r="AW201" s="5"/>
      <c r="AY201" s="6"/>
      <c r="BC201" s="6"/>
      <c r="BD201" s="6"/>
      <c r="BI201" s="6"/>
      <c r="BT201" s="6"/>
      <c r="BU201" s="6"/>
      <c r="BZ201" s="6"/>
      <c r="CD201" s="6"/>
      <c r="CE201" s="6"/>
      <c r="CJ201" s="6"/>
      <c r="CU201" s="6"/>
      <c r="CV201" s="6"/>
      <c r="DA201" s="6"/>
      <c r="DE201" s="6"/>
      <c r="DF201" s="6"/>
      <c r="DK201" s="6"/>
      <c r="DV201" s="6"/>
      <c r="DW201" s="6"/>
      <c r="EB201" s="6"/>
      <c r="EF201" s="6"/>
      <c r="EG201" s="6"/>
      <c r="EL201" s="6"/>
      <c r="EW201" s="6"/>
      <c r="EX201" s="6"/>
      <c r="FC201" s="6"/>
      <c r="FG201" s="6"/>
      <c r="FH201" s="6"/>
      <c r="FM201" s="6"/>
      <c r="FX201" s="6"/>
      <c r="FY201" s="6"/>
      <c r="GD201" s="6"/>
      <c r="GH201" s="6"/>
      <c r="GI201" s="6"/>
      <c r="GN201" s="6"/>
      <c r="GY201" s="6"/>
      <c r="GZ201" s="6"/>
      <c r="HE201" s="6"/>
      <c r="HI201" s="6"/>
      <c r="HJ201" s="6"/>
      <c r="HO201" s="6"/>
      <c r="HZ201" s="6"/>
      <c r="IA201" s="6"/>
      <c r="IF201" s="6"/>
      <c r="IJ201" s="6"/>
      <c r="IK201" s="6"/>
      <c r="IP201" s="6"/>
      <c r="JA201" s="6"/>
      <c r="JB201" s="6"/>
      <c r="JG201" s="6"/>
      <c r="JK201" s="6"/>
      <c r="JL201" s="6"/>
      <c r="JQ201" s="6"/>
      <c r="KB201" s="6"/>
      <c r="KC201" s="6"/>
      <c r="KH201" s="6"/>
      <c r="KL201" s="6"/>
      <c r="KM201" s="6"/>
      <c r="KR201" s="6"/>
      <c r="LC201" s="6"/>
      <c r="LD201" s="6"/>
      <c r="LI201" s="6"/>
      <c r="LM201" s="6"/>
      <c r="LN201" s="6"/>
      <c r="LS201" s="6"/>
      <c r="MD201" s="6"/>
      <c r="ME201" s="6"/>
      <c r="MJ201" s="6"/>
      <c r="MN201" s="6"/>
      <c r="MO201" s="6"/>
      <c r="MT201" s="6"/>
      <c r="NE201" s="6"/>
      <c r="NF201" s="6"/>
      <c r="NK201" s="6"/>
      <c r="NO201" s="6"/>
      <c r="NP201" s="6"/>
      <c r="NU201" s="6"/>
      <c r="OF201" s="6"/>
      <c r="OG201" s="6"/>
      <c r="OL201" s="6"/>
      <c r="OP201" s="6"/>
      <c r="OQ201" s="6"/>
      <c r="OV201" s="6"/>
      <c r="PG201" s="6"/>
      <c r="PH201" s="6"/>
      <c r="PM201" s="6"/>
      <c r="PQ201" s="6"/>
      <c r="PR201" s="6"/>
      <c r="PW201" s="6"/>
      <c r="QH201" s="6"/>
      <c r="QI201" s="6"/>
      <c r="QN201" s="6"/>
      <c r="QR201" s="6"/>
      <c r="QS201" s="6"/>
      <c r="QX201" s="6"/>
      <c r="RC201" s="8"/>
      <c r="RD201" s="8"/>
      <c r="RE201" s="8"/>
      <c r="RI201" s="6"/>
      <c r="RJ201" s="6"/>
      <c r="RO201" s="6"/>
      <c r="RS201" s="6"/>
      <c r="RT201" s="6"/>
      <c r="RY201" s="6"/>
      <c r="SJ201" s="6"/>
      <c r="SK201" s="6"/>
      <c r="SP201" s="6"/>
      <c r="ST201" s="6"/>
      <c r="SU201" s="6"/>
      <c r="SZ201" s="6"/>
    </row>
    <row r="202" spans="12:520" x14ac:dyDescent="0.3">
      <c r="AR202" s="6"/>
      <c r="AS202" s="7"/>
      <c r="AT202" s="7"/>
      <c r="AW202" s="5"/>
      <c r="AY202" s="6"/>
      <c r="BC202" s="6"/>
      <c r="BD202" s="6"/>
      <c r="BI202" s="6"/>
      <c r="BT202" s="6"/>
      <c r="BU202" s="6"/>
      <c r="BZ202" s="6"/>
      <c r="CD202" s="6"/>
      <c r="CE202" s="6"/>
      <c r="CJ202" s="6"/>
      <c r="CU202" s="6"/>
      <c r="CV202" s="6"/>
      <c r="DA202" s="6"/>
      <c r="DE202" s="6"/>
      <c r="DF202" s="6"/>
      <c r="DK202" s="6"/>
      <c r="DV202" s="6"/>
      <c r="DW202" s="6"/>
      <c r="EB202" s="6"/>
      <c r="EF202" s="6"/>
      <c r="EG202" s="6"/>
      <c r="EL202" s="6"/>
      <c r="EW202" s="6"/>
      <c r="EX202" s="6"/>
      <c r="FC202" s="6"/>
      <c r="FG202" s="6"/>
      <c r="FH202" s="6"/>
      <c r="FM202" s="6"/>
      <c r="FX202" s="6"/>
      <c r="FY202" s="6"/>
      <c r="GD202" s="6"/>
      <c r="GH202" s="6"/>
      <c r="GI202" s="6"/>
      <c r="GN202" s="6"/>
      <c r="GY202" s="6"/>
      <c r="GZ202" s="6"/>
      <c r="HE202" s="6"/>
      <c r="HI202" s="6"/>
      <c r="HJ202" s="6"/>
      <c r="HO202" s="6"/>
      <c r="HZ202" s="6"/>
      <c r="IA202" s="6"/>
      <c r="IF202" s="6"/>
      <c r="IJ202" s="6"/>
      <c r="IK202" s="6"/>
      <c r="IP202" s="6"/>
      <c r="JA202" s="6"/>
      <c r="JB202" s="6"/>
      <c r="JG202" s="6"/>
      <c r="JK202" s="6"/>
      <c r="JL202" s="6"/>
      <c r="JQ202" s="6"/>
      <c r="KB202" s="6"/>
      <c r="KC202" s="6"/>
      <c r="KH202" s="6"/>
      <c r="KL202" s="6"/>
      <c r="KM202" s="6"/>
      <c r="KR202" s="6"/>
      <c r="LC202" s="6"/>
      <c r="LD202" s="6"/>
      <c r="LI202" s="6"/>
      <c r="LM202" s="6"/>
      <c r="LN202" s="6"/>
      <c r="LS202" s="6"/>
      <c r="MD202" s="6"/>
      <c r="ME202" s="6"/>
      <c r="MJ202" s="6"/>
      <c r="MN202" s="6"/>
      <c r="MO202" s="6"/>
      <c r="MT202" s="6"/>
      <c r="NE202" s="6"/>
      <c r="NF202" s="6"/>
      <c r="NK202" s="6"/>
      <c r="NO202" s="6"/>
      <c r="NP202" s="6"/>
      <c r="NU202" s="6"/>
      <c r="OF202" s="6"/>
      <c r="OG202" s="6"/>
      <c r="OL202" s="6"/>
      <c r="OP202" s="6"/>
      <c r="OQ202" s="6"/>
      <c r="OV202" s="6"/>
      <c r="PG202" s="6"/>
      <c r="PH202" s="6"/>
      <c r="PM202" s="6"/>
      <c r="PQ202" s="6"/>
      <c r="PR202" s="6"/>
      <c r="PW202" s="6"/>
      <c r="QH202" s="6"/>
      <c r="QI202" s="6"/>
      <c r="QN202" s="6"/>
      <c r="QR202" s="6"/>
      <c r="QS202" s="6"/>
      <c r="QX202" s="6"/>
      <c r="SJ202" s="6"/>
      <c r="SK202" s="6"/>
      <c r="SP202" s="6"/>
      <c r="ST202" s="6"/>
      <c r="SU202" s="6"/>
      <c r="SZ202" s="6"/>
    </row>
    <row r="203" spans="12:520" x14ac:dyDescent="0.3">
      <c r="AQ203" s="5"/>
      <c r="AR203" s="5"/>
      <c r="AS203" s="6"/>
      <c r="AT203" s="7"/>
      <c r="AW203" s="5"/>
      <c r="AY203" s="6"/>
      <c r="BC203" s="6"/>
      <c r="BD203" s="6"/>
      <c r="BI203" s="6"/>
      <c r="BT203" s="6"/>
      <c r="BU203" s="6"/>
      <c r="BZ203" s="6"/>
      <c r="CD203" s="6"/>
      <c r="CE203" s="6"/>
      <c r="CJ203" s="6"/>
      <c r="CU203" s="6"/>
      <c r="CV203" s="6"/>
      <c r="DA203" s="6"/>
      <c r="DE203" s="6"/>
      <c r="DF203" s="6"/>
      <c r="DK203" s="6"/>
      <c r="DV203" s="6"/>
      <c r="DW203" s="6"/>
      <c r="EB203" s="6"/>
      <c r="EF203" s="6"/>
      <c r="EG203" s="6"/>
      <c r="EL203" s="6"/>
      <c r="EW203" s="6"/>
      <c r="EX203" s="6"/>
      <c r="FC203" s="6"/>
      <c r="FG203" s="6"/>
      <c r="FH203" s="6"/>
      <c r="FM203" s="6"/>
      <c r="FX203" s="6"/>
      <c r="FY203" s="6"/>
      <c r="GD203" s="6"/>
      <c r="GH203" s="6"/>
      <c r="GI203" s="6"/>
      <c r="GN203" s="6"/>
      <c r="GY203" s="6"/>
      <c r="GZ203" s="6"/>
      <c r="HE203" s="6"/>
      <c r="HI203" s="6"/>
      <c r="HJ203" s="6"/>
      <c r="HO203" s="6"/>
      <c r="HZ203" s="6"/>
      <c r="IA203" s="6"/>
      <c r="IF203" s="6"/>
      <c r="IJ203" s="6"/>
      <c r="IK203" s="6"/>
      <c r="IP203" s="6"/>
      <c r="JA203" s="6"/>
      <c r="JB203" s="6"/>
      <c r="JG203" s="6"/>
      <c r="JK203" s="6"/>
      <c r="JL203" s="6"/>
      <c r="JQ203" s="6"/>
      <c r="KB203" s="6"/>
      <c r="KC203" s="6"/>
      <c r="KH203" s="6"/>
      <c r="KL203" s="6"/>
      <c r="KM203" s="6"/>
      <c r="KR203" s="6"/>
      <c r="LC203" s="6"/>
      <c r="LD203" s="6"/>
      <c r="LI203" s="6"/>
      <c r="LM203" s="6"/>
      <c r="LN203" s="6"/>
      <c r="LS203" s="6"/>
      <c r="MD203" s="6"/>
      <c r="ME203" s="6"/>
      <c r="MJ203" s="6"/>
      <c r="MN203" s="6"/>
      <c r="MO203" s="6"/>
      <c r="MT203" s="6"/>
      <c r="NE203" s="6"/>
      <c r="NF203" s="6"/>
      <c r="NK203" s="6"/>
      <c r="NO203" s="6"/>
      <c r="NP203" s="6"/>
      <c r="NU203" s="6"/>
      <c r="OF203" s="6"/>
      <c r="OG203" s="6"/>
      <c r="OL203" s="6"/>
      <c r="OP203" s="6"/>
      <c r="OQ203" s="6"/>
      <c r="OV203" s="6"/>
      <c r="PG203" s="6"/>
      <c r="PH203" s="6"/>
      <c r="PM203" s="6"/>
      <c r="PQ203" s="6"/>
      <c r="PR203" s="6"/>
      <c r="PW203" s="6"/>
      <c r="QH203" s="6"/>
      <c r="QI203" s="6"/>
      <c r="QN203" s="6"/>
      <c r="QR203" s="6"/>
      <c r="QS203" s="6"/>
      <c r="QX203" s="6"/>
      <c r="SJ203" s="6"/>
      <c r="SK203" s="6"/>
      <c r="SP203" s="6"/>
      <c r="ST203" s="6"/>
      <c r="SU203" s="6"/>
      <c r="SZ203" s="6"/>
    </row>
    <row r="204" spans="12:520" x14ac:dyDescent="0.3">
      <c r="AQ204" s="5"/>
      <c r="AR204" s="5"/>
      <c r="AS204" s="6"/>
      <c r="BT204" s="6"/>
      <c r="BU204" s="6"/>
      <c r="BZ204" s="6"/>
      <c r="CD204" s="6"/>
      <c r="CE204" s="6"/>
      <c r="CJ204" s="6"/>
      <c r="CU204" s="6"/>
      <c r="CV204" s="6"/>
      <c r="DA204" s="6"/>
      <c r="DE204" s="6"/>
      <c r="DF204" s="6"/>
      <c r="DK204" s="6"/>
      <c r="DV204" s="6"/>
      <c r="DW204" s="6"/>
      <c r="EB204" s="6"/>
      <c r="EF204" s="6"/>
      <c r="EG204" s="6"/>
      <c r="EL204" s="6"/>
      <c r="EW204" s="6"/>
      <c r="EX204" s="6"/>
      <c r="FC204" s="6"/>
      <c r="FG204" s="6"/>
      <c r="FH204" s="6"/>
      <c r="FM204" s="6"/>
      <c r="FX204" s="6"/>
      <c r="FY204" s="6"/>
      <c r="GD204" s="6"/>
      <c r="GH204" s="6"/>
      <c r="GI204" s="6"/>
      <c r="GN204" s="6"/>
      <c r="GY204" s="6"/>
      <c r="GZ204" s="6"/>
      <c r="HE204" s="6"/>
      <c r="HI204" s="6"/>
      <c r="HJ204" s="6"/>
      <c r="HO204" s="6"/>
      <c r="HZ204" s="6"/>
      <c r="IA204" s="6"/>
      <c r="IF204" s="6"/>
      <c r="IJ204" s="6"/>
      <c r="IK204" s="6"/>
      <c r="IP204" s="6"/>
      <c r="JA204" s="6"/>
      <c r="JB204" s="6"/>
      <c r="JG204" s="6"/>
      <c r="JK204" s="6"/>
      <c r="JL204" s="6"/>
      <c r="JQ204" s="6"/>
      <c r="KB204" s="6"/>
      <c r="KC204" s="6"/>
      <c r="KH204" s="6"/>
      <c r="KL204" s="6"/>
      <c r="KM204" s="6"/>
      <c r="KR204" s="6"/>
      <c r="LC204" s="6"/>
      <c r="LD204" s="6"/>
      <c r="LI204" s="6"/>
      <c r="LM204" s="6"/>
      <c r="LN204" s="6"/>
      <c r="LS204" s="6"/>
      <c r="MD204" s="6"/>
      <c r="ME204" s="6"/>
      <c r="MJ204" s="6"/>
      <c r="MN204" s="6"/>
      <c r="MO204" s="6"/>
      <c r="MT204" s="6"/>
      <c r="NE204" s="6"/>
      <c r="NF204" s="6"/>
      <c r="NK204" s="6"/>
      <c r="NO204" s="6"/>
      <c r="NP204" s="6"/>
      <c r="NU204" s="6"/>
      <c r="OF204" s="6"/>
      <c r="OG204" s="6"/>
      <c r="OL204" s="6"/>
      <c r="OP204" s="6"/>
      <c r="OQ204" s="6"/>
      <c r="OV204" s="6"/>
      <c r="PG204" s="6"/>
      <c r="PH204" s="6"/>
      <c r="PM204" s="6"/>
      <c r="PQ204" s="6"/>
      <c r="PR204" s="6"/>
      <c r="PW204" s="6"/>
      <c r="QH204" s="6"/>
      <c r="QI204" s="6"/>
      <c r="QN204" s="6"/>
      <c r="QR204" s="6"/>
      <c r="QS204" s="6"/>
      <c r="QX204" s="6"/>
      <c r="SJ204" s="6"/>
      <c r="SK204" s="6"/>
      <c r="SP204" s="6"/>
      <c r="ST204" s="6"/>
      <c r="SU204" s="6"/>
      <c r="SZ204" s="6"/>
    </row>
    <row r="205" spans="12:520" x14ac:dyDescent="0.3">
      <c r="AQ205" s="5"/>
      <c r="AR205" s="5"/>
      <c r="AS205" s="6"/>
      <c r="BT205" s="6"/>
      <c r="BU205" s="6"/>
      <c r="BZ205" s="6"/>
      <c r="CD205" s="6"/>
      <c r="CE205" s="6"/>
      <c r="CJ205" s="6"/>
      <c r="CU205" s="6"/>
      <c r="CV205" s="6"/>
      <c r="DA205" s="6"/>
      <c r="DE205" s="6"/>
      <c r="DF205" s="6"/>
      <c r="DK205" s="6"/>
      <c r="DV205" s="6"/>
      <c r="DW205" s="6"/>
      <c r="EB205" s="6"/>
      <c r="EF205" s="6"/>
      <c r="EG205" s="6"/>
      <c r="EL205" s="6"/>
      <c r="EW205" s="6"/>
      <c r="EX205" s="6"/>
      <c r="FC205" s="6"/>
      <c r="FG205" s="6"/>
      <c r="FH205" s="6"/>
      <c r="FM205" s="6"/>
      <c r="FX205" s="6"/>
      <c r="FY205" s="6"/>
      <c r="GD205" s="6"/>
      <c r="GH205" s="6"/>
      <c r="GI205" s="6"/>
      <c r="GN205" s="6"/>
      <c r="GY205" s="6"/>
      <c r="GZ205" s="6"/>
      <c r="HE205" s="6"/>
      <c r="HI205" s="6"/>
      <c r="HJ205" s="6"/>
      <c r="HO205" s="6"/>
      <c r="HZ205" s="6"/>
      <c r="IA205" s="6"/>
      <c r="IF205" s="6"/>
      <c r="IJ205" s="6"/>
      <c r="IK205" s="6"/>
      <c r="IP205" s="6"/>
      <c r="JA205" s="6"/>
      <c r="JB205" s="6"/>
      <c r="JG205" s="6"/>
      <c r="JK205" s="6"/>
      <c r="JL205" s="6"/>
      <c r="JQ205" s="6"/>
      <c r="JV205" s="8"/>
      <c r="JW205" s="8"/>
      <c r="JX205" s="8"/>
      <c r="KB205" s="6"/>
      <c r="KC205" s="6"/>
      <c r="KH205" s="6"/>
      <c r="KL205" s="6"/>
      <c r="KM205" s="6"/>
      <c r="KR205" s="6"/>
      <c r="LC205" s="6"/>
      <c r="LD205" s="6"/>
      <c r="LI205" s="6"/>
      <c r="LM205" s="6"/>
      <c r="LN205" s="6"/>
      <c r="LS205" s="6"/>
      <c r="MD205" s="6"/>
      <c r="ME205" s="6"/>
      <c r="MJ205" s="6"/>
      <c r="MN205" s="6"/>
      <c r="MO205" s="6"/>
      <c r="MT205" s="6"/>
      <c r="NE205" s="6"/>
      <c r="NF205" s="6"/>
      <c r="NK205" s="6"/>
      <c r="NO205" s="6"/>
      <c r="NP205" s="6"/>
      <c r="NU205" s="6"/>
      <c r="OF205" s="6"/>
      <c r="OG205" s="6"/>
      <c r="OL205" s="6"/>
      <c r="OP205" s="6"/>
      <c r="OQ205" s="6"/>
      <c r="OV205" s="6"/>
      <c r="PG205" s="6"/>
      <c r="PH205" s="6"/>
      <c r="PM205" s="6"/>
      <c r="PQ205" s="6"/>
      <c r="PR205" s="6"/>
      <c r="PW205" s="6"/>
      <c r="QH205" s="6"/>
      <c r="QI205" s="6"/>
      <c r="QN205" s="6"/>
      <c r="QR205" s="6"/>
      <c r="QS205" s="6"/>
      <c r="QX205" s="6"/>
      <c r="SJ205" s="6"/>
      <c r="SK205" s="6"/>
      <c r="SP205" s="6"/>
      <c r="ST205" s="6"/>
      <c r="SU205" s="6"/>
      <c r="SZ205" s="6"/>
    </row>
    <row r="206" spans="12:520" x14ac:dyDescent="0.3">
      <c r="AQ206" s="5"/>
      <c r="AR206" s="5"/>
      <c r="AS206" s="6"/>
      <c r="BT206" s="6"/>
      <c r="BU206" s="6"/>
      <c r="BZ206" s="6"/>
      <c r="CD206" s="6"/>
      <c r="CE206" s="6"/>
      <c r="CJ206" s="6"/>
      <c r="CU206" s="6"/>
      <c r="CV206" s="6"/>
      <c r="DA206" s="6"/>
      <c r="DE206" s="6"/>
      <c r="DF206" s="6"/>
      <c r="DK206" s="6"/>
      <c r="DV206" s="6"/>
      <c r="DW206" s="6"/>
      <c r="EB206" s="6"/>
      <c r="EF206" s="6"/>
      <c r="EG206" s="6"/>
      <c r="EL206" s="6"/>
      <c r="EW206" s="6"/>
      <c r="EX206" s="6"/>
      <c r="FC206" s="6"/>
      <c r="FG206" s="6"/>
      <c r="FH206" s="6"/>
      <c r="FM206" s="6"/>
      <c r="FX206" s="6"/>
      <c r="FY206" s="6"/>
      <c r="GD206" s="6"/>
      <c r="GH206" s="6"/>
      <c r="GI206" s="6"/>
      <c r="GN206" s="6"/>
      <c r="GY206" s="6"/>
      <c r="GZ206" s="6"/>
      <c r="HE206" s="6"/>
      <c r="HI206" s="6"/>
      <c r="HJ206" s="6"/>
      <c r="HO206" s="6"/>
      <c r="HZ206" s="6"/>
      <c r="IA206" s="6"/>
      <c r="IF206" s="6"/>
      <c r="IJ206" s="6"/>
      <c r="IK206" s="6"/>
      <c r="IP206" s="6"/>
      <c r="JA206" s="6"/>
      <c r="JB206" s="6"/>
      <c r="JG206" s="6"/>
      <c r="JK206" s="6"/>
      <c r="JL206" s="6"/>
      <c r="JQ206" s="6"/>
      <c r="LC206" s="6"/>
      <c r="LD206" s="6"/>
      <c r="LI206" s="6"/>
      <c r="LM206" s="6"/>
      <c r="LN206" s="6"/>
      <c r="LS206" s="6"/>
      <c r="MD206" s="6"/>
      <c r="ME206" s="6"/>
      <c r="MJ206" s="6"/>
      <c r="MN206" s="6"/>
      <c r="MO206" s="6"/>
      <c r="MT206" s="6"/>
      <c r="NE206" s="6"/>
      <c r="NF206" s="6"/>
      <c r="NK206" s="6"/>
      <c r="NO206" s="6"/>
      <c r="NP206" s="6"/>
      <c r="NU206" s="6"/>
      <c r="OF206" s="6"/>
      <c r="OG206" s="6"/>
      <c r="OL206" s="6"/>
      <c r="OP206" s="6"/>
      <c r="OQ206" s="6"/>
      <c r="OV206" s="6"/>
      <c r="PG206" s="6"/>
      <c r="PH206" s="6"/>
      <c r="PM206" s="6"/>
      <c r="PQ206" s="6"/>
      <c r="PR206" s="6"/>
      <c r="PW206" s="6"/>
      <c r="QH206" s="6"/>
      <c r="QI206" s="6"/>
      <c r="QN206" s="6"/>
      <c r="QR206" s="6"/>
      <c r="QS206" s="6"/>
      <c r="QX206" s="6"/>
      <c r="SJ206" s="6"/>
      <c r="SK206" s="6"/>
      <c r="SP206" s="6"/>
      <c r="ST206" s="6"/>
      <c r="SU206" s="6"/>
      <c r="SZ206" s="6"/>
    </row>
    <row r="207" spans="12:520" x14ac:dyDescent="0.3">
      <c r="AM207" s="8"/>
      <c r="AN207" s="8"/>
      <c r="AO207" s="8"/>
      <c r="AQ207" s="5"/>
      <c r="AR207" s="5"/>
      <c r="AS207" s="6"/>
      <c r="BT207" s="6"/>
      <c r="BU207" s="6"/>
      <c r="BZ207" s="6"/>
      <c r="CD207" s="6"/>
      <c r="CE207" s="6"/>
      <c r="CJ207" s="6"/>
      <c r="CU207" s="6"/>
      <c r="CV207" s="6"/>
      <c r="DA207" s="6"/>
      <c r="DE207" s="6"/>
      <c r="DF207" s="6"/>
      <c r="DK207" s="6"/>
      <c r="DV207" s="6"/>
      <c r="DW207" s="6"/>
      <c r="EB207" s="6"/>
      <c r="EF207" s="6"/>
      <c r="EG207" s="6"/>
      <c r="EL207" s="6"/>
      <c r="EW207" s="6"/>
      <c r="EX207" s="6"/>
      <c r="FC207" s="6"/>
      <c r="FG207" s="6"/>
      <c r="FH207" s="6"/>
      <c r="FM207" s="6"/>
      <c r="FX207" s="6"/>
      <c r="FY207" s="6"/>
      <c r="GD207" s="6"/>
      <c r="GH207" s="6"/>
      <c r="GI207" s="6"/>
      <c r="GN207" s="6"/>
      <c r="GY207" s="6"/>
      <c r="GZ207" s="6"/>
      <c r="HE207" s="6"/>
      <c r="HI207" s="6"/>
      <c r="HJ207" s="6"/>
      <c r="HO207" s="6"/>
      <c r="HZ207" s="6"/>
      <c r="IA207" s="6"/>
      <c r="IF207" s="6"/>
      <c r="IJ207" s="6"/>
      <c r="IK207" s="6"/>
      <c r="IP207" s="6"/>
      <c r="JA207" s="6"/>
      <c r="JB207" s="6"/>
      <c r="JG207" s="6"/>
      <c r="JK207" s="6"/>
      <c r="JL207" s="6"/>
      <c r="JQ207" s="6"/>
      <c r="LC207" s="6"/>
      <c r="LD207" s="6"/>
      <c r="LI207" s="6"/>
      <c r="LM207" s="6"/>
      <c r="LN207" s="6"/>
      <c r="LS207" s="6"/>
      <c r="MD207" s="6"/>
      <c r="ME207" s="6"/>
      <c r="MJ207" s="6"/>
      <c r="MN207" s="6"/>
      <c r="MO207" s="6"/>
      <c r="MT207" s="6"/>
      <c r="NE207" s="6"/>
      <c r="NF207" s="6"/>
      <c r="NK207" s="6"/>
      <c r="NO207" s="6"/>
      <c r="NP207" s="6"/>
      <c r="NU207" s="6"/>
      <c r="OF207" s="6"/>
      <c r="OG207" s="6"/>
      <c r="OL207" s="6"/>
      <c r="OP207" s="6"/>
      <c r="OQ207" s="6"/>
      <c r="OV207" s="6"/>
      <c r="PA207" s="8"/>
      <c r="PB207" s="8"/>
      <c r="PC207" s="8"/>
      <c r="PG207" s="6"/>
      <c r="PH207" s="6"/>
      <c r="PM207" s="6"/>
      <c r="PQ207" s="6"/>
      <c r="PR207" s="6"/>
      <c r="PW207" s="6"/>
      <c r="QH207" s="6"/>
      <c r="QI207" s="6"/>
      <c r="QN207" s="6"/>
      <c r="QR207" s="6"/>
      <c r="QS207" s="6"/>
      <c r="QX207" s="6"/>
      <c r="SJ207" s="6"/>
      <c r="SK207" s="6"/>
      <c r="SP207" s="6"/>
      <c r="ST207" s="6"/>
      <c r="SU207" s="6"/>
      <c r="SZ207" s="6"/>
    </row>
    <row r="208" spans="12:520" x14ac:dyDescent="0.3">
      <c r="BT208" s="6"/>
      <c r="BU208" s="6"/>
      <c r="BZ208" s="6"/>
      <c r="CD208" s="6"/>
      <c r="CE208" s="6"/>
      <c r="CJ208" s="6"/>
      <c r="CU208" s="6"/>
      <c r="CV208" s="6"/>
      <c r="DA208" s="6"/>
      <c r="DE208" s="6"/>
      <c r="DF208" s="6"/>
      <c r="DK208" s="6"/>
      <c r="DV208" s="6"/>
      <c r="DW208" s="6"/>
      <c r="EB208" s="6"/>
      <c r="EF208" s="6"/>
      <c r="EG208" s="6"/>
      <c r="EL208" s="6"/>
      <c r="EW208" s="6"/>
      <c r="EX208" s="6"/>
      <c r="FC208" s="6"/>
      <c r="FG208" s="6"/>
      <c r="FH208" s="6"/>
      <c r="FM208" s="6"/>
      <c r="FX208" s="6"/>
      <c r="FY208" s="6"/>
      <c r="GD208" s="6"/>
      <c r="GH208" s="6"/>
      <c r="GI208" s="6"/>
      <c r="GN208" s="6"/>
      <c r="GY208" s="6"/>
      <c r="GZ208" s="6"/>
      <c r="HE208" s="6"/>
      <c r="HI208" s="6"/>
      <c r="HJ208" s="6"/>
      <c r="HO208" s="6"/>
      <c r="HZ208" s="6"/>
      <c r="IA208" s="6"/>
      <c r="IF208" s="6"/>
      <c r="IJ208" s="6"/>
      <c r="IK208" s="6"/>
      <c r="IP208" s="6"/>
      <c r="JA208" s="6"/>
      <c r="JB208" s="6"/>
      <c r="JG208" s="6"/>
      <c r="JK208" s="6"/>
      <c r="JL208" s="6"/>
      <c r="JQ208" s="6"/>
      <c r="LC208" s="6"/>
      <c r="LD208" s="6"/>
      <c r="LI208" s="6"/>
      <c r="LM208" s="6"/>
      <c r="LN208" s="6"/>
      <c r="LS208" s="6"/>
      <c r="MD208" s="6"/>
      <c r="ME208" s="6"/>
      <c r="MJ208" s="6"/>
      <c r="MN208" s="6"/>
      <c r="MO208" s="6"/>
      <c r="MT208" s="6"/>
      <c r="NE208" s="6"/>
      <c r="NF208" s="6"/>
      <c r="NK208" s="6"/>
      <c r="NO208" s="6"/>
      <c r="NP208" s="6"/>
      <c r="NU208" s="6"/>
      <c r="OF208" s="6"/>
      <c r="OG208" s="6"/>
      <c r="OL208" s="6"/>
      <c r="OP208" s="6"/>
      <c r="OQ208" s="6"/>
      <c r="OV208" s="6"/>
      <c r="QH208" s="6"/>
      <c r="QI208" s="6"/>
      <c r="QN208" s="6"/>
      <c r="QR208" s="6"/>
      <c r="QS208" s="6"/>
      <c r="QX208" s="6"/>
      <c r="SJ208" s="6"/>
      <c r="SK208" s="6"/>
      <c r="SP208" s="6"/>
      <c r="ST208" s="6"/>
      <c r="SU208" s="6"/>
      <c r="SZ208" s="6"/>
    </row>
    <row r="209" spans="66:520" x14ac:dyDescent="0.3">
      <c r="BN209" s="8"/>
      <c r="BO209" s="8"/>
      <c r="BP209" s="8"/>
      <c r="BT209" s="6"/>
      <c r="BU209" s="6"/>
      <c r="BZ209" s="6"/>
      <c r="CD209" s="6"/>
      <c r="CE209" s="6"/>
      <c r="CJ209" s="6"/>
      <c r="CO209" s="8"/>
      <c r="CP209" s="8"/>
      <c r="CQ209" s="8"/>
      <c r="CU209" s="6"/>
      <c r="CV209" s="6"/>
      <c r="DA209" s="6"/>
      <c r="DE209" s="6"/>
      <c r="DF209" s="6"/>
      <c r="DK209" s="6"/>
      <c r="DP209" s="8"/>
      <c r="DQ209" s="8"/>
      <c r="DR209" s="8"/>
      <c r="DV209" s="6"/>
      <c r="DW209" s="6"/>
      <c r="EB209" s="6"/>
      <c r="EF209" s="6"/>
      <c r="EG209" s="6"/>
      <c r="EL209" s="6"/>
      <c r="EQ209" s="8"/>
      <c r="ER209" s="8"/>
      <c r="ES209" s="8"/>
      <c r="EW209" s="6"/>
      <c r="EX209" s="6"/>
      <c r="FC209" s="6"/>
      <c r="FG209" s="6"/>
      <c r="FH209" s="6"/>
      <c r="FM209" s="6"/>
      <c r="FR209" s="8"/>
      <c r="FS209" s="8"/>
      <c r="FT209" s="8"/>
      <c r="FX209" s="6"/>
      <c r="FY209" s="6"/>
      <c r="GD209" s="6"/>
      <c r="GH209" s="6"/>
      <c r="GI209" s="6"/>
      <c r="GN209" s="6"/>
      <c r="GS209" s="8"/>
      <c r="GT209" s="8"/>
      <c r="GU209" s="8"/>
      <c r="GY209" s="6"/>
      <c r="GZ209" s="6"/>
      <c r="HE209" s="6"/>
      <c r="HI209" s="6"/>
      <c r="HJ209" s="6"/>
      <c r="HO209" s="6"/>
      <c r="HT209" s="8"/>
      <c r="HU209" s="8"/>
      <c r="HV209" s="8"/>
      <c r="HZ209" s="6"/>
      <c r="IA209" s="6"/>
      <c r="IF209" s="6"/>
      <c r="IJ209" s="6"/>
      <c r="IK209" s="6"/>
      <c r="IP209" s="6"/>
      <c r="IU209" s="8"/>
      <c r="IV209" s="8"/>
      <c r="IW209" s="8"/>
      <c r="JA209" s="6"/>
      <c r="JB209" s="6"/>
      <c r="JG209" s="6"/>
      <c r="JK209" s="6"/>
      <c r="JL209" s="6"/>
      <c r="JQ209" s="6"/>
      <c r="KW209" s="8"/>
      <c r="KX209" s="8"/>
      <c r="KY209" s="8"/>
      <c r="LC209" s="6"/>
      <c r="LD209" s="6"/>
      <c r="LI209" s="6"/>
      <c r="LM209" s="6"/>
      <c r="LN209" s="6"/>
      <c r="LS209" s="6"/>
      <c r="LX209" s="8"/>
      <c r="LY209" s="8"/>
      <c r="LZ209" s="8"/>
      <c r="MD209" s="6"/>
      <c r="ME209" s="6"/>
      <c r="MJ209" s="6"/>
      <c r="MN209" s="6"/>
      <c r="MO209" s="6"/>
      <c r="MT209" s="6"/>
      <c r="MY209" s="8"/>
      <c r="MZ209" s="8"/>
      <c r="NA209" s="8"/>
      <c r="NE209" s="6"/>
      <c r="NF209" s="6"/>
      <c r="NK209" s="6"/>
      <c r="NO209" s="6"/>
      <c r="NP209" s="6"/>
      <c r="NU209" s="6"/>
      <c r="NZ209" s="8"/>
      <c r="OA209" s="8"/>
      <c r="OB209" s="8"/>
      <c r="OF209" s="6"/>
      <c r="OG209" s="6"/>
      <c r="OL209" s="6"/>
      <c r="OP209" s="6"/>
      <c r="OQ209" s="6"/>
      <c r="OV209" s="6"/>
      <c r="QB209" s="8"/>
      <c r="QC209" s="8"/>
      <c r="QD209" s="8"/>
      <c r="QH209" s="6"/>
      <c r="QI209" s="6"/>
      <c r="QN209" s="6"/>
      <c r="QR209" s="6"/>
      <c r="QS209" s="6"/>
      <c r="QX209" s="6"/>
      <c r="SD209" s="8"/>
      <c r="SE209" s="8"/>
      <c r="SF209" s="8"/>
      <c r="SJ209" s="6"/>
      <c r="SK209" s="6"/>
      <c r="SP209" s="6"/>
      <c r="ST209" s="6"/>
      <c r="SU209" s="6"/>
      <c r="SZ209" s="6"/>
    </row>
    <row r="230" spans="12:520" x14ac:dyDescent="0.3">
      <c r="R230" s="6"/>
      <c r="S230" s="7"/>
      <c r="T230" s="7"/>
      <c r="Z230" s="6"/>
      <c r="AA230" s="7"/>
      <c r="AG230" s="6"/>
      <c r="AX230" s="6"/>
      <c r="BB230" s="6"/>
      <c r="BC230" s="7"/>
      <c r="BH230" s="6"/>
      <c r="BS230" s="6"/>
      <c r="BT230" s="7"/>
      <c r="BY230" s="6"/>
      <c r="CC230" s="6"/>
      <c r="CD230" s="7"/>
      <c r="CI230" s="6"/>
      <c r="CT230" s="6"/>
      <c r="CU230" s="7"/>
      <c r="CZ230" s="6"/>
      <c r="DD230" s="6"/>
      <c r="DE230" s="7"/>
      <c r="DJ230" s="6"/>
      <c r="DU230" s="6"/>
      <c r="DV230" s="7"/>
      <c r="EA230" s="6"/>
      <c r="EE230" s="6"/>
      <c r="EF230" s="7"/>
      <c r="EK230" s="6"/>
      <c r="EV230" s="6"/>
      <c r="EW230" s="7"/>
      <c r="FB230" s="6"/>
      <c r="FF230" s="6"/>
      <c r="FG230" s="7"/>
      <c r="FL230" s="6"/>
      <c r="FW230" s="6"/>
      <c r="FX230" s="7"/>
      <c r="GC230" s="6"/>
      <c r="GG230" s="6"/>
      <c r="GH230" s="7"/>
      <c r="GM230" s="6"/>
      <c r="GX230" s="6"/>
      <c r="GY230" s="7"/>
      <c r="HD230" s="6"/>
      <c r="HH230" s="6"/>
      <c r="HI230" s="7"/>
      <c r="HN230" s="6"/>
      <c r="HY230" s="6"/>
      <c r="HZ230" s="7"/>
      <c r="IE230" s="6"/>
      <c r="II230" s="6"/>
      <c r="IJ230" s="7"/>
      <c r="IO230" s="6"/>
      <c r="IZ230" s="6"/>
      <c r="JA230" s="7"/>
      <c r="JF230" s="6"/>
      <c r="JJ230" s="6"/>
      <c r="JK230" s="7"/>
      <c r="JP230" s="6"/>
      <c r="KA230" s="6"/>
      <c r="KB230" s="7"/>
      <c r="KG230" s="6"/>
      <c r="KK230" s="6"/>
      <c r="KL230" s="7"/>
      <c r="KQ230" s="6"/>
      <c r="LB230" s="6"/>
      <c r="LC230" s="7"/>
      <c r="LH230" s="6"/>
      <c r="LL230" s="6"/>
      <c r="LM230" s="7"/>
      <c r="LR230" s="6"/>
      <c r="MC230" s="6"/>
      <c r="MD230" s="7"/>
      <c r="MI230" s="6"/>
      <c r="MM230" s="6"/>
      <c r="MN230" s="7"/>
      <c r="MS230" s="6"/>
      <c r="ND230" s="6"/>
      <c r="NE230" s="7"/>
      <c r="NJ230" s="6"/>
      <c r="NN230" s="6"/>
      <c r="NO230" s="7"/>
      <c r="NT230" s="6"/>
      <c r="OE230" s="6"/>
      <c r="OF230" s="7"/>
      <c r="OK230" s="6"/>
      <c r="OO230" s="6"/>
      <c r="OP230" s="7"/>
      <c r="OU230" s="6"/>
      <c r="PF230" s="6"/>
      <c r="PG230" s="7"/>
      <c r="PL230" s="6"/>
      <c r="PP230" s="6"/>
      <c r="PQ230" s="7"/>
      <c r="PV230" s="6"/>
      <c r="QG230" s="6"/>
      <c r="QH230" s="7"/>
      <c r="QM230" s="6"/>
      <c r="QQ230" s="6"/>
      <c r="QR230" s="7"/>
      <c r="QW230" s="6"/>
      <c r="RH230" s="6"/>
      <c r="RI230" s="7"/>
      <c r="RN230" s="6"/>
      <c r="RR230" s="6"/>
      <c r="RS230" s="7"/>
      <c r="RX230" s="6"/>
      <c r="SI230" s="6"/>
      <c r="SJ230" s="7"/>
      <c r="SO230" s="6"/>
      <c r="SS230" s="6"/>
      <c r="ST230" s="7"/>
      <c r="SY230" s="6"/>
    </row>
    <row r="231" spans="12:520" x14ac:dyDescent="0.3">
      <c r="S231" s="6"/>
      <c r="T231" s="6"/>
      <c r="U231" s="6"/>
      <c r="W231" s="6"/>
      <c r="AA231" s="6"/>
      <c r="AB231" s="6"/>
      <c r="AH231" s="6"/>
      <c r="AT231" s="6"/>
      <c r="AY231" s="6"/>
      <c r="BC231" s="6"/>
      <c r="BD231" s="6"/>
      <c r="BI231" s="6"/>
      <c r="BT231" s="6"/>
      <c r="BU231" s="6"/>
      <c r="BZ231" s="6"/>
      <c r="CD231" s="6"/>
      <c r="CE231" s="6"/>
      <c r="CJ231" s="6"/>
      <c r="CU231" s="6"/>
      <c r="CV231" s="6"/>
      <c r="DA231" s="6"/>
      <c r="DE231" s="6"/>
      <c r="DF231" s="6"/>
      <c r="DK231" s="6"/>
      <c r="DV231" s="6"/>
      <c r="DW231" s="6"/>
      <c r="EB231" s="6"/>
      <c r="EF231" s="6"/>
      <c r="EG231" s="6"/>
      <c r="EL231" s="6"/>
      <c r="EW231" s="6"/>
      <c r="EX231" s="6"/>
      <c r="FC231" s="6"/>
      <c r="FG231" s="6"/>
      <c r="FH231" s="6"/>
      <c r="FM231" s="6"/>
      <c r="FX231" s="6"/>
      <c r="FY231" s="6"/>
      <c r="GD231" s="6"/>
      <c r="GH231" s="6"/>
      <c r="GI231" s="6"/>
      <c r="GN231" s="6"/>
      <c r="GY231" s="6"/>
      <c r="GZ231" s="6"/>
      <c r="HE231" s="6"/>
      <c r="HI231" s="6"/>
      <c r="HJ231" s="6"/>
      <c r="HO231" s="6"/>
      <c r="HZ231" s="6"/>
      <c r="IA231" s="6"/>
      <c r="IF231" s="6"/>
      <c r="IJ231" s="6"/>
      <c r="IK231" s="6"/>
      <c r="IP231" s="6"/>
      <c r="JA231" s="6"/>
      <c r="JB231" s="6"/>
      <c r="JG231" s="6"/>
      <c r="JK231" s="6"/>
      <c r="JL231" s="6"/>
      <c r="JQ231" s="6"/>
      <c r="KB231" s="6"/>
      <c r="KC231" s="6"/>
      <c r="KH231" s="6"/>
      <c r="KL231" s="6"/>
      <c r="KM231" s="6"/>
      <c r="KR231" s="6"/>
      <c r="LC231" s="6"/>
      <c r="LD231" s="6"/>
      <c r="LI231" s="6"/>
      <c r="LM231" s="6"/>
      <c r="LN231" s="6"/>
      <c r="LS231" s="6"/>
      <c r="MD231" s="6"/>
      <c r="ME231" s="6"/>
      <c r="MJ231" s="6"/>
      <c r="MN231" s="6"/>
      <c r="MO231" s="6"/>
      <c r="MT231" s="6"/>
      <c r="NE231" s="6"/>
      <c r="NF231" s="6"/>
      <c r="NK231" s="6"/>
      <c r="NO231" s="6"/>
      <c r="NP231" s="6"/>
      <c r="NU231" s="6"/>
      <c r="OF231" s="6"/>
      <c r="OG231" s="6"/>
      <c r="OL231" s="6"/>
      <c r="OP231" s="6"/>
      <c r="OQ231" s="6"/>
      <c r="OV231" s="6"/>
      <c r="PG231" s="6"/>
      <c r="PH231" s="6"/>
      <c r="PM231" s="6"/>
      <c r="PQ231" s="6"/>
      <c r="PR231" s="6"/>
      <c r="PW231" s="6"/>
      <c r="QH231" s="6"/>
      <c r="QI231" s="6"/>
      <c r="QN231" s="6"/>
      <c r="QR231" s="6"/>
      <c r="QS231" s="6"/>
      <c r="QX231" s="6"/>
      <c r="RI231" s="6"/>
      <c r="RJ231" s="6"/>
      <c r="RO231" s="6"/>
      <c r="RS231" s="6"/>
      <c r="RT231" s="6"/>
      <c r="RY231" s="6"/>
      <c r="SJ231" s="6"/>
      <c r="SK231" s="6"/>
      <c r="SP231" s="6"/>
      <c r="ST231" s="6"/>
      <c r="SU231" s="6"/>
      <c r="SZ231" s="6"/>
    </row>
    <row r="232" spans="12:520" x14ac:dyDescent="0.3">
      <c r="S232" s="6"/>
      <c r="T232" s="6"/>
      <c r="U232" s="6"/>
      <c r="W232" s="6"/>
      <c r="AA232" s="6"/>
      <c r="AB232" s="6"/>
      <c r="AH232" s="6"/>
      <c r="AT232" s="6"/>
      <c r="AY232" s="6"/>
      <c r="BC232" s="6"/>
      <c r="BD232" s="6"/>
      <c r="BI232" s="6"/>
      <c r="BT232" s="6"/>
      <c r="BU232" s="6"/>
      <c r="BZ232" s="6"/>
      <c r="CD232" s="6"/>
      <c r="CE232" s="6"/>
      <c r="CJ232" s="6"/>
      <c r="CU232" s="6"/>
      <c r="CV232" s="6"/>
      <c r="DA232" s="6"/>
      <c r="DE232" s="6"/>
      <c r="DF232" s="6"/>
      <c r="DK232" s="6"/>
      <c r="DV232" s="6"/>
      <c r="DW232" s="6"/>
      <c r="EB232" s="6"/>
      <c r="EF232" s="6"/>
      <c r="EG232" s="6"/>
      <c r="EL232" s="6"/>
      <c r="EW232" s="6"/>
      <c r="EX232" s="6"/>
      <c r="FC232" s="6"/>
      <c r="FG232" s="6"/>
      <c r="FH232" s="6"/>
      <c r="FM232" s="6"/>
      <c r="FX232" s="6"/>
      <c r="FY232" s="6"/>
      <c r="GD232" s="6"/>
      <c r="GH232" s="6"/>
      <c r="GI232" s="6"/>
      <c r="GN232" s="6"/>
      <c r="GY232" s="6"/>
      <c r="GZ232" s="6"/>
      <c r="HE232" s="6"/>
      <c r="HI232" s="6"/>
      <c r="HJ232" s="6"/>
      <c r="HO232" s="6"/>
      <c r="HZ232" s="6"/>
      <c r="IA232" s="6"/>
      <c r="IF232" s="6"/>
      <c r="IJ232" s="6"/>
      <c r="IK232" s="6"/>
      <c r="IP232" s="6"/>
      <c r="JA232" s="6"/>
      <c r="JB232" s="6"/>
      <c r="JG232" s="6"/>
      <c r="JK232" s="6"/>
      <c r="JL232" s="6"/>
      <c r="JQ232" s="6"/>
      <c r="KB232" s="6"/>
      <c r="KC232" s="6"/>
      <c r="KH232" s="6"/>
      <c r="KL232" s="6"/>
      <c r="KM232" s="6"/>
      <c r="KR232" s="6"/>
      <c r="LC232" s="6"/>
      <c r="LD232" s="6"/>
      <c r="LI232" s="6"/>
      <c r="LM232" s="6"/>
      <c r="LN232" s="6"/>
      <c r="LS232" s="6"/>
      <c r="MD232" s="6"/>
      <c r="ME232" s="6"/>
      <c r="MJ232" s="6"/>
      <c r="MN232" s="6"/>
      <c r="MO232" s="6"/>
      <c r="MT232" s="6"/>
      <c r="NE232" s="6"/>
      <c r="NF232" s="6"/>
      <c r="NK232" s="6"/>
      <c r="NO232" s="6"/>
      <c r="NP232" s="6"/>
      <c r="NU232" s="6"/>
      <c r="OF232" s="6"/>
      <c r="OG232" s="6"/>
      <c r="OL232" s="6"/>
      <c r="OP232" s="6"/>
      <c r="OQ232" s="6"/>
      <c r="OV232" s="6"/>
      <c r="PG232" s="6"/>
      <c r="PH232" s="6"/>
      <c r="PM232" s="6"/>
      <c r="PQ232" s="6"/>
      <c r="PR232" s="6"/>
      <c r="PW232" s="6"/>
      <c r="QB232" s="8"/>
      <c r="QC232" s="8"/>
      <c r="QD232" s="8"/>
      <c r="QH232" s="6"/>
      <c r="QI232" s="6"/>
      <c r="QN232" s="6"/>
      <c r="QR232" s="6"/>
      <c r="QS232" s="6"/>
      <c r="QX232" s="6"/>
      <c r="RI232" s="6"/>
      <c r="RJ232" s="6"/>
      <c r="RO232" s="6"/>
      <c r="RS232" s="6"/>
      <c r="RT232" s="6"/>
      <c r="RY232" s="6"/>
      <c r="SJ232" s="6"/>
      <c r="SK232" s="6"/>
      <c r="SP232" s="6"/>
      <c r="ST232" s="6"/>
      <c r="SU232" s="6"/>
      <c r="SZ232" s="6"/>
    </row>
    <row r="233" spans="12:520" x14ac:dyDescent="0.3">
      <c r="S233" s="6"/>
      <c r="T233" s="6"/>
      <c r="U233" s="6"/>
      <c r="W233" s="6"/>
      <c r="AA233" s="6"/>
      <c r="AB233" s="6"/>
      <c r="AH233" s="6"/>
      <c r="AT233" s="6"/>
      <c r="AY233" s="6"/>
      <c r="BC233" s="6"/>
      <c r="BD233" s="6"/>
      <c r="BI233" s="6"/>
      <c r="BT233" s="6"/>
      <c r="BU233" s="6"/>
      <c r="BZ233" s="6"/>
      <c r="CD233" s="6"/>
      <c r="CE233" s="6"/>
      <c r="CJ233" s="6"/>
      <c r="CU233" s="6"/>
      <c r="CV233" s="6"/>
      <c r="DA233" s="6"/>
      <c r="DE233" s="6"/>
      <c r="DF233" s="6"/>
      <c r="DK233" s="6"/>
      <c r="DV233" s="6"/>
      <c r="DW233" s="6"/>
      <c r="EB233" s="6"/>
      <c r="EF233" s="6"/>
      <c r="EG233" s="6"/>
      <c r="EL233" s="6"/>
      <c r="EW233" s="6"/>
      <c r="EX233" s="6"/>
      <c r="FC233" s="6"/>
      <c r="FG233" s="6"/>
      <c r="FH233" s="6"/>
      <c r="FM233" s="6"/>
      <c r="FX233" s="6"/>
      <c r="FY233" s="6"/>
      <c r="GD233" s="6"/>
      <c r="GH233" s="6"/>
      <c r="GI233" s="6"/>
      <c r="GN233" s="6"/>
      <c r="GY233" s="6"/>
      <c r="GZ233" s="6"/>
      <c r="HE233" s="6"/>
      <c r="HI233" s="6"/>
      <c r="HJ233" s="6"/>
      <c r="HO233" s="6"/>
      <c r="HZ233" s="6"/>
      <c r="IA233" s="6"/>
      <c r="IF233" s="6"/>
      <c r="IJ233" s="6"/>
      <c r="IK233" s="6"/>
      <c r="IP233" s="6"/>
      <c r="IU233" s="8"/>
      <c r="IV233" s="8"/>
      <c r="IW233" s="8"/>
      <c r="JA233" s="6"/>
      <c r="JB233" s="6"/>
      <c r="JG233" s="6"/>
      <c r="JK233" s="6"/>
      <c r="JL233" s="6"/>
      <c r="JQ233" s="6"/>
      <c r="KB233" s="6"/>
      <c r="KC233" s="6"/>
      <c r="KH233" s="6"/>
      <c r="KL233" s="6"/>
      <c r="KM233" s="6"/>
      <c r="KR233" s="6"/>
      <c r="LC233" s="6"/>
      <c r="LD233" s="6"/>
      <c r="LI233" s="6"/>
      <c r="LM233" s="6"/>
      <c r="LN233" s="6"/>
      <c r="LS233" s="6"/>
      <c r="MD233" s="6"/>
      <c r="ME233" s="6"/>
      <c r="MJ233" s="6"/>
      <c r="MN233" s="6"/>
      <c r="MO233" s="6"/>
      <c r="MT233" s="6"/>
      <c r="NE233" s="6"/>
      <c r="NF233" s="6"/>
      <c r="NK233" s="6"/>
      <c r="NO233" s="6"/>
      <c r="NP233" s="6"/>
      <c r="NU233" s="6"/>
      <c r="OF233" s="6"/>
      <c r="OG233" s="6"/>
      <c r="OL233" s="6"/>
      <c r="OP233" s="6"/>
      <c r="OQ233" s="6"/>
      <c r="OV233" s="6"/>
      <c r="PG233" s="6"/>
      <c r="PH233" s="6"/>
      <c r="PM233" s="6"/>
      <c r="PQ233" s="6"/>
      <c r="PR233" s="6"/>
      <c r="PW233" s="6"/>
      <c r="RI233" s="6"/>
      <c r="RJ233" s="6"/>
      <c r="RO233" s="6"/>
      <c r="RS233" s="6"/>
      <c r="RT233" s="6"/>
      <c r="RY233" s="6"/>
      <c r="SJ233" s="6"/>
      <c r="SK233" s="6"/>
      <c r="SP233" s="6"/>
      <c r="ST233" s="6"/>
      <c r="SU233" s="6"/>
      <c r="SZ233" s="6"/>
    </row>
    <row r="234" spans="12:520" x14ac:dyDescent="0.3">
      <c r="S234" s="6"/>
      <c r="T234" s="6"/>
      <c r="U234" s="6"/>
      <c r="W234" s="6"/>
      <c r="AA234" s="6"/>
      <c r="AB234" s="6"/>
      <c r="AH234" s="6"/>
      <c r="AR234" s="6"/>
      <c r="AS234" s="7"/>
      <c r="AT234" s="6"/>
      <c r="AY234" s="6"/>
      <c r="BC234" s="6"/>
      <c r="BD234" s="6"/>
      <c r="BI234" s="6"/>
      <c r="BT234" s="6"/>
      <c r="BU234" s="6"/>
      <c r="BZ234" s="6"/>
      <c r="CD234" s="6"/>
      <c r="CE234" s="6"/>
      <c r="CJ234" s="6"/>
      <c r="CU234" s="6"/>
      <c r="CV234" s="6"/>
      <c r="DA234" s="6"/>
      <c r="DE234" s="6"/>
      <c r="DF234" s="6"/>
      <c r="DK234" s="6"/>
      <c r="DV234" s="6"/>
      <c r="DW234" s="6"/>
      <c r="EB234" s="6"/>
      <c r="EF234" s="6"/>
      <c r="EG234" s="6"/>
      <c r="EL234" s="6"/>
      <c r="EW234" s="6"/>
      <c r="EX234" s="6"/>
      <c r="FC234" s="6"/>
      <c r="FG234" s="6"/>
      <c r="FH234" s="6"/>
      <c r="FM234" s="6"/>
      <c r="FX234" s="6"/>
      <c r="FY234" s="6"/>
      <c r="GD234" s="6"/>
      <c r="GH234" s="6"/>
      <c r="GI234" s="6"/>
      <c r="GN234" s="6"/>
      <c r="GY234" s="6"/>
      <c r="GZ234" s="6"/>
      <c r="HE234" s="6"/>
      <c r="HI234" s="6"/>
      <c r="HJ234" s="6"/>
      <c r="HO234" s="6"/>
      <c r="HZ234" s="6"/>
      <c r="IA234" s="6"/>
      <c r="IF234" s="6"/>
      <c r="IJ234" s="6"/>
      <c r="IK234" s="6"/>
      <c r="IP234" s="6"/>
      <c r="KB234" s="6"/>
      <c r="KC234" s="6"/>
      <c r="KH234" s="6"/>
      <c r="KL234" s="6"/>
      <c r="KM234" s="6"/>
      <c r="KR234" s="6"/>
      <c r="LC234" s="6"/>
      <c r="LD234" s="6"/>
      <c r="LI234" s="6"/>
      <c r="LM234" s="6"/>
      <c r="LN234" s="6"/>
      <c r="LS234" s="6"/>
      <c r="MD234" s="6"/>
      <c r="ME234" s="6"/>
      <c r="MJ234" s="6"/>
      <c r="MN234" s="6"/>
      <c r="MO234" s="6"/>
      <c r="MT234" s="6"/>
      <c r="NE234" s="6"/>
      <c r="NF234" s="6"/>
      <c r="NK234" s="6"/>
      <c r="NO234" s="6"/>
      <c r="NP234" s="6"/>
      <c r="NU234" s="6"/>
      <c r="OF234" s="6"/>
      <c r="OG234" s="6"/>
      <c r="OL234" s="6"/>
      <c r="OP234" s="6"/>
      <c r="OQ234" s="6"/>
      <c r="OV234" s="6"/>
      <c r="PG234" s="6"/>
      <c r="PH234" s="6"/>
      <c r="PM234" s="6"/>
      <c r="PQ234" s="6"/>
      <c r="PR234" s="6"/>
      <c r="PW234" s="6"/>
      <c r="RI234" s="6"/>
      <c r="RJ234" s="6"/>
      <c r="RO234" s="6"/>
      <c r="RS234" s="6"/>
      <c r="RT234" s="6"/>
      <c r="RY234" s="6"/>
      <c r="SJ234" s="6"/>
      <c r="SK234" s="6"/>
      <c r="SP234" s="6"/>
      <c r="ST234" s="6"/>
      <c r="SU234" s="6"/>
      <c r="SZ234" s="6"/>
    </row>
    <row r="235" spans="12:520" x14ac:dyDescent="0.3">
      <c r="L235" s="8"/>
      <c r="M235" s="8"/>
      <c r="N235" s="8"/>
      <c r="S235" s="6"/>
      <c r="T235" s="6"/>
      <c r="U235" s="6"/>
      <c r="W235" s="6"/>
      <c r="AA235" s="6"/>
      <c r="AB235" s="6"/>
      <c r="AH235" s="6"/>
      <c r="AS235" s="6"/>
      <c r="AT235" s="6"/>
      <c r="AY235" s="6"/>
      <c r="BC235" s="6"/>
      <c r="BD235" s="6"/>
      <c r="BI235" s="6"/>
      <c r="BT235" s="6"/>
      <c r="BU235" s="6"/>
      <c r="BZ235" s="6"/>
      <c r="CD235" s="6"/>
      <c r="CE235" s="6"/>
      <c r="CJ235" s="6"/>
      <c r="CU235" s="6"/>
      <c r="CV235" s="6"/>
      <c r="DA235" s="6"/>
      <c r="DE235" s="6"/>
      <c r="DF235" s="6"/>
      <c r="DK235" s="6"/>
      <c r="DV235" s="6"/>
      <c r="DW235" s="6"/>
      <c r="EB235" s="6"/>
      <c r="EF235" s="6"/>
      <c r="EG235" s="6"/>
      <c r="EL235" s="6"/>
      <c r="EW235" s="6"/>
      <c r="EX235" s="6"/>
      <c r="FC235" s="6"/>
      <c r="FG235" s="6"/>
      <c r="FH235" s="6"/>
      <c r="FM235" s="6"/>
      <c r="FX235" s="6"/>
      <c r="FY235" s="6"/>
      <c r="GD235" s="6"/>
      <c r="GH235" s="6"/>
      <c r="GI235" s="6"/>
      <c r="GN235" s="6"/>
      <c r="GY235" s="6"/>
      <c r="GZ235" s="6"/>
      <c r="HE235" s="6"/>
      <c r="HI235" s="6"/>
      <c r="HJ235" s="6"/>
      <c r="HO235" s="6"/>
      <c r="HZ235" s="6"/>
      <c r="IA235" s="6"/>
      <c r="IF235" s="6"/>
      <c r="IJ235" s="6"/>
      <c r="IK235" s="6"/>
      <c r="IP235" s="6"/>
      <c r="KB235" s="6"/>
      <c r="KC235" s="6"/>
      <c r="KH235" s="6"/>
      <c r="KL235" s="6"/>
      <c r="KM235" s="6"/>
      <c r="KR235" s="6"/>
      <c r="LC235" s="6"/>
      <c r="LD235" s="6"/>
      <c r="LI235" s="6"/>
      <c r="LM235" s="6"/>
      <c r="LN235" s="6"/>
      <c r="LS235" s="6"/>
      <c r="MD235" s="6"/>
      <c r="ME235" s="6"/>
      <c r="MJ235" s="6"/>
      <c r="MN235" s="6"/>
      <c r="MO235" s="6"/>
      <c r="MT235" s="6"/>
      <c r="NE235" s="6"/>
      <c r="NF235" s="6"/>
      <c r="NK235" s="6"/>
      <c r="NO235" s="6"/>
      <c r="NP235" s="6"/>
      <c r="NU235" s="6"/>
      <c r="OF235" s="6"/>
      <c r="OG235" s="6"/>
      <c r="OL235" s="6"/>
      <c r="OP235" s="6"/>
      <c r="OQ235" s="6"/>
      <c r="OV235" s="6"/>
      <c r="PG235" s="6"/>
      <c r="PH235" s="6"/>
      <c r="PM235" s="6"/>
      <c r="PQ235" s="6"/>
      <c r="PR235" s="6"/>
      <c r="PW235" s="6"/>
      <c r="RI235" s="6"/>
      <c r="RJ235" s="6"/>
      <c r="RO235" s="6"/>
      <c r="RS235" s="6"/>
      <c r="RT235" s="6"/>
      <c r="RY235" s="6"/>
      <c r="SJ235" s="6"/>
      <c r="SK235" s="6"/>
      <c r="SP235" s="6"/>
      <c r="ST235" s="6"/>
      <c r="SU235" s="6"/>
      <c r="SZ235" s="6"/>
    </row>
    <row r="236" spans="12:520" x14ac:dyDescent="0.3">
      <c r="AS236" s="6"/>
      <c r="AT236" s="6"/>
      <c r="AY236" s="6"/>
      <c r="BC236" s="6"/>
      <c r="BD236" s="6"/>
      <c r="BI236" s="6"/>
      <c r="BT236" s="6"/>
      <c r="BU236" s="6"/>
      <c r="BZ236" s="6"/>
      <c r="CD236" s="6"/>
      <c r="CE236" s="6"/>
      <c r="CJ236" s="6"/>
      <c r="CU236" s="6"/>
      <c r="CV236" s="6"/>
      <c r="DA236" s="6"/>
      <c r="DE236" s="6"/>
      <c r="DF236" s="6"/>
      <c r="DK236" s="6"/>
      <c r="DV236" s="6"/>
      <c r="DW236" s="6"/>
      <c r="EB236" s="6"/>
      <c r="EF236" s="6"/>
      <c r="EG236" s="6"/>
      <c r="EL236" s="6"/>
      <c r="EW236" s="6"/>
      <c r="EX236" s="6"/>
      <c r="FC236" s="6"/>
      <c r="FG236" s="6"/>
      <c r="FH236" s="6"/>
      <c r="FM236" s="6"/>
      <c r="FX236" s="6"/>
      <c r="FY236" s="6"/>
      <c r="GD236" s="6"/>
      <c r="GH236" s="6"/>
      <c r="GI236" s="6"/>
      <c r="GN236" s="6"/>
      <c r="GY236" s="6"/>
      <c r="GZ236" s="6"/>
      <c r="HE236" s="6"/>
      <c r="HI236" s="6"/>
      <c r="HJ236" s="6"/>
      <c r="HO236" s="6"/>
      <c r="HZ236" s="6"/>
      <c r="IA236" s="6"/>
      <c r="IF236" s="6"/>
      <c r="IJ236" s="6"/>
      <c r="IK236" s="6"/>
      <c r="IP236" s="6"/>
      <c r="KB236" s="6"/>
      <c r="KC236" s="6"/>
      <c r="KH236" s="6"/>
      <c r="KL236" s="6"/>
      <c r="KM236" s="6"/>
      <c r="KR236" s="6"/>
      <c r="LC236" s="6"/>
      <c r="LD236" s="6"/>
      <c r="LI236" s="6"/>
      <c r="LM236" s="6"/>
      <c r="LN236" s="6"/>
      <c r="LS236" s="6"/>
      <c r="MD236" s="6"/>
      <c r="ME236" s="6"/>
      <c r="MJ236" s="6"/>
      <c r="MN236" s="6"/>
      <c r="MO236" s="6"/>
      <c r="MT236" s="6"/>
      <c r="NE236" s="6"/>
      <c r="NF236" s="6"/>
      <c r="NK236" s="6"/>
      <c r="NO236" s="6"/>
      <c r="NP236" s="6"/>
      <c r="NU236" s="6"/>
      <c r="OF236" s="6"/>
      <c r="OG236" s="6"/>
      <c r="OL236" s="6"/>
      <c r="OP236" s="6"/>
      <c r="OQ236" s="6"/>
      <c r="OV236" s="6"/>
      <c r="PG236" s="6"/>
      <c r="PH236" s="6"/>
      <c r="PM236" s="6"/>
      <c r="PQ236" s="6"/>
      <c r="PR236" s="6"/>
      <c r="PW236" s="6"/>
      <c r="RI236" s="6"/>
      <c r="RJ236" s="6"/>
      <c r="RO236" s="6"/>
      <c r="RS236" s="6"/>
      <c r="RT236" s="6"/>
      <c r="RY236" s="6"/>
      <c r="SJ236" s="6"/>
      <c r="SK236" s="6"/>
      <c r="SP236" s="6"/>
      <c r="ST236" s="6"/>
      <c r="SU236" s="6"/>
      <c r="SZ236" s="6"/>
    </row>
    <row r="237" spans="12:520" x14ac:dyDescent="0.3">
      <c r="AS237" s="6"/>
      <c r="AT237" s="6"/>
      <c r="AY237" s="6"/>
      <c r="BC237" s="6"/>
      <c r="BD237" s="6"/>
      <c r="BI237" s="6"/>
      <c r="BT237" s="6"/>
      <c r="BU237" s="6"/>
      <c r="BZ237" s="6"/>
      <c r="CD237" s="6"/>
      <c r="CE237" s="6"/>
      <c r="CJ237" s="6"/>
      <c r="CU237" s="6"/>
      <c r="CV237" s="6"/>
      <c r="DA237" s="6"/>
      <c r="DE237" s="6"/>
      <c r="DF237" s="6"/>
      <c r="DK237" s="6"/>
      <c r="DV237" s="6"/>
      <c r="DW237" s="6"/>
      <c r="EB237" s="6"/>
      <c r="EF237" s="6"/>
      <c r="EG237" s="6"/>
      <c r="EL237" s="6"/>
      <c r="EW237" s="6"/>
      <c r="EX237" s="6"/>
      <c r="FC237" s="6"/>
      <c r="FG237" s="6"/>
      <c r="FH237" s="6"/>
      <c r="FM237" s="6"/>
      <c r="FX237" s="6"/>
      <c r="FY237" s="6"/>
      <c r="GD237" s="6"/>
      <c r="GH237" s="6"/>
      <c r="GI237" s="6"/>
      <c r="GN237" s="6"/>
      <c r="GY237" s="6"/>
      <c r="GZ237" s="6"/>
      <c r="HE237" s="6"/>
      <c r="HI237" s="6"/>
      <c r="HJ237" s="6"/>
      <c r="HO237" s="6"/>
      <c r="HZ237" s="6"/>
      <c r="IA237" s="6"/>
      <c r="IF237" s="6"/>
      <c r="IJ237" s="6"/>
      <c r="IK237" s="6"/>
      <c r="IP237" s="6"/>
      <c r="KB237" s="6"/>
      <c r="KC237" s="6"/>
      <c r="KH237" s="6"/>
      <c r="KL237" s="6"/>
      <c r="KM237" s="6"/>
      <c r="KR237" s="6"/>
      <c r="LC237" s="6"/>
      <c r="LD237" s="6"/>
      <c r="LI237" s="6"/>
      <c r="LM237" s="6"/>
      <c r="LN237" s="6"/>
      <c r="LS237" s="6"/>
      <c r="MD237" s="6"/>
      <c r="ME237" s="6"/>
      <c r="MJ237" s="6"/>
      <c r="MN237" s="6"/>
      <c r="MO237" s="6"/>
      <c r="MT237" s="6"/>
      <c r="NE237" s="6"/>
      <c r="NF237" s="6"/>
      <c r="NK237" s="6"/>
      <c r="NO237" s="6"/>
      <c r="NP237" s="6"/>
      <c r="NU237" s="6"/>
      <c r="OF237" s="6"/>
      <c r="OG237" s="6"/>
      <c r="OL237" s="6"/>
      <c r="OP237" s="6"/>
      <c r="OQ237" s="6"/>
      <c r="OV237" s="6"/>
      <c r="PG237" s="6"/>
      <c r="PH237" s="6"/>
      <c r="PM237" s="6"/>
      <c r="PQ237" s="6"/>
      <c r="PR237" s="6"/>
      <c r="PW237" s="6"/>
      <c r="RC237" s="8"/>
      <c r="RD237" s="8"/>
      <c r="RE237" s="8"/>
      <c r="RI237" s="6"/>
      <c r="RJ237" s="6"/>
      <c r="RO237" s="6"/>
      <c r="RS237" s="6"/>
      <c r="RT237" s="6"/>
      <c r="RY237" s="6"/>
      <c r="SJ237" s="6"/>
      <c r="SK237" s="6"/>
      <c r="SP237" s="6"/>
      <c r="ST237" s="6"/>
      <c r="SU237" s="6"/>
      <c r="SZ237" s="6"/>
    </row>
    <row r="238" spans="12:520" x14ac:dyDescent="0.3">
      <c r="AS238" s="6"/>
      <c r="AT238" s="6"/>
      <c r="AY238" s="6"/>
      <c r="BC238" s="6"/>
      <c r="BD238" s="6"/>
      <c r="BI238" s="6"/>
      <c r="BT238" s="6"/>
      <c r="BU238" s="6"/>
      <c r="BZ238" s="6"/>
      <c r="CD238" s="6"/>
      <c r="CE238" s="6"/>
      <c r="CJ238" s="6"/>
      <c r="CU238" s="6"/>
      <c r="CV238" s="6"/>
      <c r="DA238" s="6"/>
      <c r="DE238" s="6"/>
      <c r="DF238" s="6"/>
      <c r="DK238" s="6"/>
      <c r="DV238" s="6"/>
      <c r="DW238" s="6"/>
      <c r="EB238" s="6"/>
      <c r="EF238" s="6"/>
      <c r="EG238" s="6"/>
      <c r="EL238" s="6"/>
      <c r="EW238" s="6"/>
      <c r="EX238" s="6"/>
      <c r="FC238" s="6"/>
      <c r="FG238" s="6"/>
      <c r="FH238" s="6"/>
      <c r="FM238" s="6"/>
      <c r="FX238" s="6"/>
      <c r="FY238" s="6"/>
      <c r="GD238" s="6"/>
      <c r="GH238" s="6"/>
      <c r="GI238" s="6"/>
      <c r="GN238" s="6"/>
      <c r="GY238" s="6"/>
      <c r="GZ238" s="6"/>
      <c r="HE238" s="6"/>
      <c r="HI238" s="6"/>
      <c r="HJ238" s="6"/>
      <c r="HO238" s="6"/>
      <c r="HZ238" s="6"/>
      <c r="IA238" s="6"/>
      <c r="IF238" s="6"/>
      <c r="IJ238" s="6"/>
      <c r="IK238" s="6"/>
      <c r="IP238" s="6"/>
      <c r="KB238" s="6"/>
      <c r="KC238" s="6"/>
      <c r="KH238" s="6"/>
      <c r="KL238" s="6"/>
      <c r="KM238" s="6"/>
      <c r="KR238" s="6"/>
      <c r="LC238" s="6"/>
      <c r="LD238" s="6"/>
      <c r="LI238" s="6"/>
      <c r="LM238" s="6"/>
      <c r="LN238" s="6"/>
      <c r="LS238" s="6"/>
      <c r="MD238" s="6"/>
      <c r="ME238" s="6"/>
      <c r="MJ238" s="6"/>
      <c r="MN238" s="6"/>
      <c r="MO238" s="6"/>
      <c r="MT238" s="6"/>
      <c r="NE238" s="6"/>
      <c r="NF238" s="6"/>
      <c r="NK238" s="6"/>
      <c r="NO238" s="6"/>
      <c r="NP238" s="6"/>
      <c r="NU238" s="6"/>
      <c r="OF238" s="6"/>
      <c r="OG238" s="6"/>
      <c r="OL238" s="6"/>
      <c r="OP238" s="6"/>
      <c r="OQ238" s="6"/>
      <c r="OV238" s="6"/>
      <c r="PG238" s="6"/>
      <c r="PH238" s="6"/>
      <c r="PM238" s="6"/>
      <c r="PQ238" s="6"/>
      <c r="PR238" s="6"/>
      <c r="PW238" s="6"/>
      <c r="SJ238" s="6"/>
      <c r="SK238" s="6"/>
      <c r="SP238" s="6"/>
      <c r="ST238" s="6"/>
      <c r="SU238" s="6"/>
      <c r="SZ238" s="6"/>
    </row>
    <row r="239" spans="12:520" x14ac:dyDescent="0.3">
      <c r="AS239" s="6"/>
      <c r="AT239" s="6"/>
      <c r="AY239" s="6"/>
      <c r="BC239" s="6"/>
      <c r="BD239" s="6"/>
      <c r="BI239" s="6"/>
      <c r="BT239" s="6"/>
      <c r="BU239" s="6"/>
      <c r="BZ239" s="6"/>
      <c r="CD239" s="6"/>
      <c r="CE239" s="6"/>
      <c r="CJ239" s="6"/>
      <c r="CU239" s="6"/>
      <c r="CV239" s="6"/>
      <c r="DA239" s="6"/>
      <c r="DE239" s="6"/>
      <c r="DF239" s="6"/>
      <c r="DK239" s="6"/>
      <c r="DV239" s="6"/>
      <c r="DW239" s="6"/>
      <c r="EB239" s="6"/>
      <c r="EF239" s="6"/>
      <c r="EG239" s="6"/>
      <c r="EL239" s="6"/>
      <c r="EW239" s="6"/>
      <c r="EX239" s="6"/>
      <c r="FC239" s="6"/>
      <c r="FG239" s="6"/>
      <c r="FH239" s="6"/>
      <c r="FM239" s="6"/>
      <c r="FX239" s="6"/>
      <c r="FY239" s="6"/>
      <c r="GD239" s="6"/>
      <c r="GH239" s="6"/>
      <c r="GI239" s="6"/>
      <c r="GN239" s="6"/>
      <c r="GY239" s="6"/>
      <c r="GZ239" s="6"/>
      <c r="HE239" s="6"/>
      <c r="HI239" s="6"/>
      <c r="HJ239" s="6"/>
      <c r="HO239" s="6"/>
      <c r="HZ239" s="6"/>
      <c r="IA239" s="6"/>
      <c r="IF239" s="6"/>
      <c r="IJ239" s="6"/>
      <c r="IK239" s="6"/>
      <c r="IP239" s="6"/>
      <c r="KB239" s="6"/>
      <c r="KC239" s="6"/>
      <c r="KH239" s="6"/>
      <c r="KL239" s="6"/>
      <c r="KM239" s="6"/>
      <c r="KR239" s="6"/>
      <c r="LC239" s="6"/>
      <c r="LD239" s="6"/>
      <c r="LI239" s="6"/>
      <c r="LM239" s="6"/>
      <c r="LN239" s="6"/>
      <c r="LS239" s="6"/>
      <c r="MD239" s="6"/>
      <c r="ME239" s="6"/>
      <c r="MJ239" s="6"/>
      <c r="MN239" s="6"/>
      <c r="MO239" s="6"/>
      <c r="MT239" s="6"/>
      <c r="NE239" s="6"/>
      <c r="NF239" s="6"/>
      <c r="NK239" s="6"/>
      <c r="NO239" s="6"/>
      <c r="NP239" s="6"/>
      <c r="NU239" s="6"/>
      <c r="OF239" s="6"/>
      <c r="OG239" s="6"/>
      <c r="OL239" s="6"/>
      <c r="OP239" s="6"/>
      <c r="OQ239" s="6"/>
      <c r="OV239" s="6"/>
      <c r="PG239" s="6"/>
      <c r="PH239" s="6"/>
      <c r="PM239" s="6"/>
      <c r="PQ239" s="6"/>
      <c r="PR239" s="6"/>
      <c r="PW239" s="6"/>
      <c r="SJ239" s="6"/>
      <c r="SK239" s="6"/>
      <c r="SP239" s="6"/>
      <c r="ST239" s="6"/>
      <c r="SU239" s="6"/>
      <c r="SZ239" s="6"/>
    </row>
    <row r="240" spans="12:520" x14ac:dyDescent="0.3">
      <c r="AS240" s="6"/>
      <c r="BT240" s="6"/>
      <c r="BU240" s="6"/>
      <c r="BZ240" s="6"/>
      <c r="CD240" s="6"/>
      <c r="CE240" s="6"/>
      <c r="CJ240" s="6"/>
      <c r="CU240" s="6"/>
      <c r="CV240" s="6"/>
      <c r="DA240" s="6"/>
      <c r="DE240" s="6"/>
      <c r="DF240" s="6"/>
      <c r="DK240" s="6"/>
      <c r="DV240" s="6"/>
      <c r="DW240" s="6"/>
      <c r="EB240" s="6"/>
      <c r="EF240" s="6"/>
      <c r="EG240" s="6"/>
      <c r="EL240" s="6"/>
      <c r="EW240" s="6"/>
      <c r="EX240" s="6"/>
      <c r="FC240" s="6"/>
      <c r="FG240" s="6"/>
      <c r="FH240" s="6"/>
      <c r="FM240" s="6"/>
      <c r="FX240" s="6"/>
      <c r="FY240" s="6"/>
      <c r="GD240" s="6"/>
      <c r="GH240" s="6"/>
      <c r="GI240" s="6"/>
      <c r="GN240" s="6"/>
      <c r="GY240" s="6"/>
      <c r="GZ240" s="6"/>
      <c r="HE240" s="6"/>
      <c r="HI240" s="6"/>
      <c r="HJ240" s="6"/>
      <c r="HO240" s="6"/>
      <c r="HZ240" s="6"/>
      <c r="IA240" s="6"/>
      <c r="IF240" s="6"/>
      <c r="IJ240" s="6"/>
      <c r="IK240" s="6"/>
      <c r="IP240" s="6"/>
      <c r="KB240" s="6"/>
      <c r="KC240" s="6"/>
      <c r="KH240" s="6"/>
      <c r="KL240" s="6"/>
      <c r="KM240" s="6"/>
      <c r="KR240" s="6"/>
      <c r="LC240" s="6"/>
      <c r="LD240" s="6"/>
      <c r="LI240" s="6"/>
      <c r="LM240" s="6"/>
      <c r="LN240" s="6"/>
      <c r="LS240" s="6"/>
      <c r="MD240" s="6"/>
      <c r="ME240" s="6"/>
      <c r="MJ240" s="6"/>
      <c r="MN240" s="6"/>
      <c r="MO240" s="6"/>
      <c r="MT240" s="6"/>
      <c r="NE240" s="6"/>
      <c r="NF240" s="6"/>
      <c r="NK240" s="6"/>
      <c r="NO240" s="6"/>
      <c r="NP240" s="6"/>
      <c r="NU240" s="6"/>
      <c r="OF240" s="6"/>
      <c r="OG240" s="6"/>
      <c r="OL240" s="6"/>
      <c r="OP240" s="6"/>
      <c r="OQ240" s="6"/>
      <c r="OV240" s="6"/>
      <c r="PG240" s="6"/>
      <c r="PH240" s="6"/>
      <c r="PM240" s="6"/>
      <c r="PQ240" s="6"/>
      <c r="PR240" s="6"/>
      <c r="PW240" s="6"/>
      <c r="SJ240" s="6"/>
      <c r="SK240" s="6"/>
      <c r="SP240" s="6"/>
      <c r="ST240" s="6"/>
      <c r="SU240" s="6"/>
      <c r="SZ240" s="6"/>
    </row>
    <row r="241" spans="12:520" x14ac:dyDescent="0.3">
      <c r="AS241" s="6"/>
      <c r="BN241" s="8"/>
      <c r="BO241" s="8"/>
      <c r="BP241" s="8"/>
      <c r="BT241" s="6"/>
      <c r="BU241" s="6"/>
      <c r="BZ241" s="6"/>
      <c r="CD241" s="6"/>
      <c r="CE241" s="6"/>
      <c r="CJ241" s="6"/>
      <c r="CO241" s="8"/>
      <c r="CP241" s="8"/>
      <c r="CQ241" s="8"/>
      <c r="CU241" s="6"/>
      <c r="CV241" s="6"/>
      <c r="DA241" s="6"/>
      <c r="DE241" s="6"/>
      <c r="DF241" s="6"/>
      <c r="DK241" s="6"/>
      <c r="DP241" s="8"/>
      <c r="DQ241" s="8"/>
      <c r="DR241" s="8"/>
      <c r="DV241" s="6"/>
      <c r="DW241" s="6"/>
      <c r="EB241" s="6"/>
      <c r="EF241" s="6"/>
      <c r="EG241" s="6"/>
      <c r="EL241" s="6"/>
      <c r="EQ241" s="8"/>
      <c r="ER241" s="8"/>
      <c r="ES241" s="8"/>
      <c r="EW241" s="6"/>
      <c r="EX241" s="6"/>
      <c r="FC241" s="6"/>
      <c r="FG241" s="6"/>
      <c r="FH241" s="6"/>
      <c r="FM241" s="6"/>
      <c r="FR241" s="8"/>
      <c r="FS241" s="8"/>
      <c r="FT241" s="8"/>
      <c r="FX241" s="6"/>
      <c r="FY241" s="6"/>
      <c r="GD241" s="6"/>
      <c r="GH241" s="6"/>
      <c r="GI241" s="6"/>
      <c r="GN241" s="6"/>
      <c r="GS241" s="8"/>
      <c r="GT241" s="8"/>
      <c r="GU241" s="8"/>
      <c r="GY241" s="6"/>
      <c r="GZ241" s="6"/>
      <c r="HE241" s="6"/>
      <c r="HI241" s="6"/>
      <c r="HJ241" s="6"/>
      <c r="HO241" s="6"/>
      <c r="HT241" s="8"/>
      <c r="HU241" s="8"/>
      <c r="HV241" s="8"/>
      <c r="HZ241" s="6"/>
      <c r="IA241" s="6"/>
      <c r="IF241" s="6"/>
      <c r="IJ241" s="6"/>
      <c r="IK241" s="6"/>
      <c r="IP241" s="6"/>
      <c r="JV241" s="8"/>
      <c r="JW241" s="8"/>
      <c r="JX241" s="8"/>
      <c r="KB241" s="6"/>
      <c r="KC241" s="6"/>
      <c r="KH241" s="6"/>
      <c r="KL241" s="6"/>
      <c r="KM241" s="6"/>
      <c r="KR241" s="6"/>
      <c r="KW241" s="8"/>
      <c r="KX241" s="8"/>
      <c r="KY241" s="8"/>
      <c r="LC241" s="6"/>
      <c r="LD241" s="6"/>
      <c r="LI241" s="6"/>
      <c r="LM241" s="6"/>
      <c r="LN241" s="6"/>
      <c r="LS241" s="6"/>
      <c r="LX241" s="8"/>
      <c r="LY241" s="8"/>
      <c r="LZ241" s="8"/>
      <c r="MD241" s="6"/>
      <c r="ME241" s="6"/>
      <c r="MJ241" s="6"/>
      <c r="MN241" s="6"/>
      <c r="MO241" s="6"/>
      <c r="MT241" s="6"/>
      <c r="MY241" s="8"/>
      <c r="MZ241" s="8"/>
      <c r="NA241" s="8"/>
      <c r="NE241" s="6"/>
      <c r="NF241" s="6"/>
      <c r="NK241" s="6"/>
      <c r="NO241" s="6"/>
      <c r="NP241" s="6"/>
      <c r="NU241" s="6"/>
      <c r="NZ241" s="8"/>
      <c r="OA241" s="8"/>
      <c r="OB241" s="8"/>
      <c r="OF241" s="6"/>
      <c r="OG241" s="6"/>
      <c r="OL241" s="6"/>
      <c r="OP241" s="6"/>
      <c r="OQ241" s="6"/>
      <c r="OV241" s="6"/>
      <c r="PA241" s="8"/>
      <c r="PB241" s="8"/>
      <c r="PC241" s="8"/>
      <c r="PG241" s="6"/>
      <c r="PH241" s="6"/>
      <c r="PM241" s="6"/>
      <c r="PQ241" s="6"/>
      <c r="PR241" s="6"/>
      <c r="PW241" s="6"/>
      <c r="SD241" s="8"/>
      <c r="SE241" s="8"/>
      <c r="SF241" s="8"/>
      <c r="SJ241" s="6"/>
      <c r="SK241" s="6"/>
      <c r="SP241" s="6"/>
      <c r="ST241" s="6"/>
      <c r="SU241" s="6"/>
      <c r="SZ241" s="6"/>
    </row>
    <row r="242" spans="12:520" x14ac:dyDescent="0.3">
      <c r="AS242" s="6"/>
    </row>
    <row r="243" spans="12:520" x14ac:dyDescent="0.3">
      <c r="R243" s="6"/>
      <c r="S243" s="7"/>
      <c r="T243" s="7"/>
      <c r="Z243" s="6"/>
      <c r="AA243" s="7"/>
      <c r="AG243" s="6"/>
      <c r="AM243" s="8"/>
      <c r="AN243" s="8"/>
      <c r="AO243" s="8"/>
      <c r="AS243" s="6"/>
      <c r="AX243" s="6"/>
      <c r="BB243" s="6"/>
      <c r="BC243" s="7"/>
      <c r="BH243" s="6"/>
      <c r="BS243" s="6"/>
      <c r="BT243" s="7"/>
      <c r="BY243" s="6"/>
      <c r="CC243" s="6"/>
      <c r="CD243" s="7"/>
      <c r="CI243" s="6"/>
      <c r="CT243" s="6"/>
      <c r="CU243" s="7"/>
      <c r="CZ243" s="6"/>
      <c r="DD243" s="6"/>
      <c r="DE243" s="7"/>
      <c r="DJ243" s="6"/>
      <c r="DU243" s="6"/>
      <c r="DV243" s="7"/>
      <c r="EA243" s="6"/>
      <c r="EE243" s="6"/>
      <c r="EF243" s="7"/>
      <c r="EK243" s="6"/>
      <c r="EV243" s="6"/>
      <c r="EW243" s="7"/>
      <c r="FB243" s="6"/>
      <c r="FF243" s="6"/>
      <c r="FG243" s="7"/>
      <c r="FL243" s="6"/>
      <c r="FW243" s="6"/>
      <c r="FX243" s="7"/>
      <c r="GC243" s="6"/>
      <c r="GG243" s="6"/>
      <c r="GH243" s="7"/>
      <c r="GM243" s="6"/>
      <c r="GX243" s="6"/>
      <c r="GY243" s="7"/>
      <c r="HD243" s="6"/>
      <c r="HH243" s="6"/>
      <c r="HI243" s="7"/>
      <c r="HN243" s="6"/>
      <c r="HY243" s="6"/>
      <c r="HZ243" s="7"/>
      <c r="IE243" s="6"/>
      <c r="II243" s="6"/>
      <c r="IJ243" s="7"/>
      <c r="IO243" s="6"/>
      <c r="IZ243" s="6"/>
      <c r="JA243" s="7"/>
      <c r="JF243" s="6"/>
      <c r="JJ243" s="6"/>
      <c r="JK243" s="7"/>
      <c r="JP243" s="6"/>
      <c r="KA243" s="6"/>
      <c r="KB243" s="7"/>
      <c r="KG243" s="6"/>
      <c r="KK243" s="6"/>
      <c r="KL243" s="7"/>
      <c r="KQ243" s="6"/>
      <c r="LB243" s="6"/>
      <c r="LC243" s="7"/>
      <c r="LH243" s="6"/>
      <c r="LL243" s="6"/>
      <c r="LM243" s="7"/>
      <c r="LR243" s="6"/>
      <c r="MC243" s="6"/>
      <c r="MD243" s="7"/>
      <c r="MI243" s="6"/>
      <c r="MM243" s="6"/>
      <c r="MN243" s="7"/>
      <c r="MS243" s="6"/>
      <c r="ND243" s="6"/>
      <c r="NE243" s="7"/>
      <c r="NJ243" s="6"/>
      <c r="NN243" s="6"/>
      <c r="NO243" s="7"/>
      <c r="NT243" s="6"/>
      <c r="OE243" s="6"/>
      <c r="OF243" s="7"/>
      <c r="OK243" s="6"/>
      <c r="OO243" s="6"/>
      <c r="OP243" s="7"/>
      <c r="OU243" s="6"/>
      <c r="PF243" s="6"/>
      <c r="PG243" s="7"/>
      <c r="PL243" s="6"/>
      <c r="PP243" s="6"/>
      <c r="PQ243" s="7"/>
      <c r="PV243" s="6"/>
      <c r="QG243" s="6"/>
      <c r="QH243" s="7"/>
      <c r="QM243" s="6"/>
      <c r="QQ243" s="6"/>
      <c r="QR243" s="7"/>
      <c r="QW243" s="6"/>
      <c r="RH243" s="6"/>
      <c r="RI243" s="7"/>
      <c r="RN243" s="6"/>
      <c r="RR243" s="6"/>
      <c r="RS243" s="7"/>
      <c r="RX243" s="6"/>
      <c r="SI243" s="6"/>
      <c r="SJ243" s="7"/>
      <c r="SO243" s="6"/>
      <c r="SS243" s="6"/>
      <c r="ST243" s="7"/>
      <c r="SY243" s="6"/>
    </row>
    <row r="244" spans="12:520" x14ac:dyDescent="0.3">
      <c r="O244" s="5"/>
      <c r="R244" s="5"/>
      <c r="S244" s="6"/>
      <c r="T244" s="6"/>
      <c r="U244" s="7"/>
      <c r="W244" s="6"/>
      <c r="X244" s="5"/>
      <c r="Z244" s="5"/>
      <c r="AA244" s="6"/>
      <c r="AB244" s="7"/>
      <c r="AG244" s="5"/>
      <c r="AH244" s="6"/>
      <c r="AT244" s="7"/>
      <c r="AW244" s="5"/>
      <c r="AY244" s="6"/>
      <c r="BC244" s="6"/>
      <c r="BD244" s="6"/>
      <c r="BI244" s="6"/>
      <c r="BT244" s="6"/>
      <c r="BU244" s="6"/>
      <c r="BZ244" s="6"/>
      <c r="CD244" s="6"/>
      <c r="CE244" s="6"/>
      <c r="CJ244" s="6"/>
      <c r="CU244" s="6"/>
      <c r="CV244" s="6"/>
      <c r="DA244" s="6"/>
      <c r="DE244" s="6"/>
      <c r="DF244" s="6"/>
      <c r="DK244" s="6"/>
      <c r="DV244" s="6"/>
      <c r="DW244" s="6"/>
      <c r="EB244" s="6"/>
      <c r="EF244" s="6"/>
      <c r="EG244" s="6"/>
      <c r="EL244" s="6"/>
      <c r="EW244" s="6"/>
      <c r="EX244" s="6"/>
      <c r="FC244" s="6"/>
      <c r="FG244" s="6"/>
      <c r="FH244" s="6"/>
      <c r="FM244" s="6"/>
      <c r="FX244" s="6"/>
      <c r="FY244" s="6"/>
      <c r="GD244" s="6"/>
      <c r="GH244" s="6"/>
      <c r="GI244" s="6"/>
      <c r="GN244" s="6"/>
      <c r="GY244" s="6"/>
      <c r="GZ244" s="6"/>
      <c r="HE244" s="6"/>
      <c r="HI244" s="6"/>
      <c r="HJ244" s="6"/>
      <c r="HO244" s="6"/>
      <c r="HZ244" s="6"/>
      <c r="IA244" s="6"/>
      <c r="IF244" s="6"/>
      <c r="IJ244" s="6"/>
      <c r="IK244" s="6"/>
      <c r="IP244" s="6"/>
      <c r="JA244" s="6"/>
      <c r="JB244" s="6"/>
      <c r="JG244" s="6"/>
      <c r="JK244" s="6"/>
      <c r="JL244" s="6"/>
      <c r="JQ244" s="6"/>
      <c r="KB244" s="6"/>
      <c r="KC244" s="6"/>
      <c r="KH244" s="6"/>
      <c r="KL244" s="6"/>
      <c r="KM244" s="6"/>
      <c r="KR244" s="6"/>
      <c r="LC244" s="6"/>
      <c r="LD244" s="6"/>
      <c r="LI244" s="6"/>
      <c r="LM244" s="6"/>
      <c r="LN244" s="6"/>
      <c r="LS244" s="6"/>
      <c r="MD244" s="6"/>
      <c r="ME244" s="6"/>
      <c r="MJ244" s="6"/>
      <c r="MN244" s="6"/>
      <c r="MO244" s="6"/>
      <c r="MT244" s="6"/>
      <c r="NE244" s="6"/>
      <c r="NF244" s="6"/>
      <c r="NK244" s="6"/>
      <c r="NO244" s="6"/>
      <c r="NP244" s="6"/>
      <c r="NU244" s="6"/>
      <c r="OF244" s="6"/>
      <c r="OG244" s="6"/>
      <c r="OL244" s="6"/>
      <c r="OP244" s="6"/>
      <c r="OQ244" s="6"/>
      <c r="OV244" s="6"/>
      <c r="PG244" s="6"/>
      <c r="PH244" s="6"/>
      <c r="PM244" s="6"/>
      <c r="PQ244" s="6"/>
      <c r="PR244" s="6"/>
      <c r="PW244" s="6"/>
      <c r="QH244" s="6"/>
      <c r="QI244" s="6"/>
      <c r="QN244" s="6"/>
      <c r="QR244" s="6"/>
      <c r="QS244" s="6"/>
      <c r="QX244" s="6"/>
      <c r="RI244" s="6"/>
      <c r="RJ244" s="6"/>
      <c r="RO244" s="6"/>
      <c r="RS244" s="6"/>
      <c r="RT244" s="6"/>
      <c r="RY244" s="6"/>
      <c r="SJ244" s="6"/>
      <c r="SK244" s="6"/>
      <c r="SP244" s="6"/>
      <c r="ST244" s="6"/>
      <c r="SU244" s="6"/>
      <c r="SZ244" s="6"/>
    </row>
    <row r="245" spans="12:520" x14ac:dyDescent="0.3">
      <c r="O245" s="5"/>
      <c r="R245" s="5"/>
      <c r="S245" s="6"/>
      <c r="T245" s="6"/>
      <c r="U245" s="7"/>
      <c r="W245" s="6"/>
      <c r="X245" s="5"/>
      <c r="Z245" s="5"/>
      <c r="AA245" s="6"/>
      <c r="AB245" s="7"/>
      <c r="AG245" s="5"/>
      <c r="AH245" s="6"/>
      <c r="AT245" s="7"/>
      <c r="AW245" s="5"/>
      <c r="AY245" s="6"/>
      <c r="BC245" s="6"/>
      <c r="BD245" s="6"/>
      <c r="BI245" s="6"/>
      <c r="BT245" s="6"/>
      <c r="BU245" s="6"/>
      <c r="BZ245" s="6"/>
      <c r="CD245" s="6"/>
      <c r="CE245" s="6"/>
      <c r="CJ245" s="6"/>
      <c r="CU245" s="6"/>
      <c r="CV245" s="6"/>
      <c r="DA245" s="6"/>
      <c r="DE245" s="6"/>
      <c r="DF245" s="6"/>
      <c r="DK245" s="6"/>
      <c r="DV245" s="6"/>
      <c r="DW245" s="6"/>
      <c r="EB245" s="6"/>
      <c r="EF245" s="6"/>
      <c r="EG245" s="6"/>
      <c r="EL245" s="6"/>
      <c r="EW245" s="6"/>
      <c r="EX245" s="6"/>
      <c r="FC245" s="6"/>
      <c r="FG245" s="6"/>
      <c r="FH245" s="6"/>
      <c r="FM245" s="6"/>
      <c r="FX245" s="6"/>
      <c r="FY245" s="6"/>
      <c r="GD245" s="6"/>
      <c r="GH245" s="6"/>
      <c r="GI245" s="6"/>
      <c r="GN245" s="6"/>
      <c r="GY245" s="6"/>
      <c r="GZ245" s="6"/>
      <c r="HE245" s="6"/>
      <c r="HI245" s="6"/>
      <c r="HJ245" s="6"/>
      <c r="HO245" s="6"/>
      <c r="HZ245" s="6"/>
      <c r="IA245" s="6"/>
      <c r="IF245" s="6"/>
      <c r="IJ245" s="6"/>
      <c r="IK245" s="6"/>
      <c r="IP245" s="6"/>
      <c r="JA245" s="6"/>
      <c r="JB245" s="6"/>
      <c r="JG245" s="6"/>
      <c r="JK245" s="6"/>
      <c r="JL245" s="6"/>
      <c r="JQ245" s="6"/>
      <c r="KB245" s="6"/>
      <c r="KC245" s="6"/>
      <c r="KH245" s="6"/>
      <c r="KL245" s="6"/>
      <c r="KM245" s="6"/>
      <c r="KR245" s="6"/>
      <c r="LC245" s="6"/>
      <c r="LD245" s="6"/>
      <c r="LI245" s="6"/>
      <c r="LM245" s="6"/>
      <c r="LN245" s="6"/>
      <c r="LS245" s="6"/>
      <c r="MD245" s="6"/>
      <c r="ME245" s="6"/>
      <c r="MJ245" s="6"/>
      <c r="MN245" s="6"/>
      <c r="MO245" s="6"/>
      <c r="MT245" s="6"/>
      <c r="NE245" s="6"/>
      <c r="NF245" s="6"/>
      <c r="NK245" s="6"/>
      <c r="NO245" s="6"/>
      <c r="NP245" s="6"/>
      <c r="NU245" s="6"/>
      <c r="OF245" s="6"/>
      <c r="OG245" s="6"/>
      <c r="OL245" s="6"/>
      <c r="OP245" s="6"/>
      <c r="OQ245" s="6"/>
      <c r="OV245" s="6"/>
      <c r="PG245" s="6"/>
      <c r="PH245" s="6"/>
      <c r="PM245" s="6"/>
      <c r="PQ245" s="6"/>
      <c r="PR245" s="6"/>
      <c r="PW245" s="6"/>
      <c r="QB245" s="8"/>
      <c r="QC245" s="8"/>
      <c r="QD245" s="8"/>
      <c r="QH245" s="6"/>
      <c r="QI245" s="6"/>
      <c r="QN245" s="6"/>
      <c r="QR245" s="6"/>
      <c r="QS245" s="6"/>
      <c r="QX245" s="6"/>
      <c r="RI245" s="6"/>
      <c r="RJ245" s="6"/>
      <c r="RO245" s="6"/>
      <c r="RS245" s="6"/>
      <c r="RT245" s="6"/>
      <c r="RY245" s="6"/>
      <c r="SJ245" s="6"/>
      <c r="SK245" s="6"/>
      <c r="SP245" s="6"/>
      <c r="ST245" s="6"/>
      <c r="SU245" s="6"/>
      <c r="SZ245" s="6"/>
    </row>
    <row r="246" spans="12:520" x14ac:dyDescent="0.3">
      <c r="O246" s="5"/>
      <c r="R246" s="5"/>
      <c r="S246" s="6"/>
      <c r="T246" s="6"/>
      <c r="U246" s="7"/>
      <c r="W246" s="7"/>
      <c r="X246" s="5"/>
      <c r="Z246" s="5"/>
      <c r="AA246" s="6"/>
      <c r="AB246" s="7"/>
      <c r="AG246" s="5"/>
      <c r="AH246" s="7"/>
      <c r="AT246" s="7"/>
      <c r="AW246" s="5"/>
      <c r="AY246" s="6"/>
      <c r="BC246" s="6"/>
      <c r="BD246" s="6"/>
      <c r="BI246" s="6"/>
      <c r="BT246" s="6"/>
      <c r="BU246" s="6"/>
      <c r="BZ246" s="6"/>
      <c r="CD246" s="6"/>
      <c r="CE246" s="6"/>
      <c r="CJ246" s="6"/>
      <c r="CU246" s="6"/>
      <c r="CV246" s="6"/>
      <c r="DA246" s="6"/>
      <c r="DE246" s="6"/>
      <c r="DF246" s="6"/>
      <c r="DK246" s="6"/>
      <c r="DV246" s="6"/>
      <c r="DW246" s="6"/>
      <c r="EB246" s="6"/>
      <c r="EF246" s="6"/>
      <c r="EG246" s="6"/>
      <c r="EL246" s="6"/>
      <c r="EW246" s="6"/>
      <c r="EX246" s="6"/>
      <c r="FC246" s="6"/>
      <c r="FG246" s="6"/>
      <c r="FH246" s="6"/>
      <c r="FM246" s="6"/>
      <c r="FX246" s="6"/>
      <c r="FY246" s="6"/>
      <c r="GD246" s="6"/>
      <c r="GH246" s="6"/>
      <c r="GI246" s="6"/>
      <c r="GN246" s="6"/>
      <c r="GY246" s="6"/>
      <c r="GZ246" s="6"/>
      <c r="HE246" s="6"/>
      <c r="HI246" s="6"/>
      <c r="HJ246" s="6"/>
      <c r="HO246" s="6"/>
      <c r="HZ246" s="6"/>
      <c r="IA246" s="6"/>
      <c r="IF246" s="6"/>
      <c r="IJ246" s="6"/>
      <c r="IK246" s="6"/>
      <c r="IP246" s="6"/>
      <c r="IU246" s="8"/>
      <c r="IV246" s="8"/>
      <c r="IW246" s="8"/>
      <c r="JA246" s="6"/>
      <c r="JB246" s="6"/>
      <c r="JG246" s="6"/>
      <c r="JK246" s="6"/>
      <c r="JL246" s="6"/>
      <c r="JQ246" s="6"/>
      <c r="KB246" s="6"/>
      <c r="KC246" s="6"/>
      <c r="KH246" s="6"/>
      <c r="KL246" s="6"/>
      <c r="KM246" s="6"/>
      <c r="KR246" s="6"/>
      <c r="LC246" s="6"/>
      <c r="LD246" s="6"/>
      <c r="LI246" s="6"/>
      <c r="LM246" s="6"/>
      <c r="LN246" s="6"/>
      <c r="LS246" s="6"/>
      <c r="MD246" s="6"/>
      <c r="ME246" s="6"/>
      <c r="MJ246" s="6"/>
      <c r="MN246" s="6"/>
      <c r="MO246" s="6"/>
      <c r="MT246" s="6"/>
      <c r="NE246" s="6"/>
      <c r="NF246" s="6"/>
      <c r="NK246" s="6"/>
      <c r="NO246" s="6"/>
      <c r="NP246" s="6"/>
      <c r="NU246" s="6"/>
      <c r="OF246" s="6"/>
      <c r="OG246" s="6"/>
      <c r="OL246" s="6"/>
      <c r="OP246" s="6"/>
      <c r="OQ246" s="6"/>
      <c r="OV246" s="6"/>
      <c r="PG246" s="6"/>
      <c r="PH246" s="6"/>
      <c r="PM246" s="6"/>
      <c r="PQ246" s="6"/>
      <c r="PR246" s="6"/>
      <c r="PW246" s="6"/>
      <c r="RI246" s="6"/>
      <c r="RJ246" s="6"/>
      <c r="RO246" s="6"/>
      <c r="RS246" s="6"/>
      <c r="RT246" s="6"/>
      <c r="RY246" s="6"/>
      <c r="SJ246" s="6"/>
      <c r="SK246" s="6"/>
      <c r="SP246" s="6"/>
      <c r="ST246" s="6"/>
      <c r="SU246" s="6"/>
      <c r="SZ246" s="6"/>
    </row>
    <row r="247" spans="12:520" x14ac:dyDescent="0.3">
      <c r="O247" s="5"/>
      <c r="R247" s="5"/>
      <c r="S247" s="6"/>
      <c r="T247" s="6"/>
      <c r="U247" s="7"/>
      <c r="W247" s="6"/>
      <c r="X247" s="5"/>
      <c r="Z247" s="5"/>
      <c r="AA247" s="6"/>
      <c r="AB247" s="7"/>
      <c r="AG247" s="5"/>
      <c r="AH247" s="6"/>
      <c r="AR247" s="6"/>
      <c r="AS247" s="7"/>
      <c r="AT247" s="7"/>
      <c r="AW247" s="5"/>
      <c r="AY247" s="6"/>
      <c r="BC247" s="6"/>
      <c r="BD247" s="6"/>
      <c r="BI247" s="6"/>
      <c r="BT247" s="6"/>
      <c r="BU247" s="6"/>
      <c r="BZ247" s="6"/>
      <c r="CD247" s="6"/>
      <c r="CE247" s="6"/>
      <c r="CJ247" s="6"/>
      <c r="CU247" s="6"/>
      <c r="CV247" s="6"/>
      <c r="DA247" s="6"/>
      <c r="DE247" s="6"/>
      <c r="DF247" s="6"/>
      <c r="DK247" s="6"/>
      <c r="DV247" s="6"/>
      <c r="DW247" s="6"/>
      <c r="EB247" s="6"/>
      <c r="EF247" s="6"/>
      <c r="EG247" s="6"/>
      <c r="EL247" s="6"/>
      <c r="EW247" s="6"/>
      <c r="EX247" s="6"/>
      <c r="FC247" s="6"/>
      <c r="FG247" s="6"/>
      <c r="FH247" s="6"/>
      <c r="FM247" s="6"/>
      <c r="FX247" s="6"/>
      <c r="FY247" s="6"/>
      <c r="GD247" s="6"/>
      <c r="GH247" s="6"/>
      <c r="GI247" s="6"/>
      <c r="GN247" s="6"/>
      <c r="GY247" s="6"/>
      <c r="GZ247" s="6"/>
      <c r="HE247" s="6"/>
      <c r="HI247" s="6"/>
      <c r="HJ247" s="6"/>
      <c r="HO247" s="6"/>
      <c r="HZ247" s="6"/>
      <c r="IA247" s="6"/>
      <c r="IF247" s="6"/>
      <c r="IJ247" s="6"/>
      <c r="IK247" s="6"/>
      <c r="IP247" s="6"/>
      <c r="KB247" s="6"/>
      <c r="KC247" s="6"/>
      <c r="KH247" s="6"/>
      <c r="KL247" s="6"/>
      <c r="KM247" s="6"/>
      <c r="KR247" s="6"/>
      <c r="LC247" s="6"/>
      <c r="LD247" s="6"/>
      <c r="LI247" s="6"/>
      <c r="LM247" s="6"/>
      <c r="LN247" s="6"/>
      <c r="LS247" s="6"/>
      <c r="MD247" s="6"/>
      <c r="ME247" s="6"/>
      <c r="MJ247" s="6"/>
      <c r="MN247" s="6"/>
      <c r="MO247" s="6"/>
      <c r="MT247" s="6"/>
      <c r="NE247" s="6"/>
      <c r="NF247" s="6"/>
      <c r="NK247" s="6"/>
      <c r="NO247" s="6"/>
      <c r="NP247" s="6"/>
      <c r="NU247" s="6"/>
      <c r="OF247" s="6"/>
      <c r="OG247" s="6"/>
      <c r="OL247" s="6"/>
      <c r="OP247" s="6"/>
      <c r="OQ247" s="6"/>
      <c r="OV247" s="6"/>
      <c r="PG247" s="6"/>
      <c r="PH247" s="6"/>
      <c r="PM247" s="6"/>
      <c r="PQ247" s="6"/>
      <c r="PR247" s="6"/>
      <c r="PW247" s="6"/>
      <c r="RI247" s="6"/>
      <c r="RJ247" s="6"/>
      <c r="RO247" s="6"/>
      <c r="RS247" s="6"/>
      <c r="RT247" s="6"/>
      <c r="RY247" s="6"/>
      <c r="SJ247" s="6"/>
      <c r="SK247" s="6"/>
      <c r="SP247" s="6"/>
      <c r="ST247" s="6"/>
      <c r="SU247" s="6"/>
      <c r="SZ247" s="6"/>
    </row>
    <row r="248" spans="12:520" x14ac:dyDescent="0.3">
      <c r="L248" s="8"/>
      <c r="M248" s="8"/>
      <c r="N248" s="8"/>
      <c r="O248" s="5"/>
      <c r="R248" s="5"/>
      <c r="S248" s="6"/>
      <c r="T248" s="6"/>
      <c r="U248" s="7"/>
      <c r="W248" s="6"/>
      <c r="X248" s="5"/>
      <c r="Z248" s="5"/>
      <c r="AA248" s="6"/>
      <c r="AB248" s="7"/>
      <c r="AG248" s="5"/>
      <c r="AH248" s="6"/>
      <c r="AQ248" s="5"/>
      <c r="AR248" s="5"/>
      <c r="AS248" s="6"/>
      <c r="AT248" s="7"/>
      <c r="AW248" s="5"/>
      <c r="AY248" s="6"/>
      <c r="BC248" s="6"/>
      <c r="BD248" s="6"/>
      <c r="BI248" s="6"/>
      <c r="BT248" s="6"/>
      <c r="BU248" s="6"/>
      <c r="BZ248" s="6"/>
      <c r="CD248" s="6"/>
      <c r="CE248" s="6"/>
      <c r="CJ248" s="6"/>
      <c r="CU248" s="6"/>
      <c r="CV248" s="6"/>
      <c r="DA248" s="6"/>
      <c r="DE248" s="6"/>
      <c r="DF248" s="6"/>
      <c r="DK248" s="6"/>
      <c r="DV248" s="6"/>
      <c r="DW248" s="6"/>
      <c r="EB248" s="6"/>
      <c r="EF248" s="6"/>
      <c r="EG248" s="6"/>
      <c r="EL248" s="6"/>
      <c r="EW248" s="6"/>
      <c r="EX248" s="6"/>
      <c r="FC248" s="6"/>
      <c r="FG248" s="6"/>
      <c r="FH248" s="6"/>
      <c r="FM248" s="6"/>
      <c r="FX248" s="6"/>
      <c r="FY248" s="6"/>
      <c r="GD248" s="6"/>
      <c r="GH248" s="6"/>
      <c r="GI248" s="6"/>
      <c r="GN248" s="6"/>
      <c r="GY248" s="6"/>
      <c r="GZ248" s="6"/>
      <c r="HE248" s="6"/>
      <c r="HI248" s="6"/>
      <c r="HJ248" s="6"/>
      <c r="HO248" s="6"/>
      <c r="HZ248" s="6"/>
      <c r="IA248" s="6"/>
      <c r="IF248" s="6"/>
      <c r="IJ248" s="6"/>
      <c r="IK248" s="6"/>
      <c r="IP248" s="6"/>
      <c r="KB248" s="6"/>
      <c r="KC248" s="6"/>
      <c r="KH248" s="6"/>
      <c r="KL248" s="6"/>
      <c r="KM248" s="6"/>
      <c r="KR248" s="6"/>
      <c r="LC248" s="6"/>
      <c r="LD248" s="6"/>
      <c r="LI248" s="6"/>
      <c r="LM248" s="6"/>
      <c r="LN248" s="6"/>
      <c r="LS248" s="6"/>
      <c r="MD248" s="6"/>
      <c r="ME248" s="6"/>
      <c r="MJ248" s="6"/>
      <c r="MN248" s="6"/>
      <c r="MO248" s="6"/>
      <c r="MT248" s="6"/>
      <c r="NE248" s="6"/>
      <c r="NF248" s="6"/>
      <c r="NK248" s="6"/>
      <c r="NO248" s="6"/>
      <c r="NP248" s="6"/>
      <c r="NU248" s="6"/>
      <c r="OF248" s="6"/>
      <c r="OG248" s="6"/>
      <c r="OL248" s="6"/>
      <c r="OP248" s="6"/>
      <c r="OQ248" s="6"/>
      <c r="OV248" s="6"/>
      <c r="PG248" s="6"/>
      <c r="PH248" s="6"/>
      <c r="PM248" s="6"/>
      <c r="PQ248" s="6"/>
      <c r="PR248" s="6"/>
      <c r="PW248" s="6"/>
      <c r="RI248" s="6"/>
      <c r="RJ248" s="6"/>
      <c r="RO248" s="6"/>
      <c r="RS248" s="6"/>
      <c r="RT248" s="6"/>
      <c r="RY248" s="6"/>
      <c r="SJ248" s="6"/>
      <c r="SK248" s="6"/>
      <c r="SP248" s="6"/>
      <c r="ST248" s="6"/>
      <c r="SU248" s="6"/>
      <c r="SZ248" s="6"/>
    </row>
    <row r="249" spans="12:520" x14ac:dyDescent="0.3">
      <c r="AQ249" s="5"/>
      <c r="AR249" s="5"/>
      <c r="AS249" s="6"/>
      <c r="AT249" s="7"/>
      <c r="AW249" s="5"/>
      <c r="AY249" s="6"/>
      <c r="BC249" s="6"/>
      <c r="BD249" s="6"/>
      <c r="BI249" s="6"/>
      <c r="BT249" s="6"/>
      <c r="BU249" s="6"/>
      <c r="BZ249" s="6"/>
      <c r="CD249" s="6"/>
      <c r="CE249" s="6"/>
      <c r="CJ249" s="6"/>
      <c r="CU249" s="6"/>
      <c r="CV249" s="6"/>
      <c r="DA249" s="6"/>
      <c r="DE249" s="6"/>
      <c r="DF249" s="6"/>
      <c r="DK249" s="6"/>
      <c r="DV249" s="6"/>
      <c r="DW249" s="6"/>
      <c r="EB249" s="6"/>
      <c r="EF249" s="6"/>
      <c r="EG249" s="6"/>
      <c r="EL249" s="6"/>
      <c r="EW249" s="6"/>
      <c r="EX249" s="6"/>
      <c r="FC249" s="6"/>
      <c r="FG249" s="6"/>
      <c r="FH249" s="6"/>
      <c r="FM249" s="6"/>
      <c r="FX249" s="6"/>
      <c r="FY249" s="6"/>
      <c r="GD249" s="6"/>
      <c r="GH249" s="6"/>
      <c r="GI249" s="6"/>
      <c r="GN249" s="6"/>
      <c r="GY249" s="6"/>
      <c r="GZ249" s="6"/>
      <c r="HE249" s="6"/>
      <c r="HI249" s="6"/>
      <c r="HJ249" s="6"/>
      <c r="HO249" s="6"/>
      <c r="HZ249" s="6"/>
      <c r="IA249" s="6"/>
      <c r="IF249" s="6"/>
      <c r="IJ249" s="6"/>
      <c r="IK249" s="6"/>
      <c r="IP249" s="6"/>
      <c r="KB249" s="6"/>
      <c r="KC249" s="6"/>
      <c r="KH249" s="6"/>
      <c r="KL249" s="6"/>
      <c r="KM249" s="6"/>
      <c r="KR249" s="6"/>
      <c r="LC249" s="6"/>
      <c r="LD249" s="6"/>
      <c r="LI249" s="6"/>
      <c r="LM249" s="6"/>
      <c r="LN249" s="6"/>
      <c r="LS249" s="6"/>
      <c r="MD249" s="6"/>
      <c r="ME249" s="6"/>
      <c r="MJ249" s="6"/>
      <c r="MN249" s="6"/>
      <c r="MO249" s="6"/>
      <c r="MT249" s="6"/>
      <c r="NE249" s="6"/>
      <c r="NF249" s="6"/>
      <c r="NK249" s="6"/>
      <c r="NO249" s="6"/>
      <c r="NP249" s="6"/>
      <c r="NU249" s="6"/>
      <c r="OF249" s="6"/>
      <c r="OG249" s="6"/>
      <c r="OL249" s="6"/>
      <c r="OP249" s="6"/>
      <c r="OQ249" s="6"/>
      <c r="OV249" s="6"/>
      <c r="PG249" s="6"/>
      <c r="PH249" s="6"/>
      <c r="PM249" s="6"/>
      <c r="PQ249" s="6"/>
      <c r="PR249" s="6"/>
      <c r="PW249" s="6"/>
      <c r="RI249" s="6"/>
      <c r="RJ249" s="6"/>
      <c r="RO249" s="6"/>
      <c r="RS249" s="6"/>
      <c r="RT249" s="6"/>
      <c r="RY249" s="6"/>
      <c r="SJ249" s="6"/>
      <c r="SK249" s="6"/>
      <c r="SP249" s="6"/>
      <c r="ST249" s="6"/>
      <c r="SU249" s="6"/>
      <c r="SZ249" s="6"/>
    </row>
    <row r="250" spans="12:520" x14ac:dyDescent="0.3">
      <c r="AQ250" s="5"/>
      <c r="AR250" s="5"/>
      <c r="AS250" s="6"/>
      <c r="AT250" s="7"/>
      <c r="AW250" s="5"/>
      <c r="AY250" s="7"/>
      <c r="BC250" s="6"/>
      <c r="BD250" s="6"/>
      <c r="BI250" s="6"/>
      <c r="BT250" s="6"/>
      <c r="BU250" s="6"/>
      <c r="BZ250" s="6"/>
      <c r="CD250" s="6"/>
      <c r="CE250" s="6"/>
      <c r="CJ250" s="6"/>
      <c r="CU250" s="6"/>
      <c r="CV250" s="6"/>
      <c r="DA250" s="6"/>
      <c r="DE250" s="6"/>
      <c r="DF250" s="6"/>
      <c r="DK250" s="6"/>
      <c r="DV250" s="6"/>
      <c r="DW250" s="6"/>
      <c r="EB250" s="6"/>
      <c r="EF250" s="6"/>
      <c r="EG250" s="6"/>
      <c r="EL250" s="6"/>
      <c r="EW250" s="6"/>
      <c r="EX250" s="6"/>
      <c r="FC250" s="6"/>
      <c r="FG250" s="6"/>
      <c r="FH250" s="6"/>
      <c r="FM250" s="6"/>
      <c r="FX250" s="6"/>
      <c r="FY250" s="6"/>
      <c r="GD250" s="6"/>
      <c r="GH250" s="6"/>
      <c r="GI250" s="6"/>
      <c r="GN250" s="6"/>
      <c r="GY250" s="6"/>
      <c r="GZ250" s="6"/>
      <c r="HE250" s="6"/>
      <c r="HI250" s="6"/>
      <c r="HJ250" s="6"/>
      <c r="HO250" s="6"/>
      <c r="HZ250" s="6"/>
      <c r="IA250" s="6"/>
      <c r="IF250" s="6"/>
      <c r="IJ250" s="6"/>
      <c r="IK250" s="6"/>
      <c r="IP250" s="6"/>
      <c r="KB250" s="6"/>
      <c r="KC250" s="6"/>
      <c r="KH250" s="6"/>
      <c r="KL250" s="6"/>
      <c r="KM250" s="6"/>
      <c r="KR250" s="6"/>
      <c r="LC250" s="6"/>
      <c r="LD250" s="6"/>
      <c r="LI250" s="6"/>
      <c r="LM250" s="6"/>
      <c r="LN250" s="6"/>
      <c r="LS250" s="6"/>
      <c r="MD250" s="6"/>
      <c r="ME250" s="6"/>
      <c r="MJ250" s="6"/>
      <c r="MN250" s="6"/>
      <c r="MO250" s="6"/>
      <c r="MT250" s="6"/>
      <c r="NE250" s="6"/>
      <c r="NF250" s="6"/>
      <c r="NK250" s="6"/>
      <c r="NO250" s="6"/>
      <c r="NP250" s="6"/>
      <c r="NU250" s="6"/>
      <c r="OF250" s="6"/>
      <c r="OG250" s="6"/>
      <c r="OL250" s="6"/>
      <c r="OP250" s="6"/>
      <c r="OQ250" s="6"/>
      <c r="OV250" s="6"/>
      <c r="PG250" s="6"/>
      <c r="PH250" s="6"/>
      <c r="PM250" s="6"/>
      <c r="PQ250" s="6"/>
      <c r="PR250" s="6"/>
      <c r="PW250" s="6"/>
      <c r="RC250" s="8"/>
      <c r="RD250" s="8"/>
      <c r="RE250" s="8"/>
      <c r="RI250" s="6"/>
      <c r="RJ250" s="6"/>
      <c r="RO250" s="6"/>
      <c r="RS250" s="6"/>
      <c r="RT250" s="6"/>
      <c r="RY250" s="6"/>
      <c r="SJ250" s="6"/>
      <c r="SK250" s="6"/>
      <c r="SP250" s="6"/>
      <c r="ST250" s="6"/>
      <c r="SU250" s="6"/>
      <c r="SZ250" s="6"/>
    </row>
    <row r="251" spans="12:520" x14ac:dyDescent="0.3">
      <c r="AQ251" s="5"/>
      <c r="AR251" s="5"/>
      <c r="AS251" s="6"/>
      <c r="AT251" s="7"/>
      <c r="AW251" s="5"/>
      <c r="AY251" s="6"/>
      <c r="BC251" s="6"/>
      <c r="BD251" s="6"/>
      <c r="BI251" s="6"/>
      <c r="BT251" s="6"/>
      <c r="BU251" s="6"/>
      <c r="BZ251" s="6"/>
      <c r="CD251" s="6"/>
      <c r="CE251" s="6"/>
      <c r="CJ251" s="6"/>
      <c r="CU251" s="6"/>
      <c r="CV251" s="6"/>
      <c r="DA251" s="6"/>
      <c r="DE251" s="6"/>
      <c r="DF251" s="6"/>
      <c r="DK251" s="6"/>
      <c r="DV251" s="6"/>
      <c r="DW251" s="6"/>
      <c r="EB251" s="6"/>
      <c r="EF251" s="6"/>
      <c r="EG251" s="6"/>
      <c r="EL251" s="6"/>
      <c r="EW251" s="6"/>
      <c r="EX251" s="6"/>
      <c r="FC251" s="6"/>
      <c r="FG251" s="6"/>
      <c r="FH251" s="6"/>
      <c r="FM251" s="6"/>
      <c r="FX251" s="6"/>
      <c r="FY251" s="6"/>
      <c r="GD251" s="6"/>
      <c r="GH251" s="6"/>
      <c r="GI251" s="6"/>
      <c r="GN251" s="6"/>
      <c r="GY251" s="6"/>
      <c r="GZ251" s="6"/>
      <c r="HE251" s="6"/>
      <c r="HI251" s="6"/>
      <c r="HJ251" s="6"/>
      <c r="HO251" s="6"/>
      <c r="HZ251" s="6"/>
      <c r="IA251" s="6"/>
      <c r="IF251" s="6"/>
      <c r="IJ251" s="6"/>
      <c r="IK251" s="6"/>
      <c r="IP251" s="6"/>
      <c r="KB251" s="6"/>
      <c r="KC251" s="6"/>
      <c r="KH251" s="6"/>
      <c r="KL251" s="6"/>
      <c r="KM251" s="6"/>
      <c r="KR251" s="6"/>
      <c r="LC251" s="6"/>
      <c r="LD251" s="6"/>
      <c r="LI251" s="6"/>
      <c r="LM251" s="6"/>
      <c r="LN251" s="6"/>
      <c r="LS251" s="6"/>
      <c r="MD251" s="6"/>
      <c r="ME251" s="6"/>
      <c r="MJ251" s="6"/>
      <c r="MN251" s="6"/>
      <c r="MO251" s="6"/>
      <c r="MT251" s="6"/>
      <c r="NE251" s="6"/>
      <c r="NF251" s="6"/>
      <c r="NK251" s="6"/>
      <c r="NO251" s="6"/>
      <c r="NP251" s="6"/>
      <c r="NU251" s="6"/>
      <c r="OF251" s="6"/>
      <c r="OG251" s="6"/>
      <c r="OL251" s="6"/>
      <c r="OP251" s="6"/>
      <c r="OQ251" s="6"/>
      <c r="OV251" s="6"/>
      <c r="PG251" s="6"/>
      <c r="PH251" s="6"/>
      <c r="PM251" s="6"/>
      <c r="PQ251" s="6"/>
      <c r="PR251" s="6"/>
      <c r="PW251" s="6"/>
      <c r="SJ251" s="6"/>
      <c r="SK251" s="6"/>
      <c r="SP251" s="6"/>
      <c r="ST251" s="6"/>
      <c r="SU251" s="6"/>
      <c r="SZ251" s="6"/>
    </row>
    <row r="252" spans="12:520" x14ac:dyDescent="0.3">
      <c r="AQ252" s="5"/>
      <c r="AR252" s="5"/>
      <c r="AS252" s="6"/>
      <c r="AT252" s="7"/>
      <c r="AW252" s="5"/>
      <c r="AY252" s="6"/>
      <c r="BC252" s="6"/>
      <c r="BD252" s="6"/>
      <c r="BI252" s="6"/>
      <c r="BT252" s="6"/>
      <c r="BU252" s="6"/>
      <c r="BZ252" s="6"/>
      <c r="CD252" s="6"/>
      <c r="CE252" s="6"/>
      <c r="CJ252" s="6"/>
      <c r="CU252" s="6"/>
      <c r="CV252" s="6"/>
      <c r="DA252" s="6"/>
      <c r="DE252" s="6"/>
      <c r="DF252" s="6"/>
      <c r="DK252" s="6"/>
      <c r="DV252" s="6"/>
      <c r="DW252" s="6"/>
      <c r="EB252" s="6"/>
      <c r="EF252" s="6"/>
      <c r="EG252" s="6"/>
      <c r="EL252" s="6"/>
      <c r="EW252" s="6"/>
      <c r="EX252" s="6"/>
      <c r="FC252" s="6"/>
      <c r="FG252" s="6"/>
      <c r="FH252" s="6"/>
      <c r="FM252" s="6"/>
      <c r="FX252" s="6"/>
      <c r="FY252" s="6"/>
      <c r="GD252" s="6"/>
      <c r="GH252" s="6"/>
      <c r="GI252" s="6"/>
      <c r="GN252" s="6"/>
      <c r="GY252" s="6"/>
      <c r="GZ252" s="6"/>
      <c r="HE252" s="6"/>
      <c r="HI252" s="6"/>
      <c r="HJ252" s="6"/>
      <c r="HO252" s="6"/>
      <c r="HZ252" s="6"/>
      <c r="IA252" s="6"/>
      <c r="IF252" s="6"/>
      <c r="IJ252" s="6"/>
      <c r="IK252" s="6"/>
      <c r="IP252" s="6"/>
      <c r="KB252" s="6"/>
      <c r="KC252" s="6"/>
      <c r="KH252" s="6"/>
      <c r="KL252" s="6"/>
      <c r="KM252" s="6"/>
      <c r="KR252" s="6"/>
      <c r="LC252" s="6"/>
      <c r="LD252" s="6"/>
      <c r="LI252" s="6"/>
      <c r="LM252" s="6"/>
      <c r="LN252" s="6"/>
      <c r="LS252" s="6"/>
      <c r="MD252" s="6"/>
      <c r="ME252" s="6"/>
      <c r="MJ252" s="6"/>
      <c r="MN252" s="6"/>
      <c r="MO252" s="6"/>
      <c r="MT252" s="6"/>
      <c r="NE252" s="6"/>
      <c r="NF252" s="6"/>
      <c r="NK252" s="6"/>
      <c r="NO252" s="6"/>
      <c r="NP252" s="6"/>
      <c r="NU252" s="6"/>
      <c r="OF252" s="6"/>
      <c r="OG252" s="6"/>
      <c r="OL252" s="6"/>
      <c r="OP252" s="6"/>
      <c r="OQ252" s="6"/>
      <c r="OV252" s="6"/>
      <c r="PG252" s="6"/>
      <c r="PH252" s="6"/>
      <c r="PM252" s="6"/>
      <c r="PQ252" s="6"/>
      <c r="PR252" s="6"/>
      <c r="PW252" s="6"/>
      <c r="SJ252" s="6"/>
      <c r="SK252" s="6"/>
      <c r="SP252" s="6"/>
      <c r="ST252" s="6"/>
      <c r="SU252" s="6"/>
      <c r="SZ252" s="6"/>
    </row>
    <row r="253" spans="12:520" x14ac:dyDescent="0.3">
      <c r="AQ253" s="5"/>
      <c r="AR253" s="5"/>
      <c r="AS253" s="6"/>
      <c r="BT253" s="6"/>
      <c r="BU253" s="6"/>
      <c r="BZ253" s="6"/>
      <c r="CD253" s="6"/>
      <c r="CE253" s="6"/>
      <c r="CJ253" s="6"/>
      <c r="CU253" s="6"/>
      <c r="CV253" s="6"/>
      <c r="DA253" s="6"/>
      <c r="DE253" s="6"/>
      <c r="DF253" s="6"/>
      <c r="DK253" s="6"/>
      <c r="DV253" s="6"/>
      <c r="DW253" s="6"/>
      <c r="EB253" s="6"/>
      <c r="EF253" s="6"/>
      <c r="EG253" s="6"/>
      <c r="EL253" s="6"/>
      <c r="EW253" s="6"/>
      <c r="EX253" s="6"/>
      <c r="FC253" s="6"/>
      <c r="FG253" s="6"/>
      <c r="FH253" s="6"/>
      <c r="FM253" s="6"/>
      <c r="FX253" s="6"/>
      <c r="FY253" s="6"/>
      <c r="GD253" s="6"/>
      <c r="GH253" s="6"/>
      <c r="GI253" s="6"/>
      <c r="GN253" s="6"/>
      <c r="GY253" s="6"/>
      <c r="GZ253" s="6"/>
      <c r="HE253" s="6"/>
      <c r="HI253" s="6"/>
      <c r="HJ253" s="6"/>
      <c r="HO253" s="6"/>
      <c r="HZ253" s="6"/>
      <c r="IA253" s="6"/>
      <c r="IF253" s="6"/>
      <c r="IJ253" s="6"/>
      <c r="IK253" s="6"/>
      <c r="IP253" s="6"/>
      <c r="KB253" s="6"/>
      <c r="KC253" s="6"/>
      <c r="KH253" s="6"/>
      <c r="KL253" s="6"/>
      <c r="KM253" s="6"/>
      <c r="KR253" s="6"/>
      <c r="LC253" s="6"/>
      <c r="LD253" s="6"/>
      <c r="LI253" s="6"/>
      <c r="LM253" s="6"/>
      <c r="LN253" s="6"/>
      <c r="LS253" s="6"/>
      <c r="MD253" s="6"/>
      <c r="ME253" s="6"/>
      <c r="MJ253" s="6"/>
      <c r="MN253" s="6"/>
      <c r="MO253" s="6"/>
      <c r="MT253" s="6"/>
      <c r="NE253" s="6"/>
      <c r="NF253" s="6"/>
      <c r="NK253" s="6"/>
      <c r="NO253" s="6"/>
      <c r="NP253" s="6"/>
      <c r="NU253" s="6"/>
      <c r="OF253" s="6"/>
      <c r="OG253" s="6"/>
      <c r="OL253" s="6"/>
      <c r="OP253" s="6"/>
      <c r="OQ253" s="6"/>
      <c r="OV253" s="6"/>
      <c r="PG253" s="6"/>
      <c r="PH253" s="6"/>
      <c r="PM253" s="6"/>
      <c r="PQ253" s="6"/>
      <c r="PR253" s="6"/>
      <c r="PW253" s="6"/>
      <c r="SJ253" s="6"/>
      <c r="SK253" s="6"/>
      <c r="SP253" s="6"/>
      <c r="ST253" s="6"/>
      <c r="SU253" s="6"/>
      <c r="SZ253" s="6"/>
    </row>
    <row r="254" spans="12:520" x14ac:dyDescent="0.3">
      <c r="AQ254" s="5"/>
      <c r="AR254" s="5"/>
      <c r="AS254" s="6"/>
      <c r="BN254" s="8"/>
      <c r="BO254" s="8"/>
      <c r="BP254" s="8"/>
      <c r="BT254" s="6"/>
      <c r="BU254" s="6"/>
      <c r="BZ254" s="6"/>
      <c r="CD254" s="6"/>
      <c r="CE254" s="6"/>
      <c r="CJ254" s="6"/>
      <c r="CO254" s="8"/>
      <c r="CP254" s="8"/>
      <c r="CQ254" s="8"/>
      <c r="CU254" s="6"/>
      <c r="CV254" s="6"/>
      <c r="DA254" s="6"/>
      <c r="DE254" s="6"/>
      <c r="DF254" s="6"/>
      <c r="DK254" s="6"/>
      <c r="DP254" s="8"/>
      <c r="DQ254" s="8"/>
      <c r="DR254" s="8"/>
      <c r="DV254" s="6"/>
      <c r="DW254" s="6"/>
      <c r="EB254" s="6"/>
      <c r="EF254" s="6"/>
      <c r="EG254" s="6"/>
      <c r="EL254" s="6"/>
      <c r="EQ254" s="8"/>
      <c r="ER254" s="8"/>
      <c r="ES254" s="8"/>
      <c r="EW254" s="6"/>
      <c r="EX254" s="6"/>
      <c r="FC254" s="6"/>
      <c r="FG254" s="6"/>
      <c r="FH254" s="6"/>
      <c r="FM254" s="6"/>
      <c r="FR254" s="8"/>
      <c r="FS254" s="8"/>
      <c r="FT254" s="8"/>
      <c r="FX254" s="6"/>
      <c r="FY254" s="6"/>
      <c r="GD254" s="6"/>
      <c r="GH254" s="6"/>
      <c r="GI254" s="6"/>
      <c r="GN254" s="6"/>
      <c r="GS254" s="8"/>
      <c r="GT254" s="8"/>
      <c r="GU254" s="8"/>
      <c r="GY254" s="6"/>
      <c r="GZ254" s="6"/>
      <c r="HE254" s="6"/>
      <c r="HI254" s="6"/>
      <c r="HJ254" s="6"/>
      <c r="HO254" s="6"/>
      <c r="HT254" s="8"/>
      <c r="HU254" s="8"/>
      <c r="HV254" s="8"/>
      <c r="HZ254" s="6"/>
      <c r="IA254" s="6"/>
      <c r="IF254" s="6"/>
      <c r="IJ254" s="6"/>
      <c r="IK254" s="6"/>
      <c r="IP254" s="6"/>
      <c r="JV254" s="8"/>
      <c r="JW254" s="8"/>
      <c r="JX254" s="8"/>
      <c r="KB254" s="6"/>
      <c r="KC254" s="6"/>
      <c r="KH254" s="6"/>
      <c r="KL254" s="6"/>
      <c r="KM254" s="6"/>
      <c r="KR254" s="6"/>
      <c r="KW254" s="8"/>
      <c r="KX254" s="8"/>
      <c r="KY254" s="8"/>
      <c r="LC254" s="6"/>
      <c r="LD254" s="6"/>
      <c r="LI254" s="6"/>
      <c r="LM254" s="6"/>
      <c r="LN254" s="6"/>
      <c r="LS254" s="6"/>
      <c r="LX254" s="8"/>
      <c r="LY254" s="8"/>
      <c r="LZ254" s="8"/>
      <c r="MD254" s="6"/>
      <c r="ME254" s="6"/>
      <c r="MJ254" s="6"/>
      <c r="MN254" s="6"/>
      <c r="MO254" s="6"/>
      <c r="MT254" s="6"/>
      <c r="MY254" s="8"/>
      <c r="MZ254" s="8"/>
      <c r="NA254" s="8"/>
      <c r="NE254" s="6"/>
      <c r="NF254" s="6"/>
      <c r="NK254" s="6"/>
      <c r="NO254" s="6"/>
      <c r="NP254" s="6"/>
      <c r="NU254" s="6"/>
      <c r="NZ254" s="8"/>
      <c r="OA254" s="8"/>
      <c r="OB254" s="8"/>
      <c r="OF254" s="6"/>
      <c r="OG254" s="6"/>
      <c r="OL254" s="6"/>
      <c r="OP254" s="6"/>
      <c r="OQ254" s="6"/>
      <c r="OV254" s="6"/>
      <c r="PA254" s="8"/>
      <c r="PB254" s="8"/>
      <c r="PC254" s="8"/>
      <c r="PG254" s="6"/>
      <c r="PH254" s="6"/>
      <c r="PM254" s="6"/>
      <c r="PQ254" s="6"/>
      <c r="PR254" s="6"/>
      <c r="PW254" s="6"/>
      <c r="SD254" s="8"/>
      <c r="SE254" s="8"/>
      <c r="SF254" s="8"/>
      <c r="SJ254" s="6"/>
      <c r="SK254" s="6"/>
      <c r="SP254" s="6"/>
      <c r="ST254" s="6"/>
      <c r="SU254" s="6"/>
      <c r="SZ254" s="6"/>
    </row>
    <row r="255" spans="12:520" x14ac:dyDescent="0.3">
      <c r="AQ255" s="5"/>
      <c r="AR255" s="5"/>
      <c r="AS255" s="6"/>
    </row>
    <row r="256" spans="12:520" x14ac:dyDescent="0.3">
      <c r="AM256" s="8"/>
      <c r="AN256" s="8"/>
      <c r="AO256" s="8"/>
      <c r="AQ256" s="5"/>
      <c r="AR256" s="5"/>
      <c r="AS256" s="6"/>
    </row>
    <row r="257" spans="12:544" x14ac:dyDescent="0.3">
      <c r="M257" s="8"/>
      <c r="N257" s="8"/>
      <c r="O257" s="8"/>
      <c r="S257" s="8"/>
      <c r="T257" s="8"/>
      <c r="U257" s="8"/>
      <c r="V257" s="8"/>
      <c r="W257" s="8"/>
      <c r="X257" s="8"/>
      <c r="Y257" s="8"/>
      <c r="AC257" s="8"/>
      <c r="AD257" s="8"/>
      <c r="AE257" s="8"/>
      <c r="AF257" s="8"/>
      <c r="AT257" s="8"/>
      <c r="AY257" s="8"/>
      <c r="AZ257" s="8"/>
      <c r="BE257" s="8"/>
      <c r="BF257" s="8"/>
      <c r="BO257" s="8"/>
      <c r="BP257" s="8"/>
      <c r="BT257" s="8"/>
      <c r="BU257" s="8"/>
      <c r="BZ257" s="8"/>
      <c r="CA257" s="8"/>
      <c r="CF257" s="8"/>
      <c r="CG257" s="8"/>
      <c r="CP257" s="8"/>
      <c r="CQ257" s="8"/>
      <c r="CU257" s="8"/>
      <c r="CV257" s="8"/>
      <c r="DA257" s="8"/>
      <c r="DB257" s="8"/>
      <c r="DG257" s="8"/>
      <c r="DH257" s="8"/>
      <c r="DQ257" s="8"/>
      <c r="DR257" s="8"/>
      <c r="DV257" s="8"/>
      <c r="DW257" s="8"/>
      <c r="EB257" s="8"/>
      <c r="EC257" s="8"/>
      <c r="EH257" s="8"/>
      <c r="EI257" s="8"/>
      <c r="ER257" s="8"/>
      <c r="ES257" s="8"/>
      <c r="EW257" s="8"/>
      <c r="EX257" s="8"/>
      <c r="FC257" s="8"/>
      <c r="FD257" s="8"/>
      <c r="FI257" s="8"/>
      <c r="FJ257" s="8"/>
      <c r="FS257" s="8"/>
      <c r="FT257" s="8"/>
      <c r="FX257" s="8"/>
      <c r="FY257" s="8"/>
      <c r="GD257" s="8"/>
      <c r="GE257" s="8"/>
      <c r="GJ257" s="8"/>
      <c r="GK257" s="8"/>
      <c r="GT257" s="8"/>
      <c r="GU257" s="8"/>
      <c r="GY257" s="8"/>
      <c r="GZ257" s="8"/>
      <c r="HE257" s="8"/>
      <c r="HF257" s="8"/>
      <c r="HK257" s="8"/>
      <c r="HL257" s="8"/>
      <c r="HU257" s="8"/>
      <c r="HV257" s="8"/>
      <c r="HZ257" s="8"/>
      <c r="IA257" s="8"/>
      <c r="IF257" s="8"/>
      <c r="IG257" s="8"/>
      <c r="IL257" s="8"/>
      <c r="IM257" s="8"/>
      <c r="IV257" s="8"/>
      <c r="IW257" s="8"/>
      <c r="JA257" s="8"/>
      <c r="JB257" s="8"/>
      <c r="JG257" s="8"/>
      <c r="JH257" s="8"/>
      <c r="JM257" s="8"/>
      <c r="JN257" s="8"/>
      <c r="JW257" s="8"/>
      <c r="JX257" s="8"/>
      <c r="KB257" s="8"/>
      <c r="KC257" s="8"/>
      <c r="KH257" s="8"/>
      <c r="KI257" s="8"/>
      <c r="KN257" s="8"/>
      <c r="KO257" s="8"/>
      <c r="KX257" s="8"/>
      <c r="KY257" s="8"/>
      <c r="LC257" s="8"/>
      <c r="LD257" s="8"/>
      <c r="LI257" s="8"/>
      <c r="LJ257" s="8"/>
      <c r="LO257" s="8"/>
      <c r="LP257" s="8"/>
      <c r="LY257" s="8"/>
      <c r="LZ257" s="8"/>
      <c r="MD257" s="8"/>
      <c r="ME257" s="8"/>
      <c r="MJ257" s="8"/>
      <c r="MK257" s="8"/>
      <c r="MP257" s="8"/>
      <c r="MQ257" s="8"/>
      <c r="MZ257" s="8"/>
      <c r="NA257" s="8"/>
      <c r="NE257" s="8"/>
      <c r="NF257" s="8"/>
      <c r="NK257" s="8"/>
      <c r="NL257" s="8"/>
      <c r="NQ257" s="8"/>
      <c r="NR257" s="8"/>
      <c r="OA257" s="8"/>
      <c r="OB257" s="8"/>
      <c r="OF257" s="8"/>
      <c r="OG257" s="8"/>
      <c r="OL257" s="8"/>
      <c r="OM257" s="8"/>
      <c r="OR257" s="8"/>
      <c r="OS257" s="8"/>
      <c r="PB257" s="8"/>
      <c r="PC257" s="8"/>
      <c r="PG257" s="8"/>
      <c r="PH257" s="8"/>
      <c r="PM257" s="8"/>
      <c r="PN257" s="8"/>
      <c r="PS257" s="8"/>
      <c r="PT257" s="8"/>
      <c r="QC257" s="8"/>
      <c r="QD257" s="8"/>
      <c r="QH257" s="8"/>
      <c r="QI257" s="8"/>
      <c r="QN257" s="8"/>
      <c r="QO257" s="8"/>
      <c r="QT257" s="8"/>
      <c r="QU257" s="8"/>
      <c r="RD257" s="8"/>
      <c r="RE257" s="8"/>
      <c r="RI257" s="8"/>
      <c r="RJ257" s="8"/>
      <c r="RO257" s="8"/>
      <c r="RP257" s="8"/>
      <c r="RU257" s="8"/>
      <c r="RV257" s="8"/>
      <c r="SE257" s="8"/>
      <c r="SF257" s="8"/>
      <c r="SJ257" s="8"/>
      <c r="SK257" s="8"/>
      <c r="SP257" s="8"/>
      <c r="SQ257" s="8"/>
      <c r="SV257" s="8"/>
      <c r="SW257" s="8"/>
      <c r="TF257" s="8"/>
      <c r="TG257" s="8"/>
      <c r="TK257" s="8"/>
      <c r="TL257" s="8"/>
      <c r="TQ257" s="8"/>
      <c r="TR257" s="8"/>
      <c r="TW257" s="8"/>
      <c r="TX257" s="8"/>
    </row>
    <row r="258" spans="12:544" x14ac:dyDescent="0.3">
      <c r="L258" s="8"/>
      <c r="R258" s="8"/>
      <c r="W258" s="15"/>
      <c r="X258" s="15"/>
      <c r="AB258" s="8"/>
      <c r="AX258" s="8"/>
      <c r="AY258" s="15"/>
      <c r="AZ258" s="15"/>
      <c r="BD258" s="8"/>
      <c r="BN258" s="8"/>
      <c r="BS258" s="8"/>
      <c r="BY258" s="8"/>
      <c r="BZ258" s="15"/>
      <c r="CA258" s="15"/>
      <c r="CE258" s="8"/>
      <c r="CO258" s="8"/>
      <c r="CT258" s="8"/>
      <c r="CZ258" s="8"/>
      <c r="DA258" s="15"/>
      <c r="DB258" s="15"/>
      <c r="DF258" s="8"/>
      <c r="DP258" s="8"/>
      <c r="DU258" s="8"/>
      <c r="EA258" s="8"/>
      <c r="EB258" s="15"/>
      <c r="EC258" s="15"/>
      <c r="EG258" s="8"/>
      <c r="EQ258" s="8"/>
      <c r="EV258" s="8"/>
      <c r="FB258" s="8"/>
      <c r="FC258" s="15"/>
      <c r="FD258" s="15"/>
      <c r="FH258" s="8"/>
      <c r="FR258" s="8"/>
      <c r="FW258" s="8"/>
      <c r="GC258" s="8"/>
      <c r="GD258" s="15"/>
      <c r="GE258" s="15"/>
      <c r="GI258" s="8"/>
      <c r="GS258" s="8"/>
      <c r="GX258" s="8"/>
      <c r="HD258" s="8"/>
      <c r="HE258" s="15"/>
      <c r="HF258" s="15"/>
      <c r="HJ258" s="8"/>
      <c r="HT258" s="8"/>
      <c r="HY258" s="8"/>
      <c r="IE258" s="8"/>
      <c r="IF258" s="15"/>
      <c r="IG258" s="15"/>
      <c r="IK258" s="8"/>
      <c r="IU258" s="8"/>
      <c r="IZ258" s="8"/>
      <c r="JF258" s="8"/>
      <c r="JG258" s="15"/>
      <c r="JH258" s="15"/>
      <c r="JL258" s="8"/>
      <c r="JV258" s="8"/>
      <c r="KA258" s="8"/>
      <c r="KG258" s="8"/>
      <c r="KH258" s="15"/>
      <c r="KI258" s="15"/>
      <c r="KM258" s="8"/>
      <c r="KW258" s="8"/>
      <c r="LB258" s="8"/>
      <c r="LH258" s="8"/>
      <c r="LI258" s="15"/>
      <c r="LJ258" s="15"/>
      <c r="LN258" s="8"/>
      <c r="LX258" s="8"/>
      <c r="MC258" s="8"/>
      <c r="MI258" s="8"/>
      <c r="MJ258" s="15"/>
      <c r="MK258" s="15"/>
      <c r="MO258" s="8"/>
      <c r="MY258" s="8"/>
      <c r="ND258" s="8"/>
      <c r="NJ258" s="8"/>
      <c r="NK258" s="15"/>
      <c r="NL258" s="15"/>
      <c r="NP258" s="8"/>
      <c r="NZ258" s="8"/>
      <c r="OE258" s="8"/>
      <c r="OK258" s="8"/>
      <c r="OL258" s="15"/>
      <c r="OM258" s="15"/>
      <c r="OQ258" s="8"/>
      <c r="PA258" s="8"/>
      <c r="PF258" s="8"/>
      <c r="PL258" s="8"/>
      <c r="PM258" s="15"/>
      <c r="PN258" s="15"/>
      <c r="PR258" s="8"/>
      <c r="QB258" s="8"/>
      <c r="QG258" s="8"/>
      <c r="QM258" s="8"/>
      <c r="QN258" s="15"/>
      <c r="QO258" s="15"/>
      <c r="QS258" s="8"/>
      <c r="RC258" s="8"/>
      <c r="RH258" s="8"/>
      <c r="RN258" s="8"/>
      <c r="RO258" s="15"/>
      <c r="RP258" s="15"/>
      <c r="RT258" s="8"/>
      <c r="SD258" s="8"/>
      <c r="SI258" s="8"/>
      <c r="SO258" s="8"/>
      <c r="SP258" s="15"/>
      <c r="SQ258" s="15"/>
      <c r="SU258" s="8"/>
      <c r="TE258" s="8"/>
      <c r="TJ258" s="8"/>
      <c r="TP258" s="8"/>
      <c r="TQ258" s="15"/>
      <c r="TR258" s="15"/>
      <c r="TV258" s="8"/>
    </row>
    <row r="261" spans="12:544" x14ac:dyDescent="0.3">
      <c r="AN261" s="8"/>
      <c r="AO261" s="8"/>
      <c r="AS261" s="8"/>
    </row>
    <row r="262" spans="12:544" x14ac:dyDescent="0.3">
      <c r="AM262" s="8"/>
      <c r="AR262" s="8"/>
    </row>
    <row r="275" spans="12:520" x14ac:dyDescent="0.3">
      <c r="R275" s="6"/>
      <c r="S275" s="7"/>
      <c r="T275" s="7"/>
      <c r="Z275" s="6"/>
      <c r="AA275" s="7"/>
      <c r="AG275" s="6"/>
      <c r="AX275" s="6"/>
      <c r="BB275" s="6"/>
      <c r="BC275" s="7"/>
      <c r="BH275" s="6"/>
      <c r="BS275" s="6"/>
      <c r="BT275" s="7"/>
      <c r="BY275" s="6"/>
      <c r="CC275" s="6"/>
      <c r="CD275" s="7"/>
      <c r="CI275" s="6"/>
      <c r="CT275" s="6"/>
      <c r="CU275" s="7"/>
      <c r="CZ275" s="6"/>
      <c r="DD275" s="6"/>
      <c r="DE275" s="7"/>
      <c r="DJ275" s="6"/>
      <c r="DU275" s="6"/>
      <c r="DV275" s="7"/>
      <c r="EA275" s="6"/>
      <c r="EE275" s="6"/>
      <c r="EF275" s="7"/>
      <c r="EK275" s="6"/>
      <c r="EV275" s="6"/>
      <c r="EW275" s="7"/>
      <c r="FB275" s="6"/>
      <c r="FF275" s="6"/>
      <c r="FG275" s="7"/>
      <c r="FL275" s="6"/>
      <c r="FW275" s="6"/>
      <c r="FX275" s="7"/>
      <c r="GC275" s="6"/>
      <c r="GG275" s="6"/>
      <c r="GH275" s="7"/>
      <c r="GM275" s="6"/>
      <c r="GX275" s="6"/>
      <c r="GY275" s="7"/>
      <c r="HD275" s="6"/>
      <c r="HH275" s="6"/>
      <c r="HI275" s="7"/>
      <c r="HN275" s="6"/>
      <c r="HY275" s="6"/>
      <c r="HZ275" s="7"/>
      <c r="IE275" s="6"/>
      <c r="II275" s="6"/>
      <c r="IJ275" s="7"/>
      <c r="IO275" s="6"/>
      <c r="IZ275" s="6"/>
      <c r="JA275" s="7"/>
      <c r="JF275" s="6"/>
      <c r="JJ275" s="6"/>
      <c r="JK275" s="7"/>
      <c r="JP275" s="6"/>
      <c r="KA275" s="6"/>
      <c r="KB275" s="7"/>
      <c r="KG275" s="6"/>
      <c r="KK275" s="6"/>
      <c r="KL275" s="7"/>
      <c r="KQ275" s="6"/>
      <c r="LB275" s="6"/>
      <c r="LC275" s="7"/>
      <c r="LH275" s="6"/>
      <c r="LL275" s="6"/>
      <c r="LM275" s="7"/>
      <c r="LR275" s="6"/>
      <c r="MC275" s="6"/>
      <c r="MD275" s="7"/>
      <c r="MI275" s="6"/>
      <c r="MM275" s="6"/>
      <c r="MN275" s="7"/>
      <c r="MS275" s="6"/>
      <c r="ND275" s="6"/>
      <c r="NE275" s="7"/>
      <c r="NJ275" s="6"/>
      <c r="NN275" s="6"/>
      <c r="NO275" s="7"/>
      <c r="NT275" s="6"/>
      <c r="OE275" s="6"/>
      <c r="OF275" s="7"/>
      <c r="OK275" s="6"/>
      <c r="OO275" s="6"/>
      <c r="OP275" s="7"/>
      <c r="OU275" s="6"/>
      <c r="PF275" s="6"/>
      <c r="PG275" s="7"/>
      <c r="PL275" s="6"/>
      <c r="PP275" s="6"/>
      <c r="PQ275" s="7"/>
      <c r="PV275" s="6"/>
      <c r="QG275" s="6"/>
      <c r="QH275" s="7"/>
      <c r="QM275" s="6"/>
      <c r="QQ275" s="6"/>
      <c r="QR275" s="7"/>
      <c r="QW275" s="6"/>
      <c r="RH275" s="6"/>
      <c r="RI275" s="7"/>
      <c r="RN275" s="6"/>
      <c r="RR275" s="6"/>
      <c r="RS275" s="7"/>
      <c r="RX275" s="6"/>
      <c r="SI275" s="6"/>
      <c r="SJ275" s="7"/>
      <c r="SO275" s="6"/>
      <c r="SS275" s="6"/>
      <c r="ST275" s="7"/>
      <c r="SY275" s="6"/>
    </row>
    <row r="276" spans="12:520" x14ac:dyDescent="0.3">
      <c r="S276" s="6"/>
      <c r="T276" s="6"/>
      <c r="U276" s="6"/>
      <c r="W276" s="6"/>
      <c r="AA276" s="6"/>
      <c r="AB276" s="6"/>
      <c r="AH276" s="6"/>
      <c r="AT276" s="6"/>
      <c r="AY276" s="6"/>
      <c r="BC276" s="6"/>
      <c r="BD276" s="6"/>
      <c r="BI276" s="6"/>
      <c r="BT276" s="6"/>
      <c r="BU276" s="6"/>
      <c r="BZ276" s="6"/>
      <c r="CD276" s="6"/>
      <c r="CE276" s="6"/>
      <c r="CJ276" s="6"/>
      <c r="CU276" s="6"/>
      <c r="CV276" s="6"/>
      <c r="DA276" s="6"/>
      <c r="DE276" s="6"/>
      <c r="DF276" s="6"/>
      <c r="DK276" s="6"/>
      <c r="DV276" s="6"/>
      <c r="DW276" s="6"/>
      <c r="EB276" s="6"/>
      <c r="EF276" s="6"/>
      <c r="EG276" s="6"/>
      <c r="EL276" s="6"/>
      <c r="EW276" s="6"/>
      <c r="EX276" s="6"/>
      <c r="FC276" s="6"/>
      <c r="FG276" s="6"/>
      <c r="FH276" s="6"/>
      <c r="FM276" s="6"/>
      <c r="FX276" s="6"/>
      <c r="FY276" s="6"/>
      <c r="GD276" s="6"/>
      <c r="GH276" s="6"/>
      <c r="GI276" s="6"/>
      <c r="GN276" s="6"/>
      <c r="GY276" s="6"/>
      <c r="GZ276" s="6"/>
      <c r="HE276" s="6"/>
      <c r="HI276" s="6"/>
      <c r="HJ276" s="6"/>
      <c r="HO276" s="6"/>
      <c r="HZ276" s="6"/>
      <c r="IA276" s="6"/>
      <c r="IF276" s="6"/>
      <c r="IJ276" s="6"/>
      <c r="IK276" s="6"/>
      <c r="IP276" s="6"/>
      <c r="JA276" s="6"/>
      <c r="JB276" s="6"/>
      <c r="JG276" s="6"/>
      <c r="JK276" s="6"/>
      <c r="JL276" s="6"/>
      <c r="JQ276" s="6"/>
      <c r="KB276" s="6"/>
      <c r="KC276" s="6"/>
      <c r="KH276" s="6"/>
      <c r="KL276" s="6"/>
      <c r="KM276" s="6"/>
      <c r="KR276" s="6"/>
      <c r="LC276" s="6"/>
      <c r="LD276" s="6"/>
      <c r="LI276" s="6"/>
      <c r="LM276" s="6"/>
      <c r="LN276" s="6"/>
      <c r="LS276" s="6"/>
      <c r="MD276" s="6"/>
      <c r="ME276" s="6"/>
      <c r="MJ276" s="6"/>
      <c r="MN276" s="6"/>
      <c r="MO276" s="6"/>
      <c r="MT276" s="6"/>
      <c r="NE276" s="6"/>
      <c r="NF276" s="6"/>
      <c r="NK276" s="6"/>
      <c r="NO276" s="6"/>
      <c r="NP276" s="6"/>
      <c r="NU276" s="6"/>
      <c r="OF276" s="6"/>
      <c r="OG276" s="6"/>
      <c r="OL276" s="6"/>
      <c r="OP276" s="6"/>
      <c r="OQ276" s="6"/>
      <c r="OV276" s="6"/>
      <c r="PG276" s="6"/>
      <c r="PH276" s="6"/>
      <c r="PM276" s="6"/>
      <c r="PQ276" s="6"/>
      <c r="PR276" s="6"/>
      <c r="PW276" s="6"/>
      <c r="QH276" s="6"/>
      <c r="QI276" s="6"/>
      <c r="QN276" s="6"/>
      <c r="QR276" s="6"/>
      <c r="QS276" s="6"/>
      <c r="QX276" s="6"/>
      <c r="RI276" s="6"/>
      <c r="RJ276" s="6"/>
      <c r="RO276" s="6"/>
      <c r="RS276" s="6"/>
      <c r="RT276" s="6"/>
      <c r="RY276" s="6"/>
      <c r="SJ276" s="6"/>
      <c r="SK276" s="6"/>
      <c r="SP276" s="6"/>
      <c r="ST276" s="6"/>
      <c r="SU276" s="6"/>
      <c r="SZ276" s="6"/>
    </row>
    <row r="277" spans="12:520" x14ac:dyDescent="0.3">
      <c r="S277" s="6"/>
      <c r="T277" s="6"/>
      <c r="U277" s="6"/>
      <c r="W277" s="6"/>
      <c r="AA277" s="6"/>
      <c r="AB277" s="6"/>
      <c r="AH277" s="6"/>
      <c r="AT277" s="6"/>
      <c r="AY277" s="6"/>
      <c r="BC277" s="6"/>
      <c r="BD277" s="6"/>
      <c r="BI277" s="6"/>
      <c r="BN277" s="8"/>
      <c r="BO277" s="8"/>
      <c r="BP277" s="8"/>
      <c r="BT277" s="6"/>
      <c r="BU277" s="6"/>
      <c r="BZ277" s="6"/>
      <c r="CD277" s="6"/>
      <c r="CE277" s="6"/>
      <c r="CJ277" s="6"/>
      <c r="CU277" s="6"/>
      <c r="CV277" s="6"/>
      <c r="DA277" s="6"/>
      <c r="DE277" s="6"/>
      <c r="DF277" s="6"/>
      <c r="DK277" s="6"/>
      <c r="DV277" s="6"/>
      <c r="DW277" s="6"/>
      <c r="EB277" s="6"/>
      <c r="EF277" s="6"/>
      <c r="EG277" s="6"/>
      <c r="EL277" s="6"/>
      <c r="EW277" s="6"/>
      <c r="EX277" s="6"/>
      <c r="FC277" s="6"/>
      <c r="FG277" s="6"/>
      <c r="FH277" s="6"/>
      <c r="FM277" s="6"/>
      <c r="FX277" s="6"/>
      <c r="FY277" s="6"/>
      <c r="GD277" s="6"/>
      <c r="GH277" s="6"/>
      <c r="GI277" s="6"/>
      <c r="GN277" s="6"/>
      <c r="GY277" s="6"/>
      <c r="GZ277" s="6"/>
      <c r="HE277" s="6"/>
      <c r="HI277" s="6"/>
      <c r="HJ277" s="6"/>
      <c r="HO277" s="6"/>
      <c r="HZ277" s="6"/>
      <c r="IA277" s="6"/>
      <c r="IF277" s="6"/>
      <c r="IJ277" s="6"/>
      <c r="IK277" s="6"/>
      <c r="IP277" s="6"/>
      <c r="JA277" s="6"/>
      <c r="JB277" s="6"/>
      <c r="JG277" s="6"/>
      <c r="JK277" s="6"/>
      <c r="JL277" s="6"/>
      <c r="JQ277" s="6"/>
      <c r="KB277" s="6"/>
      <c r="KC277" s="6"/>
      <c r="KH277" s="6"/>
      <c r="KL277" s="6"/>
      <c r="KM277" s="6"/>
      <c r="KR277" s="6"/>
      <c r="LC277" s="6"/>
      <c r="LD277" s="6"/>
      <c r="LI277" s="6"/>
      <c r="LM277" s="6"/>
      <c r="LN277" s="6"/>
      <c r="LS277" s="6"/>
      <c r="MD277" s="6"/>
      <c r="ME277" s="6"/>
      <c r="MJ277" s="6"/>
      <c r="MN277" s="6"/>
      <c r="MO277" s="6"/>
      <c r="MT277" s="6"/>
      <c r="NE277" s="6"/>
      <c r="NF277" s="6"/>
      <c r="NK277" s="6"/>
      <c r="NO277" s="6"/>
      <c r="NP277" s="6"/>
      <c r="NU277" s="6"/>
      <c r="OF277" s="6"/>
      <c r="OG277" s="6"/>
      <c r="OL277" s="6"/>
      <c r="OP277" s="6"/>
      <c r="OQ277" s="6"/>
      <c r="OV277" s="6"/>
      <c r="PG277" s="6"/>
      <c r="PH277" s="6"/>
      <c r="PM277" s="6"/>
      <c r="PQ277" s="6"/>
      <c r="PR277" s="6"/>
      <c r="PW277" s="6"/>
      <c r="QH277" s="6"/>
      <c r="QI277" s="6"/>
      <c r="QN277" s="6"/>
      <c r="QR277" s="6"/>
      <c r="QS277" s="6"/>
      <c r="QX277" s="6"/>
      <c r="RI277" s="6"/>
      <c r="RJ277" s="6"/>
      <c r="RO277" s="6"/>
      <c r="RS277" s="6"/>
      <c r="RT277" s="6"/>
      <c r="RY277" s="6"/>
      <c r="SJ277" s="6"/>
      <c r="SK277" s="6"/>
      <c r="SP277" s="6"/>
      <c r="ST277" s="6"/>
      <c r="SU277" s="6"/>
      <c r="SZ277" s="6"/>
    </row>
    <row r="278" spans="12:520" x14ac:dyDescent="0.3">
      <c r="S278" s="6"/>
      <c r="T278" s="6"/>
      <c r="U278" s="6"/>
      <c r="W278" s="6"/>
      <c r="AA278" s="6"/>
      <c r="AB278" s="6"/>
      <c r="AH278" s="6"/>
      <c r="AT278" s="6"/>
      <c r="AY278" s="6"/>
      <c r="BC278" s="6"/>
      <c r="BD278" s="6"/>
      <c r="BI278" s="6"/>
      <c r="CU278" s="6"/>
      <c r="CV278" s="6"/>
      <c r="DA278" s="6"/>
      <c r="DE278" s="6"/>
      <c r="DF278" s="6"/>
      <c r="DK278" s="6"/>
      <c r="DV278" s="6"/>
      <c r="DW278" s="6"/>
      <c r="EB278" s="6"/>
      <c r="EF278" s="6"/>
      <c r="EG278" s="6"/>
      <c r="EL278" s="6"/>
      <c r="EW278" s="6"/>
      <c r="EX278" s="6"/>
      <c r="FC278" s="6"/>
      <c r="FG278" s="6"/>
      <c r="FH278" s="6"/>
      <c r="FM278" s="6"/>
      <c r="FX278" s="6"/>
      <c r="FY278" s="6"/>
      <c r="GD278" s="6"/>
      <c r="GH278" s="6"/>
      <c r="GI278" s="6"/>
      <c r="GN278" s="6"/>
      <c r="GY278" s="6"/>
      <c r="GZ278" s="6"/>
      <c r="HE278" s="6"/>
      <c r="HI278" s="6"/>
      <c r="HJ278" s="6"/>
      <c r="HO278" s="6"/>
      <c r="HZ278" s="6"/>
      <c r="IA278" s="6"/>
      <c r="IF278" s="6"/>
      <c r="IJ278" s="6"/>
      <c r="IK278" s="6"/>
      <c r="IP278" s="6"/>
      <c r="JA278" s="6"/>
      <c r="JB278" s="6"/>
      <c r="JG278" s="6"/>
      <c r="JK278" s="6"/>
      <c r="JL278" s="6"/>
      <c r="JQ278" s="6"/>
      <c r="KB278" s="6"/>
      <c r="KC278" s="6"/>
      <c r="KH278" s="6"/>
      <c r="KL278" s="6"/>
      <c r="KM278" s="6"/>
      <c r="KR278" s="6"/>
      <c r="LC278" s="6"/>
      <c r="LD278" s="6"/>
      <c r="LI278" s="6"/>
      <c r="LM278" s="6"/>
      <c r="LN278" s="6"/>
      <c r="LS278" s="6"/>
      <c r="MD278" s="6"/>
      <c r="ME278" s="6"/>
      <c r="MJ278" s="6"/>
      <c r="MN278" s="6"/>
      <c r="MO278" s="6"/>
      <c r="MT278" s="6"/>
      <c r="NE278" s="6"/>
      <c r="NF278" s="6"/>
      <c r="NK278" s="6"/>
      <c r="NO278" s="6"/>
      <c r="NP278" s="6"/>
      <c r="NU278" s="6"/>
      <c r="OF278" s="6"/>
      <c r="OG278" s="6"/>
      <c r="OL278" s="6"/>
      <c r="OP278" s="6"/>
      <c r="OQ278" s="6"/>
      <c r="OV278" s="6"/>
      <c r="PG278" s="6"/>
      <c r="PH278" s="6"/>
      <c r="PM278" s="6"/>
      <c r="PQ278" s="6"/>
      <c r="PR278" s="6"/>
      <c r="PW278" s="6"/>
      <c r="QH278" s="6"/>
      <c r="QI278" s="6"/>
      <c r="QN278" s="6"/>
      <c r="QR278" s="6"/>
      <c r="QS278" s="6"/>
      <c r="QX278" s="6"/>
      <c r="RI278" s="6"/>
      <c r="RJ278" s="6"/>
      <c r="RO278" s="6"/>
      <c r="RS278" s="6"/>
      <c r="RT278" s="6"/>
      <c r="RY278" s="6"/>
      <c r="SJ278" s="6"/>
      <c r="SK278" s="6"/>
      <c r="SP278" s="6"/>
      <c r="ST278" s="6"/>
      <c r="SU278" s="6"/>
      <c r="SZ278" s="6"/>
    </row>
    <row r="279" spans="12:520" x14ac:dyDescent="0.3">
      <c r="S279" s="6"/>
      <c r="T279" s="6"/>
      <c r="U279" s="6"/>
      <c r="W279" s="6"/>
      <c r="AA279" s="6"/>
      <c r="AB279" s="6"/>
      <c r="AH279" s="6"/>
      <c r="AR279" s="6"/>
      <c r="AS279" s="7"/>
      <c r="AT279" s="6"/>
      <c r="AY279" s="6"/>
      <c r="BC279" s="6"/>
      <c r="BD279" s="6"/>
      <c r="BI279" s="6"/>
      <c r="CU279" s="6"/>
      <c r="CV279" s="6"/>
      <c r="DA279" s="6"/>
      <c r="DE279" s="6"/>
      <c r="DF279" s="6"/>
      <c r="DK279" s="6"/>
      <c r="DV279" s="6"/>
      <c r="DW279" s="6"/>
      <c r="EB279" s="6"/>
      <c r="EF279" s="6"/>
      <c r="EG279" s="6"/>
      <c r="EL279" s="6"/>
      <c r="EQ279" s="8"/>
      <c r="ER279" s="8"/>
      <c r="ES279" s="8"/>
      <c r="EW279" s="6"/>
      <c r="EX279" s="6"/>
      <c r="FC279" s="6"/>
      <c r="FG279" s="6"/>
      <c r="FH279" s="6"/>
      <c r="FM279" s="6"/>
      <c r="FX279" s="6"/>
      <c r="FY279" s="6"/>
      <c r="GD279" s="6"/>
      <c r="GH279" s="6"/>
      <c r="GI279" s="6"/>
      <c r="GN279" s="6"/>
      <c r="GY279" s="6"/>
      <c r="GZ279" s="6"/>
      <c r="HE279" s="6"/>
      <c r="HI279" s="6"/>
      <c r="HJ279" s="6"/>
      <c r="HO279" s="6"/>
      <c r="HZ279" s="6"/>
      <c r="IA279" s="6"/>
      <c r="IF279" s="6"/>
      <c r="IJ279" s="6"/>
      <c r="IK279" s="6"/>
      <c r="IP279" s="6"/>
      <c r="JA279" s="6"/>
      <c r="JB279" s="6"/>
      <c r="JG279" s="6"/>
      <c r="JK279" s="6"/>
      <c r="JL279" s="6"/>
      <c r="JQ279" s="6"/>
      <c r="KB279" s="6"/>
      <c r="KC279" s="6"/>
      <c r="KH279" s="6"/>
      <c r="KL279" s="6"/>
      <c r="KM279" s="6"/>
      <c r="KR279" s="6"/>
      <c r="LC279" s="6"/>
      <c r="LD279" s="6"/>
      <c r="LI279" s="6"/>
      <c r="LM279" s="6"/>
      <c r="LN279" s="6"/>
      <c r="LS279" s="6"/>
      <c r="MD279" s="6"/>
      <c r="ME279" s="6"/>
      <c r="MJ279" s="6"/>
      <c r="MN279" s="6"/>
      <c r="MO279" s="6"/>
      <c r="MT279" s="6"/>
      <c r="NE279" s="6"/>
      <c r="NF279" s="6"/>
      <c r="NK279" s="6"/>
      <c r="NO279" s="6"/>
      <c r="NP279" s="6"/>
      <c r="NU279" s="6"/>
      <c r="OF279" s="6"/>
      <c r="OG279" s="6"/>
      <c r="OL279" s="6"/>
      <c r="OP279" s="6"/>
      <c r="OQ279" s="6"/>
      <c r="OV279" s="6"/>
      <c r="PG279" s="6"/>
      <c r="PH279" s="6"/>
      <c r="PM279" s="6"/>
      <c r="PQ279" s="6"/>
      <c r="PR279" s="6"/>
      <c r="PW279" s="6"/>
      <c r="QH279" s="6"/>
      <c r="QI279" s="6"/>
      <c r="QN279" s="6"/>
      <c r="QR279" s="6"/>
      <c r="QS279" s="6"/>
      <c r="QX279" s="6"/>
      <c r="RI279" s="6"/>
      <c r="RJ279" s="6"/>
      <c r="RO279" s="6"/>
      <c r="RS279" s="6"/>
      <c r="RT279" s="6"/>
      <c r="RY279" s="6"/>
      <c r="SJ279" s="6"/>
      <c r="SK279" s="6"/>
      <c r="SP279" s="6"/>
      <c r="ST279" s="6"/>
      <c r="SU279" s="6"/>
      <c r="SZ279" s="6"/>
    </row>
    <row r="280" spans="12:520" x14ac:dyDescent="0.3">
      <c r="S280" s="6"/>
      <c r="T280" s="6"/>
      <c r="U280" s="6"/>
      <c r="W280" s="6"/>
      <c r="AA280" s="6"/>
      <c r="AB280" s="6"/>
      <c r="AH280" s="6"/>
      <c r="AS280" s="6"/>
      <c r="AT280" s="6"/>
      <c r="AY280" s="6"/>
      <c r="BC280" s="6"/>
      <c r="BD280" s="6"/>
      <c r="BI280" s="6"/>
      <c r="CU280" s="6"/>
      <c r="CV280" s="6"/>
      <c r="DA280" s="6"/>
      <c r="DE280" s="6"/>
      <c r="DF280" s="6"/>
      <c r="DK280" s="6"/>
      <c r="DV280" s="6"/>
      <c r="DW280" s="6"/>
      <c r="EB280" s="6"/>
      <c r="EF280" s="6"/>
      <c r="EG280" s="6"/>
      <c r="EL280" s="6"/>
      <c r="FX280" s="6"/>
      <c r="FY280" s="6"/>
      <c r="GD280" s="6"/>
      <c r="GH280" s="6"/>
      <c r="GI280" s="6"/>
      <c r="GN280" s="6"/>
      <c r="GY280" s="6"/>
      <c r="GZ280" s="6"/>
      <c r="HE280" s="6"/>
      <c r="HI280" s="6"/>
      <c r="HJ280" s="6"/>
      <c r="HO280" s="6"/>
      <c r="HZ280" s="6"/>
      <c r="IA280" s="6"/>
      <c r="IF280" s="6"/>
      <c r="IJ280" s="6"/>
      <c r="IK280" s="6"/>
      <c r="IP280" s="6"/>
      <c r="JA280" s="6"/>
      <c r="JB280" s="6"/>
      <c r="JG280" s="6"/>
      <c r="JK280" s="6"/>
      <c r="JL280" s="6"/>
      <c r="JQ280" s="6"/>
      <c r="KB280" s="6"/>
      <c r="KC280" s="6"/>
      <c r="KH280" s="6"/>
      <c r="KL280" s="6"/>
      <c r="KM280" s="6"/>
      <c r="KR280" s="6"/>
      <c r="LC280" s="6"/>
      <c r="LD280" s="6"/>
      <c r="LI280" s="6"/>
      <c r="LM280" s="6"/>
      <c r="LN280" s="6"/>
      <c r="LS280" s="6"/>
      <c r="MD280" s="6"/>
      <c r="ME280" s="6"/>
      <c r="MJ280" s="6"/>
      <c r="MN280" s="6"/>
      <c r="MO280" s="6"/>
      <c r="MT280" s="6"/>
      <c r="NE280" s="6"/>
      <c r="NF280" s="6"/>
      <c r="NK280" s="6"/>
      <c r="NO280" s="6"/>
      <c r="NP280" s="6"/>
      <c r="NU280" s="6"/>
      <c r="OF280" s="6"/>
      <c r="OG280" s="6"/>
      <c r="OL280" s="6"/>
      <c r="OP280" s="6"/>
      <c r="OQ280" s="6"/>
      <c r="OV280" s="6"/>
      <c r="PG280" s="6"/>
      <c r="PH280" s="6"/>
      <c r="PM280" s="6"/>
      <c r="PQ280" s="6"/>
      <c r="PR280" s="6"/>
      <c r="PW280" s="6"/>
      <c r="QH280" s="6"/>
      <c r="QI280" s="6"/>
      <c r="QN280" s="6"/>
      <c r="QR280" s="6"/>
      <c r="QS280" s="6"/>
      <c r="QX280" s="6"/>
      <c r="RI280" s="6"/>
      <c r="RJ280" s="6"/>
      <c r="RO280" s="6"/>
      <c r="RS280" s="6"/>
      <c r="RT280" s="6"/>
      <c r="RY280" s="6"/>
      <c r="SJ280" s="6"/>
      <c r="SK280" s="6"/>
      <c r="SP280" s="6"/>
      <c r="ST280" s="6"/>
      <c r="SU280" s="6"/>
      <c r="SZ280" s="6"/>
    </row>
    <row r="281" spans="12:520" x14ac:dyDescent="0.3">
      <c r="S281" s="6"/>
      <c r="T281" s="6"/>
      <c r="U281" s="6"/>
      <c r="W281" s="6"/>
      <c r="AA281" s="6"/>
      <c r="AB281" s="6"/>
      <c r="AH281" s="6"/>
      <c r="AS281" s="6"/>
      <c r="AT281" s="6"/>
      <c r="AY281" s="6"/>
      <c r="BC281" s="6"/>
      <c r="BD281" s="6"/>
      <c r="BI281" s="6"/>
      <c r="CU281" s="6"/>
      <c r="CV281" s="6"/>
      <c r="DA281" s="6"/>
      <c r="DE281" s="6"/>
      <c r="DF281" s="6"/>
      <c r="DK281" s="6"/>
      <c r="DV281" s="6"/>
      <c r="DW281" s="6"/>
      <c r="EB281" s="6"/>
      <c r="EF281" s="6"/>
      <c r="EG281" s="6"/>
      <c r="EL281" s="6"/>
      <c r="FX281" s="6"/>
      <c r="FY281" s="6"/>
      <c r="GD281" s="6"/>
      <c r="GH281" s="6"/>
      <c r="GI281" s="6"/>
      <c r="GN281" s="6"/>
      <c r="GY281" s="6"/>
      <c r="GZ281" s="6"/>
      <c r="HE281" s="6"/>
      <c r="HI281" s="6"/>
      <c r="HJ281" s="6"/>
      <c r="HO281" s="6"/>
      <c r="HZ281" s="6"/>
      <c r="IA281" s="6"/>
      <c r="IF281" s="6"/>
      <c r="IJ281" s="6"/>
      <c r="IK281" s="6"/>
      <c r="IP281" s="6"/>
      <c r="JA281" s="6"/>
      <c r="JB281" s="6"/>
      <c r="JG281" s="6"/>
      <c r="JK281" s="6"/>
      <c r="JL281" s="6"/>
      <c r="JQ281" s="6"/>
      <c r="KB281" s="6"/>
      <c r="KC281" s="6"/>
      <c r="KH281" s="6"/>
      <c r="KL281" s="6"/>
      <c r="KM281" s="6"/>
      <c r="KR281" s="6"/>
      <c r="LC281" s="6"/>
      <c r="LD281" s="6"/>
      <c r="LI281" s="6"/>
      <c r="LM281" s="6"/>
      <c r="LN281" s="6"/>
      <c r="LS281" s="6"/>
      <c r="MD281" s="6"/>
      <c r="ME281" s="6"/>
      <c r="MJ281" s="6"/>
      <c r="MN281" s="6"/>
      <c r="MO281" s="6"/>
      <c r="MT281" s="6"/>
      <c r="NE281" s="6"/>
      <c r="NF281" s="6"/>
      <c r="NK281" s="6"/>
      <c r="NO281" s="6"/>
      <c r="NP281" s="6"/>
      <c r="NU281" s="6"/>
      <c r="OF281" s="6"/>
      <c r="OG281" s="6"/>
      <c r="OL281" s="6"/>
      <c r="OP281" s="6"/>
      <c r="OQ281" s="6"/>
      <c r="OV281" s="6"/>
      <c r="PG281" s="6"/>
      <c r="PH281" s="6"/>
      <c r="PM281" s="6"/>
      <c r="PQ281" s="6"/>
      <c r="PR281" s="6"/>
      <c r="PW281" s="6"/>
      <c r="QB281" s="8"/>
      <c r="QC281" s="8"/>
      <c r="QD281" s="8"/>
      <c r="QH281" s="6"/>
      <c r="QI281" s="6"/>
      <c r="QN281" s="6"/>
      <c r="QR281" s="6"/>
      <c r="QS281" s="6"/>
      <c r="QX281" s="6"/>
      <c r="RI281" s="6"/>
      <c r="RJ281" s="6"/>
      <c r="RO281" s="6"/>
      <c r="RS281" s="6"/>
      <c r="RT281" s="6"/>
      <c r="RY281" s="6"/>
      <c r="SJ281" s="6"/>
      <c r="SK281" s="6"/>
      <c r="SP281" s="6"/>
      <c r="ST281" s="6"/>
      <c r="SU281" s="6"/>
      <c r="SZ281" s="6"/>
    </row>
    <row r="282" spans="12:520" x14ac:dyDescent="0.3">
      <c r="L282" s="8"/>
      <c r="M282" s="8"/>
      <c r="N282" s="8"/>
      <c r="S282" s="6"/>
      <c r="T282" s="6"/>
      <c r="U282" s="6"/>
      <c r="W282" s="6"/>
      <c r="AA282" s="6"/>
      <c r="AB282" s="6"/>
      <c r="AH282" s="6"/>
      <c r="AS282" s="6"/>
      <c r="AT282" s="6"/>
      <c r="AY282" s="6"/>
      <c r="BC282" s="6"/>
      <c r="BD282" s="6"/>
      <c r="BI282" s="6"/>
      <c r="CU282" s="6"/>
      <c r="CV282" s="6"/>
      <c r="DA282" s="6"/>
      <c r="DE282" s="6"/>
      <c r="DF282" s="6"/>
      <c r="DK282" s="6"/>
      <c r="DV282" s="6"/>
      <c r="DW282" s="6"/>
      <c r="EB282" s="6"/>
      <c r="EF282" s="6"/>
      <c r="EG282" s="6"/>
      <c r="EL282" s="6"/>
      <c r="FX282" s="6"/>
      <c r="FY282" s="6"/>
      <c r="GD282" s="6"/>
      <c r="GH282" s="6"/>
      <c r="GI282" s="6"/>
      <c r="GN282" s="6"/>
      <c r="GY282" s="6"/>
      <c r="GZ282" s="6"/>
      <c r="HE282" s="6"/>
      <c r="HI282" s="6"/>
      <c r="HJ282" s="6"/>
      <c r="HO282" s="6"/>
      <c r="HZ282" s="6"/>
      <c r="IA282" s="6"/>
      <c r="IF282" s="6"/>
      <c r="IJ282" s="6"/>
      <c r="IK282" s="6"/>
      <c r="IP282" s="6"/>
      <c r="JA282" s="6"/>
      <c r="JB282" s="6"/>
      <c r="JG282" s="6"/>
      <c r="JK282" s="6"/>
      <c r="JL282" s="6"/>
      <c r="JQ282" s="6"/>
      <c r="KB282" s="6"/>
      <c r="KC282" s="6"/>
      <c r="KH282" s="6"/>
      <c r="KL282" s="6"/>
      <c r="KM282" s="6"/>
      <c r="KR282" s="6"/>
      <c r="LC282" s="6"/>
      <c r="LD282" s="6"/>
      <c r="LI282" s="6"/>
      <c r="LM282" s="6"/>
      <c r="LN282" s="6"/>
      <c r="LS282" s="6"/>
      <c r="MD282" s="6"/>
      <c r="ME282" s="6"/>
      <c r="MJ282" s="6"/>
      <c r="MN282" s="6"/>
      <c r="MO282" s="6"/>
      <c r="MT282" s="6"/>
      <c r="NE282" s="6"/>
      <c r="NF282" s="6"/>
      <c r="NK282" s="6"/>
      <c r="NO282" s="6"/>
      <c r="NP282" s="6"/>
      <c r="NU282" s="6"/>
      <c r="OF282" s="6"/>
      <c r="OG282" s="6"/>
      <c r="OL282" s="6"/>
      <c r="OP282" s="6"/>
      <c r="OQ282" s="6"/>
      <c r="OV282" s="6"/>
      <c r="PG282" s="6"/>
      <c r="PH282" s="6"/>
      <c r="PM282" s="6"/>
      <c r="PQ282" s="6"/>
      <c r="PR282" s="6"/>
      <c r="PW282" s="6"/>
      <c r="RI282" s="6"/>
      <c r="RJ282" s="6"/>
      <c r="RO282" s="6"/>
      <c r="RS282" s="6"/>
      <c r="RT282" s="6"/>
      <c r="RY282" s="6"/>
      <c r="SJ282" s="6"/>
      <c r="SK282" s="6"/>
      <c r="SP282" s="6"/>
      <c r="ST282" s="6"/>
      <c r="SU282" s="6"/>
      <c r="SZ282" s="6"/>
    </row>
    <row r="283" spans="12:520" x14ac:dyDescent="0.3">
      <c r="AS283" s="6"/>
      <c r="AT283" s="6"/>
      <c r="AY283" s="6"/>
      <c r="BC283" s="6"/>
      <c r="BD283" s="6"/>
      <c r="BI283" s="6"/>
      <c r="CU283" s="6"/>
      <c r="CV283" s="6"/>
      <c r="DA283" s="6"/>
      <c r="DE283" s="6"/>
      <c r="DF283" s="6"/>
      <c r="DK283" s="6"/>
      <c r="DV283" s="6"/>
      <c r="DW283" s="6"/>
      <c r="EB283" s="6"/>
      <c r="EF283" s="6"/>
      <c r="EG283" s="6"/>
      <c r="EL283" s="6"/>
      <c r="FX283" s="6"/>
      <c r="FY283" s="6"/>
      <c r="GD283" s="6"/>
      <c r="GH283" s="6"/>
      <c r="GI283" s="6"/>
      <c r="GN283" s="6"/>
      <c r="GY283" s="6"/>
      <c r="GZ283" s="6"/>
      <c r="HE283" s="6"/>
      <c r="HI283" s="6"/>
      <c r="HJ283" s="6"/>
      <c r="HO283" s="6"/>
      <c r="HZ283" s="6"/>
      <c r="IA283" s="6"/>
      <c r="IF283" s="6"/>
      <c r="IJ283" s="6"/>
      <c r="IK283" s="6"/>
      <c r="IP283" s="6"/>
      <c r="JA283" s="6"/>
      <c r="JB283" s="6"/>
      <c r="JG283" s="6"/>
      <c r="JK283" s="6"/>
      <c r="JL283" s="6"/>
      <c r="JQ283" s="6"/>
      <c r="KB283" s="6"/>
      <c r="KC283" s="6"/>
      <c r="KH283" s="6"/>
      <c r="KL283" s="6"/>
      <c r="KM283" s="6"/>
      <c r="KR283" s="6"/>
      <c r="LC283" s="6"/>
      <c r="LD283" s="6"/>
      <c r="LI283" s="6"/>
      <c r="LM283" s="6"/>
      <c r="LN283" s="6"/>
      <c r="LS283" s="6"/>
      <c r="MD283" s="6"/>
      <c r="ME283" s="6"/>
      <c r="MJ283" s="6"/>
      <c r="MN283" s="6"/>
      <c r="MO283" s="6"/>
      <c r="MT283" s="6"/>
      <c r="NE283" s="6"/>
      <c r="NF283" s="6"/>
      <c r="NK283" s="6"/>
      <c r="NO283" s="6"/>
      <c r="NP283" s="6"/>
      <c r="NU283" s="6"/>
      <c r="OF283" s="6"/>
      <c r="OG283" s="6"/>
      <c r="OL283" s="6"/>
      <c r="OP283" s="6"/>
      <c r="OQ283" s="6"/>
      <c r="OV283" s="6"/>
      <c r="PG283" s="6"/>
      <c r="PH283" s="6"/>
      <c r="PM283" s="6"/>
      <c r="PQ283" s="6"/>
      <c r="PR283" s="6"/>
      <c r="PW283" s="6"/>
      <c r="RI283" s="6"/>
      <c r="RJ283" s="6"/>
      <c r="RO283" s="6"/>
      <c r="RS283" s="6"/>
      <c r="RT283" s="6"/>
      <c r="RY283" s="6"/>
      <c r="SJ283" s="6"/>
      <c r="SK283" s="6"/>
      <c r="SP283" s="6"/>
      <c r="ST283" s="6"/>
      <c r="SU283" s="6"/>
      <c r="SZ283" s="6"/>
    </row>
    <row r="284" spans="12:520" x14ac:dyDescent="0.3">
      <c r="AS284" s="6"/>
      <c r="AT284" s="6"/>
      <c r="AY284" s="6"/>
      <c r="BC284" s="6"/>
      <c r="BD284" s="6"/>
      <c r="BI284" s="6"/>
      <c r="CU284" s="6"/>
      <c r="CV284" s="6"/>
      <c r="DA284" s="6"/>
      <c r="DE284" s="6"/>
      <c r="DF284" s="6"/>
      <c r="DK284" s="6"/>
      <c r="DV284" s="6"/>
      <c r="DW284" s="6"/>
      <c r="EB284" s="6"/>
      <c r="EF284" s="6"/>
      <c r="EG284" s="6"/>
      <c r="EL284" s="6"/>
      <c r="FX284" s="6"/>
      <c r="FY284" s="6"/>
      <c r="GD284" s="6"/>
      <c r="GH284" s="6"/>
      <c r="GI284" s="6"/>
      <c r="GN284" s="6"/>
      <c r="GY284" s="6"/>
      <c r="GZ284" s="6"/>
      <c r="HE284" s="6"/>
      <c r="HI284" s="6"/>
      <c r="HJ284" s="6"/>
      <c r="HO284" s="6"/>
      <c r="HZ284" s="6"/>
      <c r="IA284" s="6"/>
      <c r="IF284" s="6"/>
      <c r="IJ284" s="6"/>
      <c r="IK284" s="6"/>
      <c r="IP284" s="6"/>
      <c r="JA284" s="6"/>
      <c r="JB284" s="6"/>
      <c r="JG284" s="6"/>
      <c r="JK284" s="6"/>
      <c r="JL284" s="6"/>
      <c r="JQ284" s="6"/>
      <c r="KB284" s="6"/>
      <c r="KC284" s="6"/>
      <c r="KH284" s="6"/>
      <c r="KL284" s="6"/>
      <c r="KM284" s="6"/>
      <c r="KR284" s="6"/>
      <c r="LC284" s="6"/>
      <c r="LD284" s="6"/>
      <c r="LI284" s="6"/>
      <c r="LM284" s="6"/>
      <c r="LN284" s="6"/>
      <c r="LS284" s="6"/>
      <c r="MD284" s="6"/>
      <c r="ME284" s="6"/>
      <c r="MJ284" s="6"/>
      <c r="MN284" s="6"/>
      <c r="MO284" s="6"/>
      <c r="MT284" s="6"/>
      <c r="NE284" s="6"/>
      <c r="NF284" s="6"/>
      <c r="NK284" s="6"/>
      <c r="NO284" s="6"/>
      <c r="NP284" s="6"/>
      <c r="NU284" s="6"/>
      <c r="OF284" s="6"/>
      <c r="OG284" s="6"/>
      <c r="OL284" s="6"/>
      <c r="OP284" s="6"/>
      <c r="OQ284" s="6"/>
      <c r="OV284" s="6"/>
      <c r="PG284" s="6"/>
      <c r="PH284" s="6"/>
      <c r="PM284" s="6"/>
      <c r="PQ284" s="6"/>
      <c r="PR284" s="6"/>
      <c r="PW284" s="6"/>
      <c r="RC284" s="8"/>
      <c r="RD284" s="8"/>
      <c r="RE284" s="8"/>
      <c r="RI284" s="6"/>
      <c r="RJ284" s="6"/>
      <c r="RO284" s="6"/>
      <c r="RS284" s="6"/>
      <c r="RT284" s="6"/>
      <c r="RY284" s="6"/>
      <c r="SJ284" s="6"/>
      <c r="SK284" s="6"/>
      <c r="SP284" s="6"/>
      <c r="ST284" s="6"/>
      <c r="SU284" s="6"/>
      <c r="SZ284" s="6"/>
    </row>
    <row r="285" spans="12:520" x14ac:dyDescent="0.3">
      <c r="AS285" s="6"/>
      <c r="AT285" s="6"/>
      <c r="AY285" s="6"/>
      <c r="BC285" s="6"/>
      <c r="BD285" s="6"/>
      <c r="BI285" s="6"/>
      <c r="CU285" s="6"/>
      <c r="CV285" s="6"/>
      <c r="DA285" s="6"/>
      <c r="DE285" s="6"/>
      <c r="DF285" s="6"/>
      <c r="DK285" s="6"/>
      <c r="DV285" s="6"/>
      <c r="DW285" s="6"/>
      <c r="EB285" s="6"/>
      <c r="EF285" s="6"/>
      <c r="EG285" s="6"/>
      <c r="EL285" s="6"/>
      <c r="FX285" s="6"/>
      <c r="FY285" s="6"/>
      <c r="GD285" s="6"/>
      <c r="GH285" s="6"/>
      <c r="GI285" s="6"/>
      <c r="GN285" s="6"/>
      <c r="GY285" s="6"/>
      <c r="GZ285" s="6"/>
      <c r="HE285" s="6"/>
      <c r="HI285" s="6"/>
      <c r="HJ285" s="6"/>
      <c r="HO285" s="6"/>
      <c r="HZ285" s="6"/>
      <c r="IA285" s="6"/>
      <c r="IF285" s="6"/>
      <c r="IJ285" s="6"/>
      <c r="IK285" s="6"/>
      <c r="IP285" s="6"/>
      <c r="JA285" s="6"/>
      <c r="JB285" s="6"/>
      <c r="JG285" s="6"/>
      <c r="JK285" s="6"/>
      <c r="JL285" s="6"/>
      <c r="JQ285" s="6"/>
      <c r="KB285" s="6"/>
      <c r="KC285" s="6"/>
      <c r="KH285" s="6"/>
      <c r="KL285" s="6"/>
      <c r="KM285" s="6"/>
      <c r="KR285" s="6"/>
      <c r="LC285" s="6"/>
      <c r="LD285" s="6"/>
      <c r="LI285" s="6"/>
      <c r="LM285" s="6"/>
      <c r="LN285" s="6"/>
      <c r="LS285" s="6"/>
      <c r="MD285" s="6"/>
      <c r="ME285" s="6"/>
      <c r="MJ285" s="6"/>
      <c r="MN285" s="6"/>
      <c r="MO285" s="6"/>
      <c r="MT285" s="6"/>
      <c r="NE285" s="6"/>
      <c r="NF285" s="6"/>
      <c r="NK285" s="6"/>
      <c r="NO285" s="6"/>
      <c r="NP285" s="6"/>
      <c r="NU285" s="6"/>
      <c r="OF285" s="6"/>
      <c r="OG285" s="6"/>
      <c r="OL285" s="6"/>
      <c r="OP285" s="6"/>
      <c r="OQ285" s="6"/>
      <c r="OV285" s="6"/>
      <c r="PG285" s="6"/>
      <c r="PH285" s="6"/>
      <c r="PM285" s="6"/>
      <c r="PQ285" s="6"/>
      <c r="PR285" s="6"/>
      <c r="PW285" s="6"/>
      <c r="SJ285" s="6"/>
      <c r="SK285" s="6"/>
      <c r="SP285" s="6"/>
      <c r="ST285" s="6"/>
      <c r="SU285" s="6"/>
      <c r="SZ285" s="6"/>
    </row>
    <row r="286" spans="12:520" x14ac:dyDescent="0.3">
      <c r="AS286" s="6"/>
      <c r="AT286" s="6"/>
      <c r="AY286" s="6"/>
      <c r="BC286" s="6"/>
      <c r="BD286" s="6"/>
      <c r="BI286" s="6"/>
      <c r="CO286" s="8"/>
      <c r="CP286" s="8"/>
      <c r="CQ286" s="8"/>
      <c r="CU286" s="6"/>
      <c r="CV286" s="6"/>
      <c r="DA286" s="6"/>
      <c r="DE286" s="6"/>
      <c r="DF286" s="6"/>
      <c r="DK286" s="6"/>
      <c r="DP286" s="8"/>
      <c r="DQ286" s="8"/>
      <c r="DR286" s="8"/>
      <c r="DV286" s="6"/>
      <c r="DW286" s="6"/>
      <c r="EB286" s="6"/>
      <c r="EF286" s="6"/>
      <c r="EG286" s="6"/>
      <c r="EL286" s="6"/>
      <c r="FR286" s="8"/>
      <c r="FS286" s="8"/>
      <c r="FT286" s="8"/>
      <c r="FX286" s="6"/>
      <c r="FY286" s="6"/>
      <c r="GD286" s="6"/>
      <c r="GH286" s="6"/>
      <c r="GI286" s="6"/>
      <c r="GN286" s="6"/>
      <c r="GS286" s="8"/>
      <c r="GT286" s="8"/>
      <c r="GU286" s="8"/>
      <c r="GY286" s="6"/>
      <c r="GZ286" s="6"/>
      <c r="HE286" s="6"/>
      <c r="HI286" s="6"/>
      <c r="HJ286" s="6"/>
      <c r="HO286" s="6"/>
      <c r="HT286" s="8"/>
      <c r="HU286" s="8"/>
      <c r="HV286" s="8"/>
      <c r="HZ286" s="6"/>
      <c r="IA286" s="6"/>
      <c r="IF286" s="6"/>
      <c r="IJ286" s="6"/>
      <c r="IK286" s="6"/>
      <c r="IP286" s="6"/>
      <c r="IU286" s="8"/>
      <c r="IV286" s="8"/>
      <c r="IW286" s="8"/>
      <c r="JA286" s="6"/>
      <c r="JB286" s="6"/>
      <c r="JG286" s="6"/>
      <c r="JK286" s="6"/>
      <c r="JL286" s="6"/>
      <c r="JQ286" s="6"/>
      <c r="JV286" s="8"/>
      <c r="JW286" s="8"/>
      <c r="JX286" s="8"/>
      <c r="KB286" s="6"/>
      <c r="KC286" s="6"/>
      <c r="KH286" s="6"/>
      <c r="KL286" s="6"/>
      <c r="KM286" s="6"/>
      <c r="KR286" s="6"/>
      <c r="KW286" s="8"/>
      <c r="KX286" s="8"/>
      <c r="KY286" s="8"/>
      <c r="LC286" s="6"/>
      <c r="LD286" s="6"/>
      <c r="LI286" s="6"/>
      <c r="LM286" s="6"/>
      <c r="LN286" s="6"/>
      <c r="LS286" s="6"/>
      <c r="LX286" s="8"/>
      <c r="LY286" s="8"/>
      <c r="LZ286" s="8"/>
      <c r="MD286" s="6"/>
      <c r="ME286" s="6"/>
      <c r="MJ286" s="6"/>
      <c r="MN286" s="6"/>
      <c r="MO286" s="6"/>
      <c r="MT286" s="6"/>
      <c r="MY286" s="8"/>
      <c r="MZ286" s="8"/>
      <c r="NA286" s="8"/>
      <c r="NE286" s="6"/>
      <c r="NF286" s="6"/>
      <c r="NK286" s="6"/>
      <c r="NO286" s="6"/>
      <c r="NP286" s="6"/>
      <c r="NU286" s="6"/>
      <c r="NZ286" s="8"/>
      <c r="OA286" s="8"/>
      <c r="OB286" s="8"/>
      <c r="OF286" s="6"/>
      <c r="OG286" s="6"/>
      <c r="OL286" s="6"/>
      <c r="OP286" s="6"/>
      <c r="OQ286" s="6"/>
      <c r="OV286" s="6"/>
      <c r="PA286" s="8"/>
      <c r="PB286" s="8"/>
      <c r="PC286" s="8"/>
      <c r="PG286" s="6"/>
      <c r="PH286" s="6"/>
      <c r="PM286" s="6"/>
      <c r="PQ286" s="6"/>
      <c r="PR286" s="6"/>
      <c r="PW286" s="6"/>
      <c r="SD286" s="8"/>
      <c r="SE286" s="8"/>
      <c r="SF286" s="8"/>
      <c r="SJ286" s="6"/>
      <c r="SK286" s="6"/>
      <c r="SP286" s="6"/>
      <c r="ST286" s="6"/>
      <c r="SU286" s="6"/>
      <c r="SZ286" s="6"/>
    </row>
    <row r="287" spans="12:520" x14ac:dyDescent="0.3">
      <c r="AS287" s="6"/>
    </row>
    <row r="288" spans="12:520" x14ac:dyDescent="0.3">
      <c r="R288" s="6"/>
      <c r="S288" s="7"/>
      <c r="T288" s="7"/>
      <c r="Z288" s="6"/>
      <c r="AA288" s="7"/>
      <c r="AG288" s="6"/>
      <c r="AS288" s="6"/>
      <c r="AX288" s="6"/>
      <c r="BB288" s="6"/>
      <c r="BC288" s="7"/>
      <c r="BH288" s="6"/>
      <c r="BS288" s="6"/>
      <c r="BT288" s="7"/>
      <c r="BY288" s="6"/>
      <c r="CC288" s="6"/>
      <c r="CD288" s="7"/>
      <c r="CI288" s="6"/>
      <c r="CT288" s="6"/>
      <c r="CU288" s="7"/>
      <c r="CZ288" s="6"/>
      <c r="DD288" s="6"/>
      <c r="DE288" s="7"/>
      <c r="DJ288" s="6"/>
      <c r="DU288" s="6"/>
      <c r="DV288" s="7"/>
      <c r="EA288" s="6"/>
      <c r="EE288" s="6"/>
      <c r="EF288" s="7"/>
      <c r="EK288" s="6"/>
      <c r="EV288" s="6"/>
      <c r="EW288" s="7"/>
      <c r="FB288" s="6"/>
      <c r="FF288" s="6"/>
      <c r="FG288" s="7"/>
      <c r="FL288" s="6"/>
      <c r="FW288" s="6"/>
      <c r="FX288" s="7"/>
      <c r="GC288" s="6"/>
      <c r="GG288" s="6"/>
      <c r="GH288" s="7"/>
      <c r="GM288" s="6"/>
      <c r="GX288" s="6"/>
      <c r="GY288" s="7"/>
      <c r="HD288" s="6"/>
      <c r="HH288" s="6"/>
      <c r="HI288" s="7"/>
      <c r="HN288" s="6"/>
      <c r="HY288" s="6"/>
      <c r="HZ288" s="7"/>
      <c r="IE288" s="6"/>
      <c r="II288" s="6"/>
      <c r="IJ288" s="7"/>
      <c r="IO288" s="6"/>
      <c r="IZ288" s="6"/>
      <c r="JA288" s="7"/>
      <c r="JF288" s="6"/>
      <c r="JJ288" s="6"/>
      <c r="JK288" s="7"/>
      <c r="JP288" s="6"/>
      <c r="KA288" s="6"/>
      <c r="KB288" s="7"/>
      <c r="KG288" s="6"/>
      <c r="KK288" s="6"/>
      <c r="KL288" s="7"/>
      <c r="KQ288" s="6"/>
      <c r="LB288" s="6"/>
      <c r="LC288" s="7"/>
      <c r="LH288" s="6"/>
      <c r="LL288" s="6"/>
      <c r="LM288" s="7"/>
      <c r="LR288" s="6"/>
      <c r="MC288" s="6"/>
      <c r="MD288" s="7"/>
      <c r="MI288" s="6"/>
      <c r="MM288" s="6"/>
      <c r="MN288" s="7"/>
      <c r="MS288" s="6"/>
      <c r="ND288" s="6"/>
      <c r="NE288" s="7"/>
      <c r="NJ288" s="6"/>
      <c r="NN288" s="6"/>
      <c r="NO288" s="7"/>
      <c r="NT288" s="6"/>
      <c r="OE288" s="6"/>
      <c r="OF288" s="7"/>
      <c r="OK288" s="6"/>
      <c r="OO288" s="6"/>
      <c r="OP288" s="7"/>
      <c r="OU288" s="6"/>
      <c r="PF288" s="6"/>
      <c r="PG288" s="7"/>
      <c r="PL288" s="6"/>
      <c r="PP288" s="6"/>
      <c r="PQ288" s="7"/>
      <c r="PV288" s="6"/>
      <c r="QG288" s="6"/>
      <c r="QH288" s="7"/>
      <c r="QM288" s="6"/>
      <c r="QQ288" s="6"/>
      <c r="QR288" s="7"/>
      <c r="QW288" s="6"/>
      <c r="RH288" s="6"/>
      <c r="RI288" s="7"/>
      <c r="RN288" s="6"/>
      <c r="RR288" s="6"/>
      <c r="RS288" s="7"/>
      <c r="RX288" s="6"/>
      <c r="SI288" s="6"/>
      <c r="SJ288" s="7"/>
      <c r="SO288" s="6"/>
      <c r="SS288" s="6"/>
      <c r="ST288" s="7"/>
      <c r="SY288" s="6"/>
    </row>
    <row r="289" spans="12:520" x14ac:dyDescent="0.3">
      <c r="O289" s="5"/>
      <c r="R289" s="5"/>
      <c r="S289" s="6"/>
      <c r="T289" s="6"/>
      <c r="U289" s="7"/>
      <c r="W289" s="6"/>
      <c r="X289" s="5"/>
      <c r="Z289" s="5"/>
      <c r="AA289" s="6"/>
      <c r="AB289" s="7"/>
      <c r="AG289" s="5"/>
      <c r="AH289" s="6"/>
      <c r="AS289" s="6"/>
      <c r="AT289" s="7"/>
      <c r="AW289" s="5"/>
      <c r="AY289" s="6"/>
      <c r="BC289" s="6"/>
      <c r="BD289" s="6"/>
      <c r="BI289" s="6"/>
      <c r="BT289" s="6"/>
      <c r="BU289" s="6"/>
      <c r="BZ289" s="6"/>
      <c r="CD289" s="6"/>
      <c r="CE289" s="6"/>
      <c r="CJ289" s="6"/>
      <c r="CU289" s="6"/>
      <c r="CV289" s="6"/>
      <c r="DA289" s="6"/>
      <c r="DE289" s="6"/>
      <c r="DF289" s="6"/>
      <c r="DK289" s="6"/>
      <c r="DV289" s="6"/>
      <c r="DW289" s="6"/>
      <c r="EB289" s="6"/>
      <c r="EF289" s="6"/>
      <c r="EG289" s="6"/>
      <c r="EL289" s="6"/>
      <c r="EW289" s="6"/>
      <c r="EX289" s="6"/>
      <c r="FC289" s="6"/>
      <c r="FG289" s="6"/>
      <c r="FH289" s="6"/>
      <c r="FM289" s="6"/>
      <c r="FX289" s="6"/>
      <c r="FY289" s="6"/>
      <c r="GD289" s="6"/>
      <c r="GH289" s="6"/>
      <c r="GI289" s="6"/>
      <c r="GN289" s="6"/>
      <c r="GY289" s="6"/>
      <c r="GZ289" s="6"/>
      <c r="HE289" s="6"/>
      <c r="HI289" s="6"/>
      <c r="HJ289" s="6"/>
      <c r="HO289" s="6"/>
      <c r="HZ289" s="6"/>
      <c r="IA289" s="6"/>
      <c r="IF289" s="6"/>
      <c r="IJ289" s="6"/>
      <c r="IK289" s="6"/>
      <c r="IP289" s="6"/>
      <c r="JA289" s="6"/>
      <c r="JB289" s="6"/>
      <c r="JG289" s="6"/>
      <c r="JK289" s="6"/>
      <c r="JL289" s="6"/>
      <c r="JQ289" s="6"/>
      <c r="KB289" s="6"/>
      <c r="KC289" s="6"/>
      <c r="KH289" s="6"/>
      <c r="KL289" s="6"/>
      <c r="KM289" s="6"/>
      <c r="KR289" s="6"/>
      <c r="LC289" s="6"/>
      <c r="LD289" s="6"/>
      <c r="LI289" s="6"/>
      <c r="LM289" s="6"/>
      <c r="LN289" s="6"/>
      <c r="LS289" s="6"/>
      <c r="MD289" s="6"/>
      <c r="ME289" s="6"/>
      <c r="MJ289" s="6"/>
      <c r="MN289" s="6"/>
      <c r="MO289" s="6"/>
      <c r="MT289" s="6"/>
      <c r="NE289" s="6"/>
      <c r="NF289" s="6"/>
      <c r="NK289" s="6"/>
      <c r="NO289" s="6"/>
      <c r="NP289" s="6"/>
      <c r="NU289" s="6"/>
      <c r="OF289" s="6"/>
      <c r="OG289" s="6"/>
      <c r="OL289" s="6"/>
      <c r="OP289" s="6"/>
      <c r="OQ289" s="6"/>
      <c r="OV289" s="6"/>
      <c r="PG289" s="6"/>
      <c r="PH289" s="6"/>
      <c r="PM289" s="6"/>
      <c r="PQ289" s="6"/>
      <c r="PR289" s="6"/>
      <c r="PW289" s="6"/>
      <c r="QH289" s="6"/>
      <c r="QI289" s="6"/>
      <c r="QN289" s="6"/>
      <c r="QR289" s="6"/>
      <c r="QS289" s="6"/>
      <c r="QX289" s="6"/>
      <c r="RI289" s="6"/>
      <c r="RJ289" s="6"/>
      <c r="RO289" s="6"/>
      <c r="RS289" s="6"/>
      <c r="RT289" s="6"/>
      <c r="RY289" s="6"/>
      <c r="SJ289" s="6"/>
      <c r="SK289" s="6"/>
      <c r="SP289" s="6"/>
      <c r="ST289" s="6"/>
      <c r="SU289" s="6"/>
      <c r="SZ289" s="6"/>
    </row>
    <row r="290" spans="12:520" x14ac:dyDescent="0.3">
      <c r="O290" s="5"/>
      <c r="R290" s="5"/>
      <c r="S290" s="6"/>
      <c r="T290" s="6"/>
      <c r="U290" s="7"/>
      <c r="W290" s="6"/>
      <c r="X290" s="5"/>
      <c r="Z290" s="5"/>
      <c r="AA290" s="6"/>
      <c r="AB290" s="7"/>
      <c r="AG290" s="5"/>
      <c r="AH290" s="6"/>
      <c r="AM290" s="8"/>
      <c r="AN290" s="8"/>
      <c r="AO290" s="8"/>
      <c r="AS290" s="6"/>
      <c r="AT290" s="7"/>
      <c r="AW290" s="5"/>
      <c r="AY290" s="6"/>
      <c r="BC290" s="6"/>
      <c r="BD290" s="6"/>
      <c r="BI290" s="6"/>
      <c r="BN290" s="8"/>
      <c r="BO290" s="8"/>
      <c r="BP290" s="8"/>
      <c r="BT290" s="6"/>
      <c r="BU290" s="6"/>
      <c r="BZ290" s="6"/>
      <c r="CD290" s="6"/>
      <c r="CE290" s="6"/>
      <c r="CJ290" s="6"/>
      <c r="CU290" s="6"/>
      <c r="CV290" s="6"/>
      <c r="DA290" s="6"/>
      <c r="DE290" s="6"/>
      <c r="DF290" s="6"/>
      <c r="DK290" s="6"/>
      <c r="DV290" s="6"/>
      <c r="DW290" s="6"/>
      <c r="EB290" s="6"/>
      <c r="EF290" s="6"/>
      <c r="EG290" s="6"/>
      <c r="EL290" s="6"/>
      <c r="EW290" s="6"/>
      <c r="EX290" s="6"/>
      <c r="FC290" s="6"/>
      <c r="FG290" s="6"/>
      <c r="FH290" s="6"/>
      <c r="FM290" s="6"/>
      <c r="FX290" s="6"/>
      <c r="FY290" s="6"/>
      <c r="GD290" s="6"/>
      <c r="GH290" s="6"/>
      <c r="GI290" s="6"/>
      <c r="GN290" s="6"/>
      <c r="GY290" s="6"/>
      <c r="GZ290" s="6"/>
      <c r="HE290" s="6"/>
      <c r="HI290" s="6"/>
      <c r="HJ290" s="6"/>
      <c r="HO290" s="6"/>
      <c r="HZ290" s="6"/>
      <c r="IA290" s="6"/>
      <c r="IF290" s="6"/>
      <c r="IJ290" s="6"/>
      <c r="IK290" s="6"/>
      <c r="IP290" s="6"/>
      <c r="JA290" s="6"/>
      <c r="JB290" s="6"/>
      <c r="JG290" s="6"/>
      <c r="JK290" s="6"/>
      <c r="JL290" s="6"/>
      <c r="JQ290" s="6"/>
      <c r="KB290" s="6"/>
      <c r="KC290" s="6"/>
      <c r="KH290" s="6"/>
      <c r="KL290" s="6"/>
      <c r="KM290" s="6"/>
      <c r="KR290" s="6"/>
      <c r="LC290" s="6"/>
      <c r="LD290" s="6"/>
      <c r="LI290" s="6"/>
      <c r="LM290" s="6"/>
      <c r="LN290" s="6"/>
      <c r="LS290" s="6"/>
      <c r="MD290" s="6"/>
      <c r="ME290" s="6"/>
      <c r="MJ290" s="6"/>
      <c r="MN290" s="6"/>
      <c r="MO290" s="6"/>
      <c r="MT290" s="6"/>
      <c r="NE290" s="6"/>
      <c r="NF290" s="6"/>
      <c r="NK290" s="6"/>
      <c r="NO290" s="6"/>
      <c r="NP290" s="6"/>
      <c r="NU290" s="6"/>
      <c r="OF290" s="6"/>
      <c r="OG290" s="6"/>
      <c r="OL290" s="6"/>
      <c r="OP290" s="6"/>
      <c r="OQ290" s="6"/>
      <c r="OV290" s="6"/>
      <c r="PG290" s="6"/>
      <c r="PH290" s="6"/>
      <c r="PM290" s="6"/>
      <c r="PQ290" s="6"/>
      <c r="PR290" s="6"/>
      <c r="PW290" s="6"/>
      <c r="QH290" s="6"/>
      <c r="QI290" s="6"/>
      <c r="QN290" s="6"/>
      <c r="QR290" s="6"/>
      <c r="QS290" s="6"/>
      <c r="QX290" s="6"/>
      <c r="RI290" s="6"/>
      <c r="RJ290" s="6"/>
      <c r="RO290" s="6"/>
      <c r="RS290" s="6"/>
      <c r="RT290" s="6"/>
      <c r="RY290" s="6"/>
      <c r="SJ290" s="6"/>
      <c r="SK290" s="6"/>
      <c r="SP290" s="6"/>
      <c r="ST290" s="6"/>
      <c r="SU290" s="6"/>
      <c r="SZ290" s="6"/>
    </row>
    <row r="291" spans="12:520" x14ac:dyDescent="0.3">
      <c r="O291" s="5"/>
      <c r="R291" s="5"/>
      <c r="S291" s="6"/>
      <c r="T291" s="6"/>
      <c r="U291" s="7"/>
      <c r="W291" s="7"/>
      <c r="X291" s="5"/>
      <c r="Z291" s="5"/>
      <c r="AA291" s="6"/>
      <c r="AB291" s="7"/>
      <c r="AG291" s="5"/>
      <c r="AH291" s="7"/>
      <c r="AT291" s="7"/>
      <c r="AW291" s="5"/>
      <c r="AY291" s="6"/>
      <c r="BC291" s="6"/>
      <c r="BD291" s="6"/>
      <c r="BI291" s="6"/>
      <c r="CU291" s="6"/>
      <c r="CV291" s="6"/>
      <c r="DA291" s="6"/>
      <c r="DE291" s="6"/>
      <c r="DF291" s="6"/>
      <c r="DK291" s="6"/>
      <c r="DV291" s="6"/>
      <c r="DW291" s="6"/>
      <c r="EB291" s="6"/>
      <c r="EF291" s="6"/>
      <c r="EG291" s="6"/>
      <c r="EL291" s="6"/>
      <c r="EW291" s="6"/>
      <c r="EX291" s="6"/>
      <c r="FC291" s="6"/>
      <c r="FG291" s="6"/>
      <c r="FH291" s="6"/>
      <c r="FM291" s="6"/>
      <c r="FX291" s="6"/>
      <c r="FY291" s="6"/>
      <c r="GD291" s="6"/>
      <c r="GH291" s="6"/>
      <c r="GI291" s="6"/>
      <c r="GN291" s="6"/>
      <c r="GY291" s="6"/>
      <c r="GZ291" s="6"/>
      <c r="HE291" s="6"/>
      <c r="HI291" s="6"/>
      <c r="HJ291" s="6"/>
      <c r="HO291" s="6"/>
      <c r="HZ291" s="6"/>
      <c r="IA291" s="6"/>
      <c r="IF291" s="6"/>
      <c r="IJ291" s="6"/>
      <c r="IK291" s="6"/>
      <c r="IP291" s="6"/>
      <c r="JA291" s="6"/>
      <c r="JB291" s="6"/>
      <c r="JG291" s="6"/>
      <c r="JK291" s="6"/>
      <c r="JL291" s="6"/>
      <c r="JQ291" s="6"/>
      <c r="KB291" s="6"/>
      <c r="KC291" s="6"/>
      <c r="KH291" s="6"/>
      <c r="KL291" s="6"/>
      <c r="KM291" s="6"/>
      <c r="KR291" s="6"/>
      <c r="LC291" s="6"/>
      <c r="LD291" s="6"/>
      <c r="LI291" s="6"/>
      <c r="LM291" s="6"/>
      <c r="LN291" s="6"/>
      <c r="LS291" s="6"/>
      <c r="MD291" s="6"/>
      <c r="ME291" s="6"/>
      <c r="MJ291" s="6"/>
      <c r="MN291" s="6"/>
      <c r="MO291" s="6"/>
      <c r="MT291" s="6"/>
      <c r="NE291" s="6"/>
      <c r="NF291" s="6"/>
      <c r="NK291" s="6"/>
      <c r="NO291" s="6"/>
      <c r="NP291" s="6"/>
      <c r="NU291" s="6"/>
      <c r="OF291" s="6"/>
      <c r="OG291" s="6"/>
      <c r="OL291" s="6"/>
      <c r="OP291" s="6"/>
      <c r="OQ291" s="6"/>
      <c r="OV291" s="6"/>
      <c r="PG291" s="6"/>
      <c r="PH291" s="6"/>
      <c r="PM291" s="6"/>
      <c r="PQ291" s="6"/>
      <c r="PR291" s="6"/>
      <c r="PW291" s="6"/>
      <c r="QH291" s="6"/>
      <c r="QI291" s="6"/>
      <c r="QN291" s="6"/>
      <c r="QR291" s="6"/>
      <c r="QS291" s="6"/>
      <c r="QX291" s="6"/>
      <c r="RI291" s="6"/>
      <c r="RJ291" s="6"/>
      <c r="RO291" s="6"/>
      <c r="RS291" s="6"/>
      <c r="RT291" s="6"/>
      <c r="RY291" s="6"/>
      <c r="SJ291" s="6"/>
      <c r="SK291" s="6"/>
      <c r="SP291" s="6"/>
      <c r="ST291" s="6"/>
      <c r="SU291" s="6"/>
      <c r="SZ291" s="6"/>
    </row>
    <row r="292" spans="12:520" x14ac:dyDescent="0.3">
      <c r="O292" s="5"/>
      <c r="R292" s="5"/>
      <c r="S292" s="6"/>
      <c r="T292" s="6"/>
      <c r="U292" s="7"/>
      <c r="W292" s="6"/>
      <c r="X292" s="5"/>
      <c r="Z292" s="5"/>
      <c r="AA292" s="6"/>
      <c r="AB292" s="7"/>
      <c r="AG292" s="5"/>
      <c r="AH292" s="6"/>
      <c r="AR292" s="6"/>
      <c r="AS292" s="7"/>
      <c r="AT292" s="7"/>
      <c r="AW292" s="5"/>
      <c r="AY292" s="6"/>
      <c r="BC292" s="6"/>
      <c r="BD292" s="6"/>
      <c r="BI292" s="6"/>
      <c r="CU292" s="6"/>
      <c r="CV292" s="6"/>
      <c r="DA292" s="6"/>
      <c r="DE292" s="6"/>
      <c r="DF292" s="6"/>
      <c r="DK292" s="6"/>
      <c r="DV292" s="6"/>
      <c r="DW292" s="6"/>
      <c r="EB292" s="6"/>
      <c r="EF292" s="6"/>
      <c r="EG292" s="6"/>
      <c r="EL292" s="6"/>
      <c r="EQ292" s="8"/>
      <c r="ER292" s="8"/>
      <c r="ES292" s="8"/>
      <c r="EW292" s="6"/>
      <c r="EX292" s="6"/>
      <c r="FC292" s="6"/>
      <c r="FG292" s="6"/>
      <c r="FH292" s="6"/>
      <c r="FM292" s="6"/>
      <c r="FX292" s="6"/>
      <c r="FY292" s="6"/>
      <c r="GD292" s="6"/>
      <c r="GH292" s="6"/>
      <c r="GI292" s="6"/>
      <c r="GN292" s="6"/>
      <c r="GY292" s="6"/>
      <c r="GZ292" s="6"/>
      <c r="HE292" s="6"/>
      <c r="HI292" s="6"/>
      <c r="HJ292" s="6"/>
      <c r="HO292" s="6"/>
      <c r="HZ292" s="6"/>
      <c r="IA292" s="6"/>
      <c r="IF292" s="6"/>
      <c r="IJ292" s="6"/>
      <c r="IK292" s="6"/>
      <c r="IP292" s="6"/>
      <c r="JA292" s="6"/>
      <c r="JB292" s="6"/>
      <c r="JG292" s="6"/>
      <c r="JK292" s="6"/>
      <c r="JL292" s="6"/>
      <c r="JQ292" s="6"/>
      <c r="KB292" s="6"/>
      <c r="KC292" s="6"/>
      <c r="KH292" s="6"/>
      <c r="KL292" s="6"/>
      <c r="KM292" s="6"/>
      <c r="KR292" s="6"/>
      <c r="LC292" s="6"/>
      <c r="LD292" s="6"/>
      <c r="LI292" s="6"/>
      <c r="LM292" s="6"/>
      <c r="LN292" s="6"/>
      <c r="LS292" s="6"/>
      <c r="MD292" s="6"/>
      <c r="ME292" s="6"/>
      <c r="MJ292" s="6"/>
      <c r="MN292" s="6"/>
      <c r="MO292" s="6"/>
      <c r="MT292" s="6"/>
      <c r="NE292" s="6"/>
      <c r="NF292" s="6"/>
      <c r="NK292" s="6"/>
      <c r="NO292" s="6"/>
      <c r="NP292" s="6"/>
      <c r="NU292" s="6"/>
      <c r="OF292" s="6"/>
      <c r="OG292" s="6"/>
      <c r="OL292" s="6"/>
      <c r="OP292" s="6"/>
      <c r="OQ292" s="6"/>
      <c r="OV292" s="6"/>
      <c r="PG292" s="6"/>
      <c r="PH292" s="6"/>
      <c r="PM292" s="6"/>
      <c r="PQ292" s="6"/>
      <c r="PR292" s="6"/>
      <c r="PW292" s="6"/>
      <c r="QH292" s="6"/>
      <c r="QI292" s="6"/>
      <c r="QN292" s="6"/>
      <c r="QR292" s="6"/>
      <c r="QS292" s="6"/>
      <c r="QX292" s="6"/>
      <c r="RI292" s="6"/>
      <c r="RJ292" s="6"/>
      <c r="RO292" s="6"/>
      <c r="RS292" s="6"/>
      <c r="RT292" s="6"/>
      <c r="RY292" s="6"/>
      <c r="SJ292" s="6"/>
      <c r="SK292" s="6"/>
      <c r="SP292" s="6"/>
      <c r="ST292" s="6"/>
      <c r="SU292" s="6"/>
      <c r="SZ292" s="6"/>
    </row>
    <row r="293" spans="12:520" x14ac:dyDescent="0.3">
      <c r="O293" s="5"/>
      <c r="R293" s="5"/>
      <c r="S293" s="6"/>
      <c r="T293" s="6"/>
      <c r="U293" s="7"/>
      <c r="W293" s="6"/>
      <c r="X293" s="5"/>
      <c r="Z293" s="5"/>
      <c r="AA293" s="6"/>
      <c r="AB293" s="7"/>
      <c r="AG293" s="5"/>
      <c r="AH293" s="6"/>
      <c r="AQ293" s="5"/>
      <c r="AR293" s="5"/>
      <c r="AS293" s="6"/>
      <c r="AT293" s="7"/>
      <c r="AW293" s="5"/>
      <c r="AY293" s="6"/>
      <c r="BC293" s="6"/>
      <c r="BD293" s="6"/>
      <c r="BI293" s="6"/>
      <c r="CU293" s="6"/>
      <c r="CV293" s="6"/>
      <c r="DA293" s="6"/>
      <c r="DE293" s="6"/>
      <c r="DF293" s="6"/>
      <c r="DK293" s="6"/>
      <c r="DV293" s="6"/>
      <c r="DW293" s="6"/>
      <c r="EB293" s="6"/>
      <c r="EF293" s="6"/>
      <c r="EG293" s="6"/>
      <c r="EL293" s="6"/>
      <c r="FX293" s="6"/>
      <c r="FY293" s="6"/>
      <c r="GD293" s="6"/>
      <c r="GH293" s="6"/>
      <c r="GI293" s="6"/>
      <c r="GN293" s="6"/>
      <c r="GY293" s="6"/>
      <c r="GZ293" s="6"/>
      <c r="HE293" s="6"/>
      <c r="HI293" s="6"/>
      <c r="HJ293" s="6"/>
      <c r="HO293" s="6"/>
      <c r="HZ293" s="6"/>
      <c r="IA293" s="6"/>
      <c r="IF293" s="6"/>
      <c r="IJ293" s="6"/>
      <c r="IK293" s="6"/>
      <c r="IP293" s="6"/>
      <c r="JA293" s="6"/>
      <c r="JB293" s="6"/>
      <c r="JG293" s="6"/>
      <c r="JK293" s="6"/>
      <c r="JL293" s="6"/>
      <c r="JQ293" s="6"/>
      <c r="KB293" s="6"/>
      <c r="KC293" s="6"/>
      <c r="KH293" s="6"/>
      <c r="KL293" s="6"/>
      <c r="KM293" s="6"/>
      <c r="KR293" s="6"/>
      <c r="LC293" s="6"/>
      <c r="LD293" s="6"/>
      <c r="LI293" s="6"/>
      <c r="LM293" s="6"/>
      <c r="LN293" s="6"/>
      <c r="LS293" s="6"/>
      <c r="MD293" s="6"/>
      <c r="ME293" s="6"/>
      <c r="MJ293" s="6"/>
      <c r="MN293" s="6"/>
      <c r="MO293" s="6"/>
      <c r="MT293" s="6"/>
      <c r="NE293" s="6"/>
      <c r="NF293" s="6"/>
      <c r="NK293" s="6"/>
      <c r="NO293" s="6"/>
      <c r="NP293" s="6"/>
      <c r="NU293" s="6"/>
      <c r="OF293" s="6"/>
      <c r="OG293" s="6"/>
      <c r="OL293" s="6"/>
      <c r="OP293" s="6"/>
      <c r="OQ293" s="6"/>
      <c r="OV293" s="6"/>
      <c r="PG293" s="6"/>
      <c r="PH293" s="6"/>
      <c r="PM293" s="6"/>
      <c r="PQ293" s="6"/>
      <c r="PR293" s="6"/>
      <c r="PW293" s="6"/>
      <c r="QH293" s="6"/>
      <c r="QI293" s="6"/>
      <c r="QN293" s="6"/>
      <c r="QR293" s="6"/>
      <c r="QS293" s="6"/>
      <c r="QX293" s="6"/>
      <c r="RI293" s="6"/>
      <c r="RJ293" s="6"/>
      <c r="RO293" s="6"/>
      <c r="RS293" s="6"/>
      <c r="RT293" s="6"/>
      <c r="RY293" s="6"/>
      <c r="SJ293" s="6"/>
      <c r="SK293" s="6"/>
      <c r="SP293" s="6"/>
      <c r="ST293" s="6"/>
      <c r="SU293" s="6"/>
      <c r="SZ293" s="6"/>
    </row>
    <row r="294" spans="12:520" x14ac:dyDescent="0.3">
      <c r="O294" s="5"/>
      <c r="R294" s="5"/>
      <c r="S294" s="6"/>
      <c r="T294" s="6"/>
      <c r="U294" s="7"/>
      <c r="W294" s="6"/>
      <c r="X294" s="5"/>
      <c r="Z294" s="5"/>
      <c r="AA294" s="6"/>
      <c r="AB294" s="7"/>
      <c r="AG294" s="5"/>
      <c r="AH294" s="6"/>
      <c r="AQ294" s="5"/>
      <c r="AR294" s="5"/>
      <c r="AS294" s="6"/>
      <c r="AT294" s="7"/>
      <c r="AW294" s="5"/>
      <c r="AY294" s="6"/>
      <c r="BC294" s="6"/>
      <c r="BD294" s="6"/>
      <c r="BI294" s="6"/>
      <c r="CU294" s="6"/>
      <c r="CV294" s="6"/>
      <c r="DA294" s="6"/>
      <c r="DE294" s="6"/>
      <c r="DF294" s="6"/>
      <c r="DK294" s="6"/>
      <c r="DV294" s="6"/>
      <c r="DW294" s="6"/>
      <c r="EB294" s="6"/>
      <c r="EF294" s="6"/>
      <c r="EG294" s="6"/>
      <c r="EL294" s="6"/>
      <c r="FX294" s="6"/>
      <c r="FY294" s="6"/>
      <c r="GD294" s="6"/>
      <c r="GH294" s="6"/>
      <c r="GI294" s="6"/>
      <c r="GN294" s="6"/>
      <c r="GY294" s="6"/>
      <c r="GZ294" s="6"/>
      <c r="HE294" s="6"/>
      <c r="HI294" s="6"/>
      <c r="HJ294" s="6"/>
      <c r="HO294" s="6"/>
      <c r="HZ294" s="6"/>
      <c r="IA294" s="6"/>
      <c r="IF294" s="6"/>
      <c r="IJ294" s="6"/>
      <c r="IK294" s="6"/>
      <c r="IP294" s="6"/>
      <c r="JA294" s="6"/>
      <c r="JB294" s="6"/>
      <c r="JG294" s="6"/>
      <c r="JK294" s="6"/>
      <c r="JL294" s="6"/>
      <c r="JQ294" s="6"/>
      <c r="KB294" s="6"/>
      <c r="KC294" s="6"/>
      <c r="KH294" s="6"/>
      <c r="KL294" s="6"/>
      <c r="KM294" s="6"/>
      <c r="KR294" s="6"/>
      <c r="LC294" s="6"/>
      <c r="LD294" s="6"/>
      <c r="LI294" s="6"/>
      <c r="LM294" s="6"/>
      <c r="LN294" s="6"/>
      <c r="LS294" s="6"/>
      <c r="MD294" s="6"/>
      <c r="ME294" s="6"/>
      <c r="MJ294" s="6"/>
      <c r="MN294" s="6"/>
      <c r="MO294" s="6"/>
      <c r="MT294" s="6"/>
      <c r="NE294" s="6"/>
      <c r="NF294" s="6"/>
      <c r="NK294" s="6"/>
      <c r="NO294" s="6"/>
      <c r="NP294" s="6"/>
      <c r="NU294" s="6"/>
      <c r="OF294" s="6"/>
      <c r="OG294" s="6"/>
      <c r="OL294" s="6"/>
      <c r="OP294" s="6"/>
      <c r="OQ294" s="6"/>
      <c r="OV294" s="6"/>
      <c r="PG294" s="6"/>
      <c r="PH294" s="6"/>
      <c r="PM294" s="6"/>
      <c r="PQ294" s="6"/>
      <c r="PR294" s="6"/>
      <c r="PW294" s="6"/>
      <c r="QB294" s="8"/>
      <c r="QC294" s="8"/>
      <c r="QD294" s="8"/>
      <c r="QH294" s="6"/>
      <c r="QI294" s="6"/>
      <c r="QN294" s="6"/>
      <c r="QR294" s="6"/>
      <c r="QS294" s="6"/>
      <c r="QX294" s="6"/>
      <c r="RI294" s="6"/>
      <c r="RJ294" s="6"/>
      <c r="RO294" s="6"/>
      <c r="RS294" s="6"/>
      <c r="RT294" s="6"/>
      <c r="RY294" s="6"/>
      <c r="SJ294" s="6"/>
      <c r="SK294" s="6"/>
      <c r="SP294" s="6"/>
      <c r="ST294" s="6"/>
      <c r="SU294" s="6"/>
      <c r="SZ294" s="6"/>
    </row>
    <row r="295" spans="12:520" x14ac:dyDescent="0.3">
      <c r="L295" s="8"/>
      <c r="M295" s="8"/>
      <c r="N295" s="8"/>
      <c r="O295" s="5"/>
      <c r="R295" s="5"/>
      <c r="S295" s="6"/>
      <c r="T295" s="6"/>
      <c r="U295" s="7"/>
      <c r="W295" s="6"/>
      <c r="X295" s="5"/>
      <c r="Z295" s="5"/>
      <c r="AA295" s="6"/>
      <c r="AB295" s="7"/>
      <c r="AG295" s="5"/>
      <c r="AH295" s="6"/>
      <c r="AQ295" s="5"/>
      <c r="AR295" s="5"/>
      <c r="AS295" s="6"/>
      <c r="AT295" s="7"/>
      <c r="AW295" s="5"/>
      <c r="AY295" s="7"/>
      <c r="BC295" s="6"/>
      <c r="BD295" s="6"/>
      <c r="BI295" s="6"/>
      <c r="CU295" s="6"/>
      <c r="CV295" s="6"/>
      <c r="DA295" s="6"/>
      <c r="DE295" s="6"/>
      <c r="DF295" s="6"/>
      <c r="DK295" s="6"/>
      <c r="DV295" s="6"/>
      <c r="DW295" s="6"/>
      <c r="EB295" s="6"/>
      <c r="EF295" s="6"/>
      <c r="EG295" s="6"/>
      <c r="EL295" s="6"/>
      <c r="FX295" s="6"/>
      <c r="FY295" s="6"/>
      <c r="GD295" s="6"/>
      <c r="GH295" s="6"/>
      <c r="GI295" s="6"/>
      <c r="GN295" s="6"/>
      <c r="GY295" s="6"/>
      <c r="GZ295" s="6"/>
      <c r="HE295" s="6"/>
      <c r="HI295" s="6"/>
      <c r="HJ295" s="6"/>
      <c r="HO295" s="6"/>
      <c r="HZ295" s="6"/>
      <c r="IA295" s="6"/>
      <c r="IF295" s="6"/>
      <c r="IJ295" s="6"/>
      <c r="IK295" s="6"/>
      <c r="IP295" s="6"/>
      <c r="JA295" s="6"/>
      <c r="JB295" s="6"/>
      <c r="JG295" s="6"/>
      <c r="JK295" s="6"/>
      <c r="JL295" s="6"/>
      <c r="JQ295" s="6"/>
      <c r="KB295" s="6"/>
      <c r="KC295" s="6"/>
      <c r="KH295" s="6"/>
      <c r="KL295" s="6"/>
      <c r="KM295" s="6"/>
      <c r="KR295" s="6"/>
      <c r="LC295" s="6"/>
      <c r="LD295" s="6"/>
      <c r="LI295" s="6"/>
      <c r="LM295" s="6"/>
      <c r="LN295" s="6"/>
      <c r="LS295" s="6"/>
      <c r="MD295" s="6"/>
      <c r="ME295" s="6"/>
      <c r="MJ295" s="6"/>
      <c r="MN295" s="6"/>
      <c r="MO295" s="6"/>
      <c r="MT295" s="6"/>
      <c r="NE295" s="6"/>
      <c r="NF295" s="6"/>
      <c r="NK295" s="6"/>
      <c r="NO295" s="6"/>
      <c r="NP295" s="6"/>
      <c r="NU295" s="6"/>
      <c r="OF295" s="6"/>
      <c r="OG295" s="6"/>
      <c r="OL295" s="6"/>
      <c r="OP295" s="6"/>
      <c r="OQ295" s="6"/>
      <c r="OV295" s="6"/>
      <c r="PG295" s="6"/>
      <c r="PH295" s="6"/>
      <c r="PM295" s="6"/>
      <c r="PQ295" s="6"/>
      <c r="PR295" s="6"/>
      <c r="PW295" s="6"/>
      <c r="RI295" s="6"/>
      <c r="RJ295" s="6"/>
      <c r="RO295" s="6"/>
      <c r="RS295" s="6"/>
      <c r="RT295" s="6"/>
      <c r="RY295" s="6"/>
      <c r="SJ295" s="6"/>
      <c r="SK295" s="6"/>
      <c r="SP295" s="6"/>
      <c r="ST295" s="6"/>
      <c r="SU295" s="6"/>
      <c r="SZ295" s="6"/>
    </row>
    <row r="296" spans="12:520" x14ac:dyDescent="0.3">
      <c r="AQ296" s="5"/>
      <c r="AR296" s="5"/>
      <c r="AS296" s="6"/>
      <c r="AT296" s="7"/>
      <c r="AW296" s="5"/>
      <c r="AY296" s="6"/>
      <c r="BC296" s="6"/>
      <c r="BD296" s="6"/>
      <c r="BI296" s="6"/>
      <c r="CU296" s="6"/>
      <c r="CV296" s="6"/>
      <c r="DA296" s="6"/>
      <c r="DE296" s="6"/>
      <c r="DF296" s="6"/>
      <c r="DK296" s="6"/>
      <c r="DV296" s="6"/>
      <c r="DW296" s="6"/>
      <c r="EB296" s="6"/>
      <c r="EF296" s="6"/>
      <c r="EG296" s="6"/>
      <c r="EL296" s="6"/>
      <c r="FX296" s="6"/>
      <c r="FY296" s="6"/>
      <c r="GD296" s="6"/>
      <c r="GH296" s="6"/>
      <c r="GI296" s="6"/>
      <c r="GN296" s="6"/>
      <c r="GY296" s="6"/>
      <c r="GZ296" s="6"/>
      <c r="HE296" s="6"/>
      <c r="HI296" s="6"/>
      <c r="HJ296" s="6"/>
      <c r="HO296" s="6"/>
      <c r="HZ296" s="6"/>
      <c r="IA296" s="6"/>
      <c r="IF296" s="6"/>
      <c r="IJ296" s="6"/>
      <c r="IK296" s="6"/>
      <c r="IP296" s="6"/>
      <c r="JA296" s="6"/>
      <c r="JB296" s="6"/>
      <c r="JG296" s="6"/>
      <c r="JK296" s="6"/>
      <c r="JL296" s="6"/>
      <c r="JQ296" s="6"/>
      <c r="KB296" s="6"/>
      <c r="KC296" s="6"/>
      <c r="KH296" s="6"/>
      <c r="KL296" s="6"/>
      <c r="KM296" s="6"/>
      <c r="KR296" s="6"/>
      <c r="LC296" s="6"/>
      <c r="LD296" s="6"/>
      <c r="LI296" s="6"/>
      <c r="LM296" s="6"/>
      <c r="LN296" s="6"/>
      <c r="LS296" s="6"/>
      <c r="MD296" s="6"/>
      <c r="ME296" s="6"/>
      <c r="MJ296" s="6"/>
      <c r="MN296" s="6"/>
      <c r="MO296" s="6"/>
      <c r="MT296" s="6"/>
      <c r="NE296" s="6"/>
      <c r="NF296" s="6"/>
      <c r="NK296" s="6"/>
      <c r="NO296" s="6"/>
      <c r="NP296" s="6"/>
      <c r="NU296" s="6"/>
      <c r="OF296" s="6"/>
      <c r="OG296" s="6"/>
      <c r="OL296" s="6"/>
      <c r="OP296" s="6"/>
      <c r="OQ296" s="6"/>
      <c r="OV296" s="6"/>
      <c r="PG296" s="6"/>
      <c r="PH296" s="6"/>
      <c r="PM296" s="6"/>
      <c r="PQ296" s="6"/>
      <c r="PR296" s="6"/>
      <c r="PW296" s="6"/>
      <c r="RI296" s="6"/>
      <c r="RJ296" s="6"/>
      <c r="RO296" s="6"/>
      <c r="RS296" s="6"/>
      <c r="RT296" s="6"/>
      <c r="RY296" s="6"/>
      <c r="SJ296" s="6"/>
      <c r="SK296" s="6"/>
      <c r="SP296" s="6"/>
      <c r="ST296" s="6"/>
      <c r="SU296" s="6"/>
      <c r="SZ296" s="6"/>
    </row>
    <row r="297" spans="12:520" x14ac:dyDescent="0.3">
      <c r="AQ297" s="5"/>
      <c r="AR297" s="5"/>
      <c r="AS297" s="6"/>
      <c r="AT297" s="7"/>
      <c r="AW297" s="5"/>
      <c r="AY297" s="6"/>
      <c r="BC297" s="6"/>
      <c r="BD297" s="6"/>
      <c r="BI297" s="6"/>
      <c r="CU297" s="6"/>
      <c r="CV297" s="6"/>
      <c r="DA297" s="6"/>
      <c r="DE297" s="6"/>
      <c r="DF297" s="6"/>
      <c r="DK297" s="6"/>
      <c r="DV297" s="6"/>
      <c r="DW297" s="6"/>
      <c r="EB297" s="6"/>
      <c r="EF297" s="6"/>
      <c r="EG297" s="6"/>
      <c r="EL297" s="6"/>
      <c r="FX297" s="6"/>
      <c r="FY297" s="6"/>
      <c r="GD297" s="6"/>
      <c r="GH297" s="6"/>
      <c r="GI297" s="6"/>
      <c r="GN297" s="6"/>
      <c r="GY297" s="6"/>
      <c r="GZ297" s="6"/>
      <c r="HE297" s="6"/>
      <c r="HI297" s="6"/>
      <c r="HJ297" s="6"/>
      <c r="HO297" s="6"/>
      <c r="HZ297" s="6"/>
      <c r="IA297" s="6"/>
      <c r="IF297" s="6"/>
      <c r="IJ297" s="6"/>
      <c r="IK297" s="6"/>
      <c r="IP297" s="6"/>
      <c r="JA297" s="6"/>
      <c r="JB297" s="6"/>
      <c r="JG297" s="6"/>
      <c r="JK297" s="6"/>
      <c r="JL297" s="6"/>
      <c r="JQ297" s="6"/>
      <c r="KB297" s="6"/>
      <c r="KC297" s="6"/>
      <c r="KH297" s="6"/>
      <c r="KL297" s="6"/>
      <c r="KM297" s="6"/>
      <c r="KR297" s="6"/>
      <c r="LC297" s="6"/>
      <c r="LD297" s="6"/>
      <c r="LI297" s="6"/>
      <c r="LM297" s="6"/>
      <c r="LN297" s="6"/>
      <c r="LS297" s="6"/>
      <c r="MD297" s="6"/>
      <c r="ME297" s="6"/>
      <c r="MJ297" s="6"/>
      <c r="MN297" s="6"/>
      <c r="MO297" s="6"/>
      <c r="MT297" s="6"/>
      <c r="NE297" s="6"/>
      <c r="NF297" s="6"/>
      <c r="NK297" s="6"/>
      <c r="NO297" s="6"/>
      <c r="NP297" s="6"/>
      <c r="NU297" s="6"/>
      <c r="OF297" s="6"/>
      <c r="OG297" s="6"/>
      <c r="OL297" s="6"/>
      <c r="OP297" s="6"/>
      <c r="OQ297" s="6"/>
      <c r="OV297" s="6"/>
      <c r="PG297" s="6"/>
      <c r="PH297" s="6"/>
      <c r="PM297" s="6"/>
      <c r="PQ297" s="6"/>
      <c r="PR297" s="6"/>
      <c r="PW297" s="6"/>
      <c r="RC297" s="8"/>
      <c r="RD297" s="8"/>
      <c r="RE297" s="8"/>
      <c r="RI297" s="6"/>
      <c r="RJ297" s="6"/>
      <c r="RO297" s="6"/>
      <c r="RS297" s="6"/>
      <c r="RT297" s="6"/>
      <c r="RY297" s="6"/>
      <c r="SJ297" s="6"/>
      <c r="SK297" s="6"/>
      <c r="SP297" s="6"/>
      <c r="ST297" s="6"/>
      <c r="SU297" s="6"/>
      <c r="SZ297" s="6"/>
    </row>
    <row r="298" spans="12:520" x14ac:dyDescent="0.3">
      <c r="AQ298" s="5"/>
      <c r="AR298" s="5"/>
      <c r="AS298" s="6"/>
      <c r="AT298" s="7"/>
      <c r="AW298" s="5"/>
      <c r="AY298" s="6"/>
      <c r="BC298" s="6"/>
      <c r="BD298" s="6"/>
      <c r="BI298" s="6"/>
      <c r="CU298" s="6"/>
      <c r="CV298" s="6"/>
      <c r="DA298" s="6"/>
      <c r="DE298" s="6"/>
      <c r="DF298" s="6"/>
      <c r="DK298" s="6"/>
      <c r="DV298" s="6"/>
      <c r="DW298" s="6"/>
      <c r="EB298" s="6"/>
      <c r="EF298" s="6"/>
      <c r="EG298" s="6"/>
      <c r="EL298" s="6"/>
      <c r="FX298" s="6"/>
      <c r="FY298" s="6"/>
      <c r="GD298" s="6"/>
      <c r="GH298" s="6"/>
      <c r="GI298" s="6"/>
      <c r="GN298" s="6"/>
      <c r="GY298" s="6"/>
      <c r="GZ298" s="6"/>
      <c r="HE298" s="6"/>
      <c r="HI298" s="6"/>
      <c r="HJ298" s="6"/>
      <c r="HO298" s="6"/>
      <c r="HZ298" s="6"/>
      <c r="IA298" s="6"/>
      <c r="IF298" s="6"/>
      <c r="IJ298" s="6"/>
      <c r="IK298" s="6"/>
      <c r="IP298" s="6"/>
      <c r="JA298" s="6"/>
      <c r="JB298" s="6"/>
      <c r="JG298" s="6"/>
      <c r="JK298" s="6"/>
      <c r="JL298" s="6"/>
      <c r="JQ298" s="6"/>
      <c r="KB298" s="6"/>
      <c r="KC298" s="6"/>
      <c r="KH298" s="6"/>
      <c r="KL298" s="6"/>
      <c r="KM298" s="6"/>
      <c r="KR298" s="6"/>
      <c r="LC298" s="6"/>
      <c r="LD298" s="6"/>
      <c r="LI298" s="6"/>
      <c r="LM298" s="6"/>
      <c r="LN298" s="6"/>
      <c r="LS298" s="6"/>
      <c r="MD298" s="6"/>
      <c r="ME298" s="6"/>
      <c r="MJ298" s="6"/>
      <c r="MN298" s="6"/>
      <c r="MO298" s="6"/>
      <c r="MT298" s="6"/>
      <c r="NE298" s="6"/>
      <c r="NF298" s="6"/>
      <c r="NK298" s="6"/>
      <c r="NO298" s="6"/>
      <c r="NP298" s="6"/>
      <c r="NU298" s="6"/>
      <c r="OF298" s="6"/>
      <c r="OG298" s="6"/>
      <c r="OL298" s="6"/>
      <c r="OP298" s="6"/>
      <c r="OQ298" s="6"/>
      <c r="OV298" s="6"/>
      <c r="PG298" s="6"/>
      <c r="PH298" s="6"/>
      <c r="PM298" s="6"/>
      <c r="PQ298" s="6"/>
      <c r="PR298" s="6"/>
      <c r="PW298" s="6"/>
      <c r="SJ298" s="6"/>
      <c r="SK298" s="6"/>
      <c r="SP298" s="6"/>
      <c r="ST298" s="6"/>
      <c r="SU298" s="6"/>
      <c r="SZ298" s="6"/>
    </row>
    <row r="299" spans="12:520" x14ac:dyDescent="0.3">
      <c r="AQ299" s="5"/>
      <c r="AR299" s="5"/>
      <c r="AS299" s="6"/>
      <c r="AT299" s="7"/>
      <c r="AW299" s="5"/>
      <c r="AY299" s="6"/>
      <c r="BC299" s="6"/>
      <c r="BD299" s="6"/>
      <c r="BI299" s="6"/>
      <c r="CO299" s="8"/>
      <c r="CP299" s="8"/>
      <c r="CQ299" s="8"/>
      <c r="CU299" s="6"/>
      <c r="CV299" s="6"/>
      <c r="DA299" s="6"/>
      <c r="DE299" s="6"/>
      <c r="DF299" s="6"/>
      <c r="DK299" s="6"/>
      <c r="DP299" s="8"/>
      <c r="DQ299" s="8"/>
      <c r="DR299" s="8"/>
      <c r="DV299" s="6"/>
      <c r="DW299" s="6"/>
      <c r="EB299" s="6"/>
      <c r="EF299" s="6"/>
      <c r="EG299" s="6"/>
      <c r="EL299" s="6"/>
      <c r="FR299" s="8"/>
      <c r="FS299" s="8"/>
      <c r="FT299" s="8"/>
      <c r="FX299" s="6"/>
      <c r="FY299" s="6"/>
      <c r="GD299" s="6"/>
      <c r="GH299" s="6"/>
      <c r="GI299" s="6"/>
      <c r="GN299" s="6"/>
      <c r="GS299" s="8"/>
      <c r="GT299" s="8"/>
      <c r="GU299" s="8"/>
      <c r="GY299" s="6"/>
      <c r="GZ299" s="6"/>
      <c r="HE299" s="6"/>
      <c r="HI299" s="6"/>
      <c r="HJ299" s="6"/>
      <c r="HO299" s="6"/>
      <c r="HT299" s="8"/>
      <c r="HU299" s="8"/>
      <c r="HV299" s="8"/>
      <c r="HZ299" s="6"/>
      <c r="IA299" s="6"/>
      <c r="IF299" s="6"/>
      <c r="IJ299" s="6"/>
      <c r="IK299" s="6"/>
      <c r="IP299" s="6"/>
      <c r="IU299" s="8"/>
      <c r="IV299" s="8"/>
      <c r="IW299" s="8"/>
      <c r="JA299" s="6"/>
      <c r="JB299" s="6"/>
      <c r="JG299" s="6"/>
      <c r="JK299" s="6"/>
      <c r="JL299" s="6"/>
      <c r="JQ299" s="6"/>
      <c r="JV299" s="8"/>
      <c r="JW299" s="8"/>
      <c r="JX299" s="8"/>
      <c r="KB299" s="6"/>
      <c r="KC299" s="6"/>
      <c r="KH299" s="6"/>
      <c r="KL299" s="6"/>
      <c r="KM299" s="6"/>
      <c r="KR299" s="6"/>
      <c r="KW299" s="8"/>
      <c r="KX299" s="8"/>
      <c r="KY299" s="8"/>
      <c r="LC299" s="6"/>
      <c r="LD299" s="6"/>
      <c r="LI299" s="6"/>
      <c r="LM299" s="6"/>
      <c r="LN299" s="6"/>
      <c r="LS299" s="6"/>
      <c r="LX299" s="8"/>
      <c r="LY299" s="8"/>
      <c r="LZ299" s="8"/>
      <c r="MD299" s="6"/>
      <c r="ME299" s="6"/>
      <c r="MJ299" s="6"/>
      <c r="MN299" s="6"/>
      <c r="MO299" s="6"/>
      <c r="MT299" s="6"/>
      <c r="MY299" s="8"/>
      <c r="MZ299" s="8"/>
      <c r="NA299" s="8"/>
      <c r="NE299" s="6"/>
      <c r="NF299" s="6"/>
      <c r="NK299" s="6"/>
      <c r="NO299" s="6"/>
      <c r="NP299" s="6"/>
      <c r="NU299" s="6"/>
      <c r="NZ299" s="8"/>
      <c r="OA299" s="8"/>
      <c r="OB299" s="8"/>
      <c r="OF299" s="6"/>
      <c r="OG299" s="6"/>
      <c r="OL299" s="6"/>
      <c r="OP299" s="6"/>
      <c r="OQ299" s="6"/>
      <c r="OV299" s="6"/>
      <c r="PA299" s="8"/>
      <c r="PB299" s="8"/>
      <c r="PC299" s="8"/>
      <c r="PG299" s="6"/>
      <c r="PH299" s="6"/>
      <c r="PM299" s="6"/>
      <c r="PQ299" s="6"/>
      <c r="PR299" s="6"/>
      <c r="PW299" s="6"/>
      <c r="SD299" s="8"/>
      <c r="SE299" s="8"/>
      <c r="SF299" s="8"/>
      <c r="SJ299" s="6"/>
      <c r="SK299" s="6"/>
      <c r="SP299" s="6"/>
      <c r="ST299" s="6"/>
      <c r="SU299" s="6"/>
      <c r="SZ299" s="6"/>
    </row>
    <row r="300" spans="12:520" x14ac:dyDescent="0.3">
      <c r="AQ300" s="5"/>
      <c r="AR300" s="5"/>
      <c r="AS300" s="6"/>
    </row>
    <row r="301" spans="12:520" x14ac:dyDescent="0.3">
      <c r="AQ301" s="5"/>
      <c r="AR301" s="5"/>
      <c r="AS301" s="6"/>
    </row>
    <row r="302" spans="12:520" x14ac:dyDescent="0.3">
      <c r="AQ302" s="5"/>
      <c r="AR302" s="5"/>
      <c r="AS302" s="6"/>
    </row>
    <row r="303" spans="12:520" x14ac:dyDescent="0.3">
      <c r="AM303" s="8"/>
      <c r="AN303" s="8"/>
      <c r="AO303" s="8"/>
      <c r="AQ303" s="5"/>
      <c r="AR303" s="5"/>
      <c r="AS303" s="6"/>
    </row>
    <row r="320" spans="18:519" x14ac:dyDescent="0.3">
      <c r="R320" s="6"/>
      <c r="S320" s="7"/>
      <c r="T320" s="7"/>
      <c r="Z320" s="6"/>
      <c r="AA320" s="7"/>
      <c r="AG320" s="6"/>
      <c r="AX320" s="6"/>
      <c r="BB320" s="6"/>
      <c r="BC320" s="7"/>
      <c r="BH320" s="6"/>
      <c r="BS320" s="6"/>
      <c r="BT320" s="7"/>
      <c r="BY320" s="6"/>
      <c r="CC320" s="6"/>
      <c r="CD320" s="7"/>
      <c r="CI320" s="6"/>
      <c r="CT320" s="6"/>
      <c r="CU320" s="7"/>
      <c r="CZ320" s="6"/>
      <c r="DD320" s="6"/>
      <c r="DE320" s="7"/>
      <c r="DJ320" s="6"/>
      <c r="DU320" s="6"/>
      <c r="DV320" s="7"/>
      <c r="EA320" s="6"/>
      <c r="EE320" s="6"/>
      <c r="EF320" s="7"/>
      <c r="EK320" s="6"/>
      <c r="EV320" s="6"/>
      <c r="EW320" s="7"/>
      <c r="FB320" s="6"/>
      <c r="FF320" s="6"/>
      <c r="FG320" s="7"/>
      <c r="FL320" s="6"/>
      <c r="FW320" s="6"/>
      <c r="FX320" s="7"/>
      <c r="GC320" s="6"/>
      <c r="GG320" s="6"/>
      <c r="GH320" s="7"/>
      <c r="GM320" s="6"/>
      <c r="GX320" s="6"/>
      <c r="GY320" s="7"/>
      <c r="HD320" s="6"/>
      <c r="HH320" s="6"/>
      <c r="HI320" s="7"/>
      <c r="HN320" s="6"/>
      <c r="HY320" s="6"/>
      <c r="HZ320" s="7"/>
      <c r="IE320" s="6"/>
      <c r="II320" s="6"/>
      <c r="IJ320" s="7"/>
      <c r="IO320" s="6"/>
      <c r="IZ320" s="6"/>
      <c r="JA320" s="7"/>
      <c r="JF320" s="6"/>
      <c r="JJ320" s="6"/>
      <c r="JK320" s="7"/>
      <c r="JP320" s="6"/>
      <c r="KA320" s="6"/>
      <c r="KB320" s="7"/>
      <c r="KG320" s="6"/>
      <c r="KK320" s="6"/>
      <c r="KL320" s="7"/>
      <c r="KQ320" s="6"/>
      <c r="LB320" s="6"/>
      <c r="LC320" s="7"/>
      <c r="LH320" s="6"/>
      <c r="LL320" s="6"/>
      <c r="LM320" s="7"/>
      <c r="LR320" s="6"/>
      <c r="MC320" s="6"/>
      <c r="MD320" s="7"/>
      <c r="MI320" s="6"/>
      <c r="MM320" s="6"/>
      <c r="MN320" s="7"/>
      <c r="MS320" s="6"/>
      <c r="ND320" s="6"/>
      <c r="NE320" s="7"/>
      <c r="NJ320" s="6"/>
      <c r="NN320" s="6"/>
      <c r="NO320" s="7"/>
      <c r="NT320" s="6"/>
      <c r="OE320" s="6"/>
      <c r="OF320" s="7"/>
      <c r="OK320" s="6"/>
      <c r="OO320" s="6"/>
      <c r="OP320" s="7"/>
      <c r="OU320" s="6"/>
      <c r="PF320" s="6"/>
      <c r="PG320" s="7"/>
      <c r="PL320" s="6"/>
      <c r="PP320" s="6"/>
      <c r="PQ320" s="7"/>
      <c r="PV320" s="6"/>
      <c r="QG320" s="6"/>
      <c r="QH320" s="7"/>
      <c r="QM320" s="6"/>
      <c r="QQ320" s="6"/>
      <c r="QR320" s="7"/>
      <c r="QW320" s="6"/>
      <c r="RH320" s="6"/>
      <c r="RI320" s="7"/>
      <c r="RN320" s="6"/>
      <c r="RR320" s="6"/>
      <c r="RS320" s="7"/>
      <c r="RX320" s="6"/>
      <c r="SI320" s="6"/>
      <c r="SJ320" s="7"/>
      <c r="SO320" s="6"/>
      <c r="SS320" s="6"/>
      <c r="ST320" s="7"/>
      <c r="SY320" s="6"/>
    </row>
    <row r="321" spans="12:520" x14ac:dyDescent="0.3">
      <c r="S321" s="6"/>
      <c r="T321" s="6"/>
      <c r="U321" s="6"/>
      <c r="W321" s="6"/>
      <c r="AA321" s="6"/>
      <c r="AB321" s="6"/>
      <c r="AH321" s="6"/>
      <c r="AT321" s="6"/>
      <c r="AY321" s="6"/>
      <c r="BC321" s="6"/>
      <c r="BD321" s="6"/>
      <c r="BI321" s="6"/>
      <c r="BT321" s="6"/>
      <c r="BU321" s="6"/>
      <c r="BZ321" s="6"/>
      <c r="CD321" s="6"/>
      <c r="CE321" s="6"/>
      <c r="CJ321" s="6"/>
      <c r="CU321" s="6"/>
      <c r="CV321" s="6"/>
      <c r="DA321" s="6"/>
      <c r="DE321" s="6"/>
      <c r="DF321" s="6"/>
      <c r="DK321" s="6"/>
      <c r="DV321" s="6"/>
      <c r="DW321" s="6"/>
      <c r="EB321" s="6"/>
      <c r="EF321" s="6"/>
      <c r="EG321" s="6"/>
      <c r="EL321" s="6"/>
      <c r="EW321" s="6"/>
      <c r="EX321" s="6"/>
      <c r="FC321" s="6"/>
      <c r="FG321" s="6"/>
      <c r="FH321" s="6"/>
      <c r="FM321" s="6"/>
      <c r="FR321" s="8"/>
      <c r="FS321" s="8"/>
      <c r="FT321" s="8"/>
      <c r="FX321" s="6"/>
      <c r="FY321" s="6"/>
      <c r="GD321" s="6"/>
      <c r="GH321" s="6"/>
      <c r="GI321" s="6"/>
      <c r="GN321" s="6"/>
      <c r="GY321" s="6"/>
      <c r="GZ321" s="6"/>
      <c r="HE321" s="6"/>
      <c r="HI321" s="6"/>
      <c r="HJ321" s="6"/>
      <c r="HO321" s="6"/>
      <c r="HZ321" s="6"/>
      <c r="IA321" s="6"/>
      <c r="IF321" s="6"/>
      <c r="IJ321" s="6"/>
      <c r="IK321" s="6"/>
      <c r="IP321" s="6"/>
      <c r="JA321" s="6"/>
      <c r="JB321" s="6"/>
      <c r="JG321" s="6"/>
      <c r="JK321" s="6"/>
      <c r="JL321" s="6"/>
      <c r="JQ321" s="6"/>
      <c r="KB321" s="6"/>
      <c r="KC321" s="6"/>
      <c r="KH321" s="6"/>
      <c r="KL321" s="6"/>
      <c r="KM321" s="6"/>
      <c r="KR321" s="6"/>
      <c r="LC321" s="6"/>
      <c r="LD321" s="6"/>
      <c r="LI321" s="6"/>
      <c r="LM321" s="6"/>
      <c r="LN321" s="6"/>
      <c r="LS321" s="6"/>
      <c r="MD321" s="6"/>
      <c r="ME321" s="6"/>
      <c r="MJ321" s="6"/>
      <c r="MN321" s="6"/>
      <c r="MO321" s="6"/>
      <c r="MT321" s="6"/>
      <c r="NE321" s="6"/>
      <c r="NF321" s="6"/>
      <c r="NK321" s="6"/>
      <c r="NO321" s="6"/>
      <c r="NP321" s="6"/>
      <c r="NU321" s="6"/>
      <c r="OF321" s="6"/>
      <c r="OG321" s="6"/>
      <c r="OL321" s="6"/>
      <c r="OP321" s="6"/>
      <c r="OQ321" s="6"/>
      <c r="OV321" s="6"/>
      <c r="PG321" s="6"/>
      <c r="PH321" s="6"/>
      <c r="PM321" s="6"/>
      <c r="PQ321" s="6"/>
      <c r="PR321" s="6"/>
      <c r="PW321" s="6"/>
      <c r="QH321" s="6"/>
      <c r="QI321" s="6"/>
      <c r="QN321" s="6"/>
      <c r="QR321" s="6"/>
      <c r="QS321" s="6"/>
      <c r="QX321" s="6"/>
      <c r="RI321" s="6"/>
      <c r="RJ321" s="6"/>
      <c r="RO321" s="6"/>
      <c r="RS321" s="6"/>
      <c r="RT321" s="6"/>
      <c r="RY321" s="6"/>
      <c r="SJ321" s="6"/>
      <c r="SK321" s="6"/>
      <c r="SP321" s="6"/>
      <c r="ST321" s="6"/>
      <c r="SU321" s="6"/>
      <c r="SZ321" s="6"/>
    </row>
    <row r="322" spans="12:520" x14ac:dyDescent="0.3">
      <c r="S322" s="6"/>
      <c r="T322" s="6"/>
      <c r="U322" s="6"/>
      <c r="W322" s="6"/>
      <c r="AA322" s="6"/>
      <c r="AB322" s="6"/>
      <c r="AH322" s="6"/>
      <c r="AT322" s="6"/>
      <c r="AY322" s="6"/>
      <c r="BC322" s="6"/>
      <c r="BD322" s="6"/>
      <c r="BI322" s="6"/>
      <c r="BT322" s="6"/>
      <c r="BU322" s="6"/>
      <c r="BZ322" s="6"/>
      <c r="CD322" s="6"/>
      <c r="CE322" s="6"/>
      <c r="CJ322" s="6"/>
      <c r="CU322" s="6"/>
      <c r="CV322" s="6"/>
      <c r="DA322" s="6"/>
      <c r="DE322" s="6"/>
      <c r="DF322" s="6"/>
      <c r="DK322" s="6"/>
      <c r="DV322" s="6"/>
      <c r="DW322" s="6"/>
      <c r="EB322" s="6"/>
      <c r="EF322" s="6"/>
      <c r="EG322" s="6"/>
      <c r="EL322" s="6"/>
      <c r="EW322" s="6"/>
      <c r="EX322" s="6"/>
      <c r="FC322" s="6"/>
      <c r="FG322" s="6"/>
      <c r="FH322" s="6"/>
      <c r="FM322" s="6"/>
      <c r="GY322" s="6"/>
      <c r="GZ322" s="6"/>
      <c r="HE322" s="6"/>
      <c r="HI322" s="6"/>
      <c r="HJ322" s="6"/>
      <c r="HO322" s="6"/>
      <c r="HZ322" s="6"/>
      <c r="IA322" s="6"/>
      <c r="IF322" s="6"/>
      <c r="IJ322" s="6"/>
      <c r="IK322" s="6"/>
      <c r="IP322" s="6"/>
      <c r="JA322" s="6"/>
      <c r="JB322" s="6"/>
      <c r="JG322" s="6"/>
      <c r="JK322" s="6"/>
      <c r="JL322" s="6"/>
      <c r="JQ322" s="6"/>
      <c r="KB322" s="6"/>
      <c r="KC322" s="6"/>
      <c r="KH322" s="6"/>
      <c r="KL322" s="6"/>
      <c r="KM322" s="6"/>
      <c r="KR322" s="6"/>
      <c r="LC322" s="6"/>
      <c r="LD322" s="6"/>
      <c r="LI322" s="6"/>
      <c r="LM322" s="6"/>
      <c r="LN322" s="6"/>
      <c r="LS322" s="6"/>
      <c r="MD322" s="6"/>
      <c r="ME322" s="6"/>
      <c r="MJ322" s="6"/>
      <c r="MN322" s="6"/>
      <c r="MO322" s="6"/>
      <c r="MT322" s="6"/>
      <c r="NE322" s="6"/>
      <c r="NF322" s="6"/>
      <c r="NK322" s="6"/>
      <c r="NO322" s="6"/>
      <c r="NP322" s="6"/>
      <c r="NU322" s="6"/>
      <c r="OF322" s="6"/>
      <c r="OG322" s="6"/>
      <c r="OL322" s="6"/>
      <c r="OP322" s="6"/>
      <c r="OQ322" s="6"/>
      <c r="OV322" s="6"/>
      <c r="PG322" s="6"/>
      <c r="PH322" s="6"/>
      <c r="PM322" s="6"/>
      <c r="PQ322" s="6"/>
      <c r="PR322" s="6"/>
      <c r="PW322" s="6"/>
      <c r="QH322" s="6"/>
      <c r="QI322" s="6"/>
      <c r="QN322" s="6"/>
      <c r="QR322" s="6"/>
      <c r="QS322" s="6"/>
      <c r="QX322" s="6"/>
      <c r="RI322" s="6"/>
      <c r="RJ322" s="6"/>
      <c r="RO322" s="6"/>
      <c r="RS322" s="6"/>
      <c r="RT322" s="6"/>
      <c r="RY322" s="6"/>
      <c r="SJ322" s="6"/>
      <c r="SK322" s="6"/>
      <c r="SP322" s="6"/>
      <c r="ST322" s="6"/>
      <c r="SU322" s="6"/>
      <c r="SZ322" s="6"/>
    </row>
    <row r="323" spans="12:520" x14ac:dyDescent="0.3">
      <c r="S323" s="6"/>
      <c r="T323" s="6"/>
      <c r="U323" s="6"/>
      <c r="W323" s="6"/>
      <c r="AA323" s="6"/>
      <c r="AB323" s="6"/>
      <c r="AH323" s="6"/>
      <c r="AT323" s="6"/>
      <c r="AY323" s="6"/>
      <c r="BC323" s="6"/>
      <c r="BD323" s="6"/>
      <c r="BI323" s="6"/>
      <c r="BT323" s="6"/>
      <c r="BU323" s="6"/>
      <c r="BZ323" s="6"/>
      <c r="CD323" s="6"/>
      <c r="CE323" s="6"/>
      <c r="CJ323" s="6"/>
      <c r="CU323" s="6"/>
      <c r="CV323" s="6"/>
      <c r="DA323" s="6"/>
      <c r="DE323" s="6"/>
      <c r="DF323" s="6"/>
      <c r="DK323" s="6"/>
      <c r="DV323" s="6"/>
      <c r="DW323" s="6"/>
      <c r="EB323" s="6"/>
      <c r="EF323" s="6"/>
      <c r="EG323" s="6"/>
      <c r="EL323" s="6"/>
      <c r="EW323" s="6"/>
      <c r="EX323" s="6"/>
      <c r="FC323" s="6"/>
      <c r="FG323" s="6"/>
      <c r="FH323" s="6"/>
      <c r="FM323" s="6"/>
      <c r="GY323" s="6"/>
      <c r="GZ323" s="6"/>
      <c r="HE323" s="6"/>
      <c r="HI323" s="6"/>
      <c r="HJ323" s="6"/>
      <c r="HO323" s="6"/>
      <c r="HZ323" s="6"/>
      <c r="IA323" s="6"/>
      <c r="IF323" s="6"/>
      <c r="IJ323" s="6"/>
      <c r="IK323" s="6"/>
      <c r="IP323" s="6"/>
      <c r="JA323" s="6"/>
      <c r="JB323" s="6"/>
      <c r="JG323" s="6"/>
      <c r="JK323" s="6"/>
      <c r="JL323" s="6"/>
      <c r="JQ323" s="6"/>
      <c r="KB323" s="6"/>
      <c r="KC323" s="6"/>
      <c r="KH323" s="6"/>
      <c r="KL323" s="6"/>
      <c r="KM323" s="6"/>
      <c r="KR323" s="6"/>
      <c r="LC323" s="6"/>
      <c r="LD323" s="6"/>
      <c r="LI323" s="6"/>
      <c r="LM323" s="6"/>
      <c r="LN323" s="6"/>
      <c r="LS323" s="6"/>
      <c r="LX323" s="8"/>
      <c r="LY323" s="8"/>
      <c r="LZ323" s="8"/>
      <c r="MD323" s="6"/>
      <c r="ME323" s="6"/>
      <c r="MJ323" s="6"/>
      <c r="MN323" s="6"/>
      <c r="MO323" s="6"/>
      <c r="MT323" s="6"/>
      <c r="NE323" s="6"/>
      <c r="NF323" s="6"/>
      <c r="NK323" s="6"/>
      <c r="NO323" s="6"/>
      <c r="NP323" s="6"/>
      <c r="NU323" s="6"/>
      <c r="OF323" s="6"/>
      <c r="OG323" s="6"/>
      <c r="OL323" s="6"/>
      <c r="OP323" s="6"/>
      <c r="OQ323" s="6"/>
      <c r="OV323" s="6"/>
      <c r="PG323" s="6"/>
      <c r="PH323" s="6"/>
      <c r="PM323" s="6"/>
      <c r="PQ323" s="6"/>
      <c r="PR323" s="6"/>
      <c r="PW323" s="6"/>
      <c r="QH323" s="6"/>
      <c r="QI323" s="6"/>
      <c r="QN323" s="6"/>
      <c r="QR323" s="6"/>
      <c r="QS323" s="6"/>
      <c r="QX323" s="6"/>
      <c r="RI323" s="6"/>
      <c r="RJ323" s="6"/>
      <c r="RO323" s="6"/>
      <c r="RS323" s="6"/>
      <c r="RT323" s="6"/>
      <c r="RY323" s="6"/>
      <c r="SJ323" s="6"/>
      <c r="SK323" s="6"/>
      <c r="SP323" s="6"/>
      <c r="ST323" s="6"/>
      <c r="SU323" s="6"/>
      <c r="SZ323" s="6"/>
    </row>
    <row r="324" spans="12:520" x14ac:dyDescent="0.3">
      <c r="S324" s="6"/>
      <c r="T324" s="6"/>
      <c r="U324" s="6"/>
      <c r="W324" s="6"/>
      <c r="AA324" s="6"/>
      <c r="AB324" s="6"/>
      <c r="AH324" s="6"/>
      <c r="AR324" s="6"/>
      <c r="AS324" s="7"/>
      <c r="AT324" s="6"/>
      <c r="AY324" s="6"/>
      <c r="BC324" s="6"/>
      <c r="BD324" s="6"/>
      <c r="BI324" s="6"/>
      <c r="BT324" s="6"/>
      <c r="BU324" s="6"/>
      <c r="BZ324" s="6"/>
      <c r="CD324" s="6"/>
      <c r="CE324" s="6"/>
      <c r="CJ324" s="6"/>
      <c r="CU324" s="6"/>
      <c r="CV324" s="6"/>
      <c r="DA324" s="6"/>
      <c r="DE324" s="6"/>
      <c r="DF324" s="6"/>
      <c r="DK324" s="6"/>
      <c r="DV324" s="6"/>
      <c r="DW324" s="6"/>
      <c r="EB324" s="6"/>
      <c r="EF324" s="6"/>
      <c r="EG324" s="6"/>
      <c r="EL324" s="6"/>
      <c r="EW324" s="6"/>
      <c r="EX324" s="6"/>
      <c r="FC324" s="6"/>
      <c r="FG324" s="6"/>
      <c r="FH324" s="6"/>
      <c r="FM324" s="6"/>
      <c r="GY324" s="6"/>
      <c r="GZ324" s="6"/>
      <c r="HE324" s="6"/>
      <c r="HI324" s="6"/>
      <c r="HJ324" s="6"/>
      <c r="HO324" s="6"/>
      <c r="HZ324" s="6"/>
      <c r="IA324" s="6"/>
      <c r="IF324" s="6"/>
      <c r="IJ324" s="6"/>
      <c r="IK324" s="6"/>
      <c r="IP324" s="6"/>
      <c r="JA324" s="6"/>
      <c r="JB324" s="6"/>
      <c r="JG324" s="6"/>
      <c r="JK324" s="6"/>
      <c r="JL324" s="6"/>
      <c r="JQ324" s="6"/>
      <c r="KB324" s="6"/>
      <c r="KC324" s="6"/>
      <c r="KH324" s="6"/>
      <c r="KL324" s="6"/>
      <c r="KM324" s="6"/>
      <c r="KR324" s="6"/>
      <c r="LC324" s="6"/>
      <c r="LD324" s="6"/>
      <c r="LI324" s="6"/>
      <c r="LM324" s="6"/>
      <c r="LN324" s="6"/>
      <c r="LS324" s="6"/>
      <c r="NE324" s="6"/>
      <c r="NF324" s="6"/>
      <c r="NK324" s="6"/>
      <c r="NO324" s="6"/>
      <c r="NP324" s="6"/>
      <c r="NU324" s="6"/>
      <c r="OF324" s="6"/>
      <c r="OG324" s="6"/>
      <c r="OL324" s="6"/>
      <c r="OP324" s="6"/>
      <c r="OQ324" s="6"/>
      <c r="OV324" s="6"/>
      <c r="PG324" s="6"/>
      <c r="PH324" s="6"/>
      <c r="PM324" s="6"/>
      <c r="PQ324" s="6"/>
      <c r="PR324" s="6"/>
      <c r="PW324" s="6"/>
      <c r="QH324" s="6"/>
      <c r="QI324" s="6"/>
      <c r="QN324" s="6"/>
      <c r="QR324" s="6"/>
      <c r="QS324" s="6"/>
      <c r="QX324" s="6"/>
      <c r="RI324" s="6"/>
      <c r="RJ324" s="6"/>
      <c r="RO324" s="6"/>
      <c r="RS324" s="6"/>
      <c r="RT324" s="6"/>
      <c r="RY324" s="6"/>
      <c r="SJ324" s="6"/>
      <c r="SK324" s="6"/>
      <c r="SP324" s="6"/>
      <c r="ST324" s="6"/>
      <c r="SU324" s="6"/>
      <c r="SZ324" s="6"/>
    </row>
    <row r="325" spans="12:520" x14ac:dyDescent="0.3">
      <c r="S325" s="6"/>
      <c r="T325" s="6"/>
      <c r="U325" s="6"/>
      <c r="W325" s="6"/>
      <c r="AA325" s="6"/>
      <c r="AB325" s="6"/>
      <c r="AH325" s="6"/>
      <c r="AS325" s="6"/>
      <c r="AT325" s="6"/>
      <c r="AY325" s="6"/>
      <c r="BC325" s="6"/>
      <c r="BD325" s="6"/>
      <c r="BI325" s="6"/>
      <c r="BT325" s="6"/>
      <c r="BU325" s="6"/>
      <c r="BZ325" s="6"/>
      <c r="CD325" s="6"/>
      <c r="CE325" s="6"/>
      <c r="CJ325" s="6"/>
      <c r="CO325" s="8"/>
      <c r="CP325" s="8"/>
      <c r="CQ325" s="8"/>
      <c r="CU325" s="6"/>
      <c r="CV325" s="6"/>
      <c r="DA325" s="6"/>
      <c r="DE325" s="6"/>
      <c r="DF325" s="6"/>
      <c r="DK325" s="6"/>
      <c r="DV325" s="6"/>
      <c r="DW325" s="6"/>
      <c r="EB325" s="6"/>
      <c r="EF325" s="6"/>
      <c r="EG325" s="6"/>
      <c r="EL325" s="6"/>
      <c r="EW325" s="6"/>
      <c r="EX325" s="6"/>
      <c r="FC325" s="6"/>
      <c r="FG325" s="6"/>
      <c r="FH325" s="6"/>
      <c r="FM325" s="6"/>
      <c r="GY325" s="6"/>
      <c r="GZ325" s="6"/>
      <c r="HE325" s="6"/>
      <c r="HI325" s="6"/>
      <c r="HJ325" s="6"/>
      <c r="HO325" s="6"/>
      <c r="HZ325" s="6"/>
      <c r="IA325" s="6"/>
      <c r="IF325" s="6"/>
      <c r="IJ325" s="6"/>
      <c r="IK325" s="6"/>
      <c r="IP325" s="6"/>
      <c r="JA325" s="6"/>
      <c r="JB325" s="6"/>
      <c r="JG325" s="6"/>
      <c r="JK325" s="6"/>
      <c r="JL325" s="6"/>
      <c r="JQ325" s="6"/>
      <c r="KB325" s="6"/>
      <c r="KC325" s="6"/>
      <c r="KH325" s="6"/>
      <c r="KL325" s="6"/>
      <c r="KM325" s="6"/>
      <c r="KR325" s="6"/>
      <c r="LC325" s="6"/>
      <c r="LD325" s="6"/>
      <c r="LI325" s="6"/>
      <c r="LM325" s="6"/>
      <c r="LN325" s="6"/>
      <c r="LS325" s="6"/>
      <c r="NE325" s="6"/>
      <c r="NF325" s="6"/>
      <c r="NK325" s="6"/>
      <c r="NO325" s="6"/>
      <c r="NP325" s="6"/>
      <c r="NU325" s="6"/>
      <c r="OF325" s="6"/>
      <c r="OG325" s="6"/>
      <c r="OL325" s="6"/>
      <c r="OP325" s="6"/>
      <c r="OQ325" s="6"/>
      <c r="OV325" s="6"/>
      <c r="PG325" s="6"/>
      <c r="PH325" s="6"/>
      <c r="PM325" s="6"/>
      <c r="PQ325" s="6"/>
      <c r="PR325" s="6"/>
      <c r="PW325" s="6"/>
      <c r="QH325" s="6"/>
      <c r="QI325" s="6"/>
      <c r="QN325" s="6"/>
      <c r="QR325" s="6"/>
      <c r="QS325" s="6"/>
      <c r="QX325" s="6"/>
      <c r="RI325" s="6"/>
      <c r="RJ325" s="6"/>
      <c r="RO325" s="6"/>
      <c r="RS325" s="6"/>
      <c r="RT325" s="6"/>
      <c r="RY325" s="6"/>
      <c r="SJ325" s="6"/>
      <c r="SK325" s="6"/>
      <c r="SP325" s="6"/>
      <c r="ST325" s="6"/>
      <c r="SU325" s="6"/>
      <c r="SZ325" s="6"/>
    </row>
    <row r="326" spans="12:520" x14ac:dyDescent="0.3">
      <c r="S326" s="6"/>
      <c r="T326" s="6"/>
      <c r="U326" s="6"/>
      <c r="W326" s="6"/>
      <c r="AA326" s="6"/>
      <c r="AB326" s="6"/>
      <c r="AH326" s="6"/>
      <c r="AS326" s="6"/>
      <c r="AT326" s="6"/>
      <c r="AY326" s="6"/>
      <c r="BC326" s="6"/>
      <c r="BD326" s="6"/>
      <c r="BI326" s="6"/>
      <c r="BT326" s="6"/>
      <c r="BU326" s="6"/>
      <c r="BZ326" s="6"/>
      <c r="CD326" s="6"/>
      <c r="CE326" s="6"/>
      <c r="CJ326" s="6"/>
      <c r="DV326" s="6"/>
      <c r="DW326" s="6"/>
      <c r="EB326" s="6"/>
      <c r="EF326" s="6"/>
      <c r="EG326" s="6"/>
      <c r="EL326" s="6"/>
      <c r="EW326" s="6"/>
      <c r="EX326" s="6"/>
      <c r="FC326" s="6"/>
      <c r="FG326" s="6"/>
      <c r="FH326" s="6"/>
      <c r="FM326" s="6"/>
      <c r="GY326" s="6"/>
      <c r="GZ326" s="6"/>
      <c r="HE326" s="6"/>
      <c r="HI326" s="6"/>
      <c r="HJ326" s="6"/>
      <c r="HO326" s="6"/>
      <c r="HZ326" s="6"/>
      <c r="IA326" s="6"/>
      <c r="IF326" s="6"/>
      <c r="IJ326" s="6"/>
      <c r="IK326" s="6"/>
      <c r="IP326" s="6"/>
      <c r="JA326" s="6"/>
      <c r="JB326" s="6"/>
      <c r="JG326" s="6"/>
      <c r="JK326" s="6"/>
      <c r="JL326" s="6"/>
      <c r="JQ326" s="6"/>
      <c r="KB326" s="6"/>
      <c r="KC326" s="6"/>
      <c r="KH326" s="6"/>
      <c r="KL326" s="6"/>
      <c r="KM326" s="6"/>
      <c r="KR326" s="6"/>
      <c r="LC326" s="6"/>
      <c r="LD326" s="6"/>
      <c r="LI326" s="6"/>
      <c r="LM326" s="6"/>
      <c r="LN326" s="6"/>
      <c r="LS326" s="6"/>
      <c r="NE326" s="6"/>
      <c r="NF326" s="6"/>
      <c r="NK326" s="6"/>
      <c r="NO326" s="6"/>
      <c r="NP326" s="6"/>
      <c r="NU326" s="6"/>
      <c r="OF326" s="6"/>
      <c r="OG326" s="6"/>
      <c r="OL326" s="6"/>
      <c r="OP326" s="6"/>
      <c r="OQ326" s="6"/>
      <c r="OV326" s="6"/>
      <c r="PG326" s="6"/>
      <c r="PH326" s="6"/>
      <c r="PM326" s="6"/>
      <c r="PQ326" s="6"/>
      <c r="PR326" s="6"/>
      <c r="PW326" s="6"/>
      <c r="QH326" s="6"/>
      <c r="QI326" s="6"/>
      <c r="QN326" s="6"/>
      <c r="QR326" s="6"/>
      <c r="QS326" s="6"/>
      <c r="QX326" s="6"/>
      <c r="RI326" s="6"/>
      <c r="RJ326" s="6"/>
      <c r="RO326" s="6"/>
      <c r="RS326" s="6"/>
      <c r="RT326" s="6"/>
      <c r="RY326" s="6"/>
      <c r="SJ326" s="6"/>
      <c r="SK326" s="6"/>
      <c r="SP326" s="6"/>
      <c r="ST326" s="6"/>
      <c r="SU326" s="6"/>
      <c r="SZ326" s="6"/>
    </row>
    <row r="327" spans="12:520" x14ac:dyDescent="0.3">
      <c r="S327" s="6"/>
      <c r="T327" s="6"/>
      <c r="U327" s="6"/>
      <c r="W327" s="6"/>
      <c r="AA327" s="6"/>
      <c r="AB327" s="6"/>
      <c r="AH327" s="6"/>
      <c r="AS327" s="6"/>
      <c r="AT327" s="6"/>
      <c r="AY327" s="6"/>
      <c r="BC327" s="6"/>
      <c r="BD327" s="6"/>
      <c r="BI327" s="6"/>
      <c r="BT327" s="6"/>
      <c r="BU327" s="6"/>
      <c r="BZ327" s="6"/>
      <c r="CD327" s="6"/>
      <c r="CE327" s="6"/>
      <c r="CJ327" s="6"/>
      <c r="DV327" s="6"/>
      <c r="DW327" s="6"/>
      <c r="EB327" s="6"/>
      <c r="EF327" s="6"/>
      <c r="EG327" s="6"/>
      <c r="EL327" s="6"/>
      <c r="EW327" s="6"/>
      <c r="EX327" s="6"/>
      <c r="FC327" s="6"/>
      <c r="FG327" s="6"/>
      <c r="FH327" s="6"/>
      <c r="FM327" s="6"/>
      <c r="GS327" s="8"/>
      <c r="GT327" s="8"/>
      <c r="GU327" s="8"/>
      <c r="GY327" s="6"/>
      <c r="GZ327" s="6"/>
      <c r="HE327" s="6"/>
      <c r="HI327" s="6"/>
      <c r="HJ327" s="6"/>
      <c r="HO327" s="6"/>
      <c r="HZ327" s="6"/>
      <c r="IA327" s="6"/>
      <c r="IF327" s="6"/>
      <c r="IJ327" s="6"/>
      <c r="IK327" s="6"/>
      <c r="IP327" s="6"/>
      <c r="JA327" s="6"/>
      <c r="JB327" s="6"/>
      <c r="JG327" s="6"/>
      <c r="JK327" s="6"/>
      <c r="JL327" s="6"/>
      <c r="JQ327" s="6"/>
      <c r="KB327" s="6"/>
      <c r="KC327" s="6"/>
      <c r="KH327" s="6"/>
      <c r="KL327" s="6"/>
      <c r="KM327" s="6"/>
      <c r="KR327" s="6"/>
      <c r="LC327" s="6"/>
      <c r="LD327" s="6"/>
      <c r="LI327" s="6"/>
      <c r="LM327" s="6"/>
      <c r="LN327" s="6"/>
      <c r="LS327" s="6"/>
      <c r="NE327" s="6"/>
      <c r="NF327" s="6"/>
      <c r="NK327" s="6"/>
      <c r="NO327" s="6"/>
      <c r="NP327" s="6"/>
      <c r="NU327" s="6"/>
      <c r="OF327" s="6"/>
      <c r="OG327" s="6"/>
      <c r="OL327" s="6"/>
      <c r="OP327" s="6"/>
      <c r="OQ327" s="6"/>
      <c r="OV327" s="6"/>
      <c r="PG327" s="6"/>
      <c r="PH327" s="6"/>
      <c r="PM327" s="6"/>
      <c r="PQ327" s="6"/>
      <c r="PR327" s="6"/>
      <c r="PW327" s="6"/>
      <c r="QH327" s="6"/>
      <c r="QI327" s="6"/>
      <c r="QN327" s="6"/>
      <c r="QR327" s="6"/>
      <c r="QS327" s="6"/>
      <c r="QX327" s="6"/>
      <c r="RI327" s="6"/>
      <c r="RJ327" s="6"/>
      <c r="RO327" s="6"/>
      <c r="RS327" s="6"/>
      <c r="RT327" s="6"/>
      <c r="RY327" s="6"/>
      <c r="SJ327" s="6"/>
      <c r="SK327" s="6"/>
      <c r="SP327" s="6"/>
      <c r="ST327" s="6"/>
      <c r="SU327" s="6"/>
      <c r="SZ327" s="6"/>
    </row>
    <row r="328" spans="12:520" x14ac:dyDescent="0.3">
      <c r="S328" s="6"/>
      <c r="T328" s="6"/>
      <c r="U328" s="6"/>
      <c r="W328" s="6"/>
      <c r="AA328" s="6"/>
      <c r="AB328" s="6"/>
      <c r="AH328" s="6"/>
      <c r="AS328" s="6"/>
      <c r="AT328" s="6"/>
      <c r="AY328" s="6"/>
      <c r="BC328" s="6"/>
      <c r="BD328" s="6"/>
      <c r="BI328" s="6"/>
      <c r="BT328" s="6"/>
      <c r="BU328" s="6"/>
      <c r="BZ328" s="6"/>
      <c r="CD328" s="6"/>
      <c r="CE328" s="6"/>
      <c r="CJ328" s="6"/>
      <c r="DV328" s="6"/>
      <c r="DW328" s="6"/>
      <c r="EB328" s="6"/>
      <c r="EF328" s="6"/>
      <c r="EG328" s="6"/>
      <c r="EL328" s="6"/>
      <c r="EW328" s="6"/>
      <c r="EX328" s="6"/>
      <c r="FC328" s="6"/>
      <c r="FG328" s="6"/>
      <c r="FH328" s="6"/>
      <c r="FM328" s="6"/>
      <c r="HZ328" s="6"/>
      <c r="IA328" s="6"/>
      <c r="IF328" s="6"/>
      <c r="IJ328" s="6"/>
      <c r="IK328" s="6"/>
      <c r="IP328" s="6"/>
      <c r="JA328" s="6"/>
      <c r="JB328" s="6"/>
      <c r="JG328" s="6"/>
      <c r="JK328" s="6"/>
      <c r="JL328" s="6"/>
      <c r="JQ328" s="6"/>
      <c r="KB328" s="6"/>
      <c r="KC328" s="6"/>
      <c r="KH328" s="6"/>
      <c r="KL328" s="6"/>
      <c r="KM328" s="6"/>
      <c r="KR328" s="6"/>
      <c r="LC328" s="6"/>
      <c r="LD328" s="6"/>
      <c r="LI328" s="6"/>
      <c r="LM328" s="6"/>
      <c r="LN328" s="6"/>
      <c r="LS328" s="6"/>
      <c r="NE328" s="6"/>
      <c r="NF328" s="6"/>
      <c r="NK328" s="6"/>
      <c r="NO328" s="6"/>
      <c r="NP328" s="6"/>
      <c r="NU328" s="6"/>
      <c r="OF328" s="6"/>
      <c r="OG328" s="6"/>
      <c r="OL328" s="6"/>
      <c r="OP328" s="6"/>
      <c r="OQ328" s="6"/>
      <c r="OV328" s="6"/>
      <c r="PG328" s="6"/>
      <c r="PH328" s="6"/>
      <c r="PM328" s="6"/>
      <c r="PQ328" s="6"/>
      <c r="PR328" s="6"/>
      <c r="PW328" s="6"/>
      <c r="QH328" s="6"/>
      <c r="QI328" s="6"/>
      <c r="QN328" s="6"/>
      <c r="QR328" s="6"/>
      <c r="QS328" s="6"/>
      <c r="QX328" s="6"/>
      <c r="RI328" s="6"/>
      <c r="RJ328" s="6"/>
      <c r="RO328" s="6"/>
      <c r="RS328" s="6"/>
      <c r="RT328" s="6"/>
      <c r="RY328" s="6"/>
      <c r="SJ328" s="6"/>
      <c r="SK328" s="6"/>
      <c r="SP328" s="6"/>
      <c r="ST328" s="6"/>
      <c r="SU328" s="6"/>
      <c r="SZ328" s="6"/>
    </row>
    <row r="329" spans="12:520" x14ac:dyDescent="0.3">
      <c r="S329" s="6"/>
      <c r="T329" s="6"/>
      <c r="U329" s="6"/>
      <c r="W329" s="6"/>
      <c r="AA329" s="6"/>
      <c r="AB329" s="6"/>
      <c r="AH329" s="6"/>
      <c r="AS329" s="6"/>
      <c r="AT329" s="6"/>
      <c r="AY329" s="6"/>
      <c r="BC329" s="6"/>
      <c r="BD329" s="6"/>
      <c r="BI329" s="6"/>
      <c r="BT329" s="6"/>
      <c r="BU329" s="6"/>
      <c r="BZ329" s="6"/>
      <c r="CD329" s="6"/>
      <c r="CE329" s="6"/>
      <c r="CJ329" s="6"/>
      <c r="DV329" s="6"/>
      <c r="DW329" s="6"/>
      <c r="EB329" s="6"/>
      <c r="EF329" s="6"/>
      <c r="EG329" s="6"/>
      <c r="EL329" s="6"/>
      <c r="EW329" s="6"/>
      <c r="EX329" s="6"/>
      <c r="FC329" s="6"/>
      <c r="FG329" s="6"/>
      <c r="FH329" s="6"/>
      <c r="FM329" s="6"/>
      <c r="HZ329" s="6"/>
      <c r="IA329" s="6"/>
      <c r="IF329" s="6"/>
      <c r="IJ329" s="6"/>
      <c r="IK329" s="6"/>
      <c r="IP329" s="6"/>
      <c r="JA329" s="6"/>
      <c r="JB329" s="6"/>
      <c r="JG329" s="6"/>
      <c r="JK329" s="6"/>
      <c r="JL329" s="6"/>
      <c r="JQ329" s="6"/>
      <c r="KB329" s="6"/>
      <c r="KC329" s="6"/>
      <c r="KH329" s="6"/>
      <c r="KL329" s="6"/>
      <c r="KM329" s="6"/>
      <c r="KR329" s="6"/>
      <c r="LC329" s="6"/>
      <c r="LD329" s="6"/>
      <c r="LI329" s="6"/>
      <c r="LM329" s="6"/>
      <c r="LN329" s="6"/>
      <c r="LS329" s="6"/>
      <c r="MY329" s="8"/>
      <c r="MZ329" s="8"/>
      <c r="NA329" s="8"/>
      <c r="NE329" s="6"/>
      <c r="NF329" s="6"/>
      <c r="NK329" s="6"/>
      <c r="NO329" s="6"/>
      <c r="NP329" s="6"/>
      <c r="NU329" s="6"/>
      <c r="OF329" s="6"/>
      <c r="OG329" s="6"/>
      <c r="OL329" s="6"/>
      <c r="OP329" s="6"/>
      <c r="OQ329" s="6"/>
      <c r="OV329" s="6"/>
      <c r="PG329" s="6"/>
      <c r="PH329" s="6"/>
      <c r="PM329" s="6"/>
      <c r="PQ329" s="6"/>
      <c r="PR329" s="6"/>
      <c r="PW329" s="6"/>
      <c r="QH329" s="6"/>
      <c r="QI329" s="6"/>
      <c r="QN329" s="6"/>
      <c r="QR329" s="6"/>
      <c r="QS329" s="6"/>
      <c r="QX329" s="6"/>
      <c r="RI329" s="6"/>
      <c r="RJ329" s="6"/>
      <c r="RO329" s="6"/>
      <c r="RS329" s="6"/>
      <c r="RT329" s="6"/>
      <c r="RY329" s="6"/>
      <c r="SJ329" s="6"/>
      <c r="SK329" s="6"/>
      <c r="SP329" s="6"/>
      <c r="ST329" s="6"/>
      <c r="SU329" s="6"/>
      <c r="SZ329" s="6"/>
    </row>
    <row r="330" spans="12:520" x14ac:dyDescent="0.3">
      <c r="S330" s="6"/>
      <c r="T330" s="6"/>
      <c r="U330" s="6"/>
      <c r="W330" s="6"/>
      <c r="AA330" s="6"/>
      <c r="AB330" s="6"/>
      <c r="AH330" s="6"/>
      <c r="AS330" s="6"/>
      <c r="AT330" s="6"/>
      <c r="AY330" s="6"/>
      <c r="BC330" s="6"/>
      <c r="BD330" s="6"/>
      <c r="BI330" s="6"/>
      <c r="BT330" s="6"/>
      <c r="BU330" s="6"/>
      <c r="BZ330" s="6"/>
      <c r="CD330" s="6"/>
      <c r="CE330" s="6"/>
      <c r="CJ330" s="6"/>
      <c r="DV330" s="6"/>
      <c r="DW330" s="6"/>
      <c r="EB330" s="6"/>
      <c r="EF330" s="6"/>
      <c r="EG330" s="6"/>
      <c r="EL330" s="6"/>
      <c r="EW330" s="6"/>
      <c r="EX330" s="6"/>
      <c r="FC330" s="6"/>
      <c r="FG330" s="6"/>
      <c r="FH330" s="6"/>
      <c r="FM330" s="6"/>
      <c r="HZ330" s="6"/>
      <c r="IA330" s="6"/>
      <c r="IF330" s="6"/>
      <c r="IJ330" s="6"/>
      <c r="IK330" s="6"/>
      <c r="IP330" s="6"/>
      <c r="JA330" s="6"/>
      <c r="JB330" s="6"/>
      <c r="JG330" s="6"/>
      <c r="JK330" s="6"/>
      <c r="JL330" s="6"/>
      <c r="JQ330" s="6"/>
      <c r="KB330" s="6"/>
      <c r="KC330" s="6"/>
      <c r="KH330" s="6"/>
      <c r="KL330" s="6"/>
      <c r="KM330" s="6"/>
      <c r="KR330" s="6"/>
      <c r="LC330" s="6"/>
      <c r="LD330" s="6"/>
      <c r="LI330" s="6"/>
      <c r="LM330" s="6"/>
      <c r="LN330" s="6"/>
      <c r="LS330" s="6"/>
      <c r="OF330" s="6"/>
      <c r="OG330" s="6"/>
      <c r="OL330" s="6"/>
      <c r="OP330" s="6"/>
      <c r="OQ330" s="6"/>
      <c r="OV330" s="6"/>
      <c r="PG330" s="6"/>
      <c r="PH330" s="6"/>
      <c r="PM330" s="6"/>
      <c r="PQ330" s="6"/>
      <c r="PR330" s="6"/>
      <c r="PW330" s="6"/>
      <c r="QH330" s="6"/>
      <c r="QI330" s="6"/>
      <c r="QN330" s="6"/>
      <c r="QR330" s="6"/>
      <c r="QS330" s="6"/>
      <c r="QX330" s="6"/>
      <c r="RI330" s="6"/>
      <c r="RJ330" s="6"/>
      <c r="RO330" s="6"/>
      <c r="RS330" s="6"/>
      <c r="RT330" s="6"/>
      <c r="RY330" s="6"/>
      <c r="SJ330" s="6"/>
      <c r="SK330" s="6"/>
      <c r="SP330" s="6"/>
      <c r="ST330" s="6"/>
      <c r="SU330" s="6"/>
      <c r="SZ330" s="6"/>
    </row>
    <row r="331" spans="12:520" x14ac:dyDescent="0.3">
      <c r="L331" s="8"/>
      <c r="M331" s="8"/>
      <c r="N331" s="8"/>
      <c r="S331" s="6"/>
      <c r="T331" s="6"/>
      <c r="U331" s="6"/>
      <c r="W331" s="6"/>
      <c r="AA331" s="6"/>
      <c r="AB331" s="6"/>
      <c r="AH331" s="6"/>
      <c r="AS331" s="6"/>
      <c r="AT331" s="6"/>
      <c r="AY331" s="6"/>
      <c r="BC331" s="6"/>
      <c r="BD331" s="6"/>
      <c r="BI331" s="6"/>
      <c r="BN331" s="8"/>
      <c r="BO331" s="8"/>
      <c r="BP331" s="8"/>
      <c r="BT331" s="6"/>
      <c r="BU331" s="6"/>
      <c r="BZ331" s="6"/>
      <c r="CD331" s="6"/>
      <c r="CE331" s="6"/>
      <c r="CJ331" s="6"/>
      <c r="DP331" s="8"/>
      <c r="DQ331" s="8"/>
      <c r="DR331" s="8"/>
      <c r="DV331" s="6"/>
      <c r="DW331" s="6"/>
      <c r="EB331" s="6"/>
      <c r="EF331" s="6"/>
      <c r="EG331" s="6"/>
      <c r="EL331" s="6"/>
      <c r="EQ331" s="8"/>
      <c r="ER331" s="8"/>
      <c r="ES331" s="8"/>
      <c r="EW331" s="6"/>
      <c r="EX331" s="6"/>
      <c r="FC331" s="6"/>
      <c r="FG331" s="6"/>
      <c r="FH331" s="6"/>
      <c r="FM331" s="6"/>
      <c r="HT331" s="8"/>
      <c r="HU331" s="8"/>
      <c r="HV331" s="8"/>
      <c r="HZ331" s="6"/>
      <c r="IA331" s="6"/>
      <c r="IF331" s="6"/>
      <c r="IJ331" s="6"/>
      <c r="IK331" s="6"/>
      <c r="IP331" s="6"/>
      <c r="IU331" s="8"/>
      <c r="IV331" s="8"/>
      <c r="IW331" s="8"/>
      <c r="JA331" s="6"/>
      <c r="JB331" s="6"/>
      <c r="JG331" s="6"/>
      <c r="JK331" s="6"/>
      <c r="JL331" s="6"/>
      <c r="JQ331" s="6"/>
      <c r="JV331" s="8"/>
      <c r="JW331" s="8"/>
      <c r="JX331" s="8"/>
      <c r="KB331" s="6"/>
      <c r="KC331" s="6"/>
      <c r="KH331" s="6"/>
      <c r="KL331" s="6"/>
      <c r="KM331" s="6"/>
      <c r="KR331" s="6"/>
      <c r="KW331" s="8"/>
      <c r="KX331" s="8"/>
      <c r="KY331" s="8"/>
      <c r="LC331" s="6"/>
      <c r="LD331" s="6"/>
      <c r="LI331" s="6"/>
      <c r="LM331" s="6"/>
      <c r="LN331" s="6"/>
      <c r="LS331" s="6"/>
      <c r="NZ331" s="8"/>
      <c r="OA331" s="8"/>
      <c r="OB331" s="8"/>
      <c r="OF331" s="6"/>
      <c r="OG331" s="6"/>
      <c r="OL331" s="6"/>
      <c r="OP331" s="6"/>
      <c r="OQ331" s="6"/>
      <c r="OV331" s="6"/>
      <c r="PA331" s="8"/>
      <c r="PB331" s="8"/>
      <c r="PC331" s="8"/>
      <c r="PG331" s="6"/>
      <c r="PH331" s="6"/>
      <c r="PM331" s="6"/>
      <c r="PQ331" s="6"/>
      <c r="PR331" s="6"/>
      <c r="PW331" s="6"/>
      <c r="QB331" s="8"/>
      <c r="QC331" s="8"/>
      <c r="QD331" s="8"/>
      <c r="QH331" s="6"/>
      <c r="QI331" s="6"/>
      <c r="QN331" s="6"/>
      <c r="QR331" s="6"/>
      <c r="QS331" s="6"/>
      <c r="QX331" s="6"/>
      <c r="RC331" s="8"/>
      <c r="RD331" s="8"/>
      <c r="RE331" s="8"/>
      <c r="RI331" s="6"/>
      <c r="RJ331" s="6"/>
      <c r="RO331" s="6"/>
      <c r="RS331" s="6"/>
      <c r="RT331" s="6"/>
      <c r="RY331" s="6"/>
      <c r="SD331" s="8"/>
      <c r="SE331" s="8"/>
      <c r="SF331" s="8"/>
      <c r="SJ331" s="6"/>
      <c r="SK331" s="6"/>
      <c r="SP331" s="6"/>
      <c r="ST331" s="6"/>
      <c r="SU331" s="6"/>
      <c r="SZ331" s="6"/>
    </row>
    <row r="332" spans="12:520" x14ac:dyDescent="0.3">
      <c r="AS332" s="6"/>
    </row>
    <row r="333" spans="12:520" x14ac:dyDescent="0.3">
      <c r="R333" s="6"/>
      <c r="S333" s="7"/>
      <c r="T333" s="7"/>
      <c r="Z333" s="6"/>
      <c r="AA333" s="7"/>
      <c r="AG333" s="6"/>
      <c r="AS333" s="6"/>
      <c r="AX333" s="6"/>
      <c r="BB333" s="6"/>
      <c r="BC333" s="7"/>
      <c r="BH333" s="6"/>
      <c r="BS333" s="6"/>
      <c r="BT333" s="7"/>
      <c r="BY333" s="6"/>
      <c r="CC333" s="6"/>
      <c r="CD333" s="7"/>
      <c r="CI333" s="6"/>
      <c r="CT333" s="6"/>
      <c r="CU333" s="7"/>
      <c r="CZ333" s="6"/>
      <c r="DD333" s="6"/>
      <c r="DE333" s="7"/>
      <c r="DJ333" s="6"/>
      <c r="DU333" s="6"/>
      <c r="DV333" s="7"/>
      <c r="EA333" s="6"/>
      <c r="EE333" s="6"/>
      <c r="EF333" s="7"/>
      <c r="EK333" s="6"/>
      <c r="EV333" s="6"/>
      <c r="EW333" s="7"/>
      <c r="FB333" s="6"/>
      <c r="FF333" s="6"/>
      <c r="FG333" s="7"/>
      <c r="FL333" s="6"/>
      <c r="FW333" s="6"/>
      <c r="FX333" s="7"/>
      <c r="GC333" s="6"/>
      <c r="GG333" s="6"/>
      <c r="GH333" s="7"/>
      <c r="GM333" s="6"/>
      <c r="GX333" s="6"/>
      <c r="GY333" s="7"/>
      <c r="HD333" s="6"/>
      <c r="HH333" s="6"/>
      <c r="HI333" s="7"/>
      <c r="HN333" s="6"/>
      <c r="HY333" s="6"/>
      <c r="HZ333" s="7"/>
      <c r="IE333" s="6"/>
      <c r="II333" s="6"/>
      <c r="IJ333" s="7"/>
      <c r="IO333" s="6"/>
      <c r="IZ333" s="6"/>
      <c r="JA333" s="7"/>
      <c r="JF333" s="6"/>
      <c r="JJ333" s="6"/>
      <c r="JK333" s="7"/>
      <c r="JP333" s="6"/>
      <c r="KA333" s="6"/>
      <c r="KB333" s="7"/>
      <c r="KG333" s="6"/>
      <c r="KK333" s="6"/>
      <c r="KL333" s="7"/>
      <c r="KQ333" s="6"/>
      <c r="LB333" s="6"/>
      <c r="LC333" s="7"/>
      <c r="LH333" s="6"/>
      <c r="LL333" s="6"/>
      <c r="LM333" s="7"/>
      <c r="LR333" s="6"/>
      <c r="MC333" s="6"/>
      <c r="MD333" s="7"/>
      <c r="MI333" s="6"/>
      <c r="MM333" s="6"/>
      <c r="MN333" s="7"/>
      <c r="MS333" s="6"/>
      <c r="ND333" s="6"/>
      <c r="NE333" s="7"/>
      <c r="NJ333" s="6"/>
      <c r="NN333" s="6"/>
      <c r="NO333" s="7"/>
      <c r="NT333" s="6"/>
      <c r="OE333" s="6"/>
      <c r="OF333" s="7"/>
      <c r="OK333" s="6"/>
      <c r="OO333" s="6"/>
      <c r="OP333" s="7"/>
      <c r="OU333" s="6"/>
      <c r="PF333" s="6"/>
      <c r="PG333" s="7"/>
      <c r="PL333" s="6"/>
      <c r="PP333" s="6"/>
      <c r="PQ333" s="7"/>
      <c r="PV333" s="6"/>
      <c r="QG333" s="6"/>
      <c r="QH333" s="7"/>
      <c r="QM333" s="6"/>
      <c r="QQ333" s="6"/>
      <c r="QR333" s="7"/>
      <c r="QW333" s="6"/>
      <c r="RH333" s="6"/>
      <c r="RI333" s="7"/>
      <c r="RN333" s="6"/>
      <c r="RR333" s="6"/>
      <c r="RS333" s="7"/>
      <c r="RX333" s="6"/>
      <c r="SI333" s="6"/>
      <c r="SJ333" s="7"/>
      <c r="SO333" s="6"/>
      <c r="SS333" s="6"/>
      <c r="ST333" s="7"/>
      <c r="SY333" s="6"/>
    </row>
    <row r="334" spans="12:520" x14ac:dyDescent="0.3">
      <c r="O334" s="5"/>
      <c r="R334" s="5"/>
      <c r="S334" s="6"/>
      <c r="T334" s="6"/>
      <c r="U334" s="7"/>
      <c r="W334" s="6"/>
      <c r="X334" s="5"/>
      <c r="Z334" s="5"/>
      <c r="AA334" s="6"/>
      <c r="AB334" s="7"/>
      <c r="AG334" s="5"/>
      <c r="AH334" s="6"/>
      <c r="AS334" s="6"/>
      <c r="AT334" s="7"/>
      <c r="AW334" s="5"/>
      <c r="AY334" s="6"/>
      <c r="BC334" s="6"/>
      <c r="BD334" s="6"/>
      <c r="BI334" s="6"/>
      <c r="BT334" s="6"/>
      <c r="BU334" s="6"/>
      <c r="BZ334" s="6"/>
      <c r="CD334" s="6"/>
      <c r="CE334" s="6"/>
      <c r="CJ334" s="6"/>
      <c r="CU334" s="6"/>
      <c r="CV334" s="6"/>
      <c r="DA334" s="6"/>
      <c r="DE334" s="6"/>
      <c r="DF334" s="6"/>
      <c r="DK334" s="6"/>
      <c r="DV334" s="6"/>
      <c r="DW334" s="6"/>
      <c r="EB334" s="6"/>
      <c r="EF334" s="6"/>
      <c r="EG334" s="6"/>
      <c r="EL334" s="6"/>
      <c r="EW334" s="6"/>
      <c r="EX334" s="6"/>
      <c r="FC334" s="6"/>
      <c r="FG334" s="6"/>
      <c r="FH334" s="6"/>
      <c r="FM334" s="6"/>
      <c r="FR334" s="8"/>
      <c r="FS334" s="8"/>
      <c r="FT334" s="8"/>
      <c r="FX334" s="6"/>
      <c r="FY334" s="6"/>
      <c r="GD334" s="6"/>
      <c r="GH334" s="6"/>
      <c r="GI334" s="6"/>
      <c r="GN334" s="6"/>
      <c r="GY334" s="6"/>
      <c r="GZ334" s="6"/>
      <c r="HE334" s="6"/>
      <c r="HI334" s="6"/>
      <c r="HJ334" s="6"/>
      <c r="HO334" s="6"/>
      <c r="HZ334" s="6"/>
      <c r="IA334" s="6"/>
      <c r="IF334" s="6"/>
      <c r="IJ334" s="6"/>
      <c r="IK334" s="6"/>
      <c r="IP334" s="6"/>
      <c r="JA334" s="6"/>
      <c r="JB334" s="6"/>
      <c r="JG334" s="6"/>
      <c r="JK334" s="6"/>
      <c r="JL334" s="6"/>
      <c r="JQ334" s="6"/>
      <c r="KB334" s="6"/>
      <c r="KC334" s="6"/>
      <c r="KH334" s="6"/>
      <c r="KL334" s="6"/>
      <c r="KM334" s="6"/>
      <c r="KR334" s="6"/>
      <c r="LC334" s="6"/>
      <c r="LD334" s="6"/>
      <c r="LI334" s="6"/>
      <c r="LM334" s="6"/>
      <c r="LN334" s="6"/>
      <c r="LS334" s="6"/>
      <c r="MD334" s="6"/>
      <c r="ME334" s="6"/>
      <c r="MJ334" s="6"/>
      <c r="MN334" s="6"/>
      <c r="MO334" s="6"/>
      <c r="MT334" s="6"/>
      <c r="NE334" s="6"/>
      <c r="NF334" s="6"/>
      <c r="NK334" s="6"/>
      <c r="NO334" s="6"/>
      <c r="NP334" s="6"/>
      <c r="NU334" s="6"/>
      <c r="OF334" s="6"/>
      <c r="OG334" s="6"/>
      <c r="OL334" s="6"/>
      <c r="OP334" s="6"/>
      <c r="OQ334" s="6"/>
      <c r="OV334" s="6"/>
      <c r="PG334" s="6"/>
      <c r="PH334" s="6"/>
      <c r="PM334" s="6"/>
      <c r="PQ334" s="6"/>
      <c r="PR334" s="6"/>
      <c r="PW334" s="6"/>
      <c r="QH334" s="6"/>
      <c r="QI334" s="6"/>
      <c r="QN334" s="6"/>
      <c r="QR334" s="6"/>
      <c r="QS334" s="6"/>
      <c r="QX334" s="6"/>
      <c r="RI334" s="6"/>
      <c r="RJ334" s="6"/>
      <c r="RO334" s="6"/>
      <c r="RS334" s="6"/>
      <c r="RT334" s="6"/>
      <c r="RY334" s="6"/>
      <c r="SJ334" s="6"/>
      <c r="SK334" s="6"/>
      <c r="SP334" s="6"/>
      <c r="ST334" s="6"/>
      <c r="SU334" s="6"/>
      <c r="SZ334" s="6"/>
    </row>
    <row r="335" spans="12:520" x14ac:dyDescent="0.3">
      <c r="O335" s="5"/>
      <c r="R335" s="5"/>
      <c r="S335" s="6"/>
      <c r="T335" s="6"/>
      <c r="U335" s="7"/>
      <c r="W335" s="6"/>
      <c r="X335" s="5"/>
      <c r="Z335" s="5"/>
      <c r="AA335" s="6"/>
      <c r="AB335" s="7"/>
      <c r="AG335" s="5"/>
      <c r="AH335" s="6"/>
      <c r="AM335" s="8"/>
      <c r="AN335" s="8"/>
      <c r="AO335" s="8"/>
      <c r="AS335" s="6"/>
      <c r="AT335" s="7"/>
      <c r="AW335" s="5"/>
      <c r="AY335" s="6"/>
      <c r="BC335" s="6"/>
      <c r="BD335" s="6"/>
      <c r="BI335" s="6"/>
      <c r="BT335" s="6"/>
      <c r="BU335" s="6"/>
      <c r="BZ335" s="6"/>
      <c r="CD335" s="6"/>
      <c r="CE335" s="6"/>
      <c r="CJ335" s="6"/>
      <c r="CU335" s="6"/>
      <c r="CV335" s="6"/>
      <c r="DA335" s="6"/>
      <c r="DE335" s="6"/>
      <c r="DF335" s="6"/>
      <c r="DK335" s="6"/>
      <c r="DV335" s="6"/>
      <c r="DW335" s="6"/>
      <c r="EB335" s="6"/>
      <c r="EF335" s="6"/>
      <c r="EG335" s="6"/>
      <c r="EL335" s="6"/>
      <c r="EW335" s="6"/>
      <c r="EX335" s="6"/>
      <c r="FC335" s="6"/>
      <c r="FG335" s="6"/>
      <c r="FH335" s="6"/>
      <c r="FM335" s="6"/>
      <c r="GY335" s="6"/>
      <c r="GZ335" s="6"/>
      <c r="HE335" s="6"/>
      <c r="HI335" s="6"/>
      <c r="HJ335" s="6"/>
      <c r="HO335" s="6"/>
      <c r="HZ335" s="6"/>
      <c r="IA335" s="6"/>
      <c r="IF335" s="6"/>
      <c r="IJ335" s="6"/>
      <c r="IK335" s="6"/>
      <c r="IP335" s="6"/>
      <c r="JA335" s="6"/>
      <c r="JB335" s="6"/>
      <c r="JG335" s="6"/>
      <c r="JK335" s="6"/>
      <c r="JL335" s="6"/>
      <c r="JQ335" s="6"/>
      <c r="KB335" s="6"/>
      <c r="KC335" s="6"/>
      <c r="KH335" s="6"/>
      <c r="KL335" s="6"/>
      <c r="KM335" s="6"/>
      <c r="KR335" s="6"/>
      <c r="LC335" s="6"/>
      <c r="LD335" s="6"/>
      <c r="LI335" s="6"/>
      <c r="LM335" s="6"/>
      <c r="LN335" s="6"/>
      <c r="LS335" s="6"/>
      <c r="MD335" s="6"/>
      <c r="ME335" s="6"/>
      <c r="MJ335" s="6"/>
      <c r="MN335" s="6"/>
      <c r="MO335" s="6"/>
      <c r="MT335" s="6"/>
      <c r="NE335" s="6"/>
      <c r="NF335" s="6"/>
      <c r="NK335" s="6"/>
      <c r="NO335" s="6"/>
      <c r="NP335" s="6"/>
      <c r="NU335" s="6"/>
      <c r="OF335" s="6"/>
      <c r="OG335" s="6"/>
      <c r="OL335" s="6"/>
      <c r="OP335" s="6"/>
      <c r="OQ335" s="6"/>
      <c r="OV335" s="6"/>
      <c r="PG335" s="6"/>
      <c r="PH335" s="6"/>
      <c r="PM335" s="6"/>
      <c r="PQ335" s="6"/>
      <c r="PR335" s="6"/>
      <c r="PW335" s="6"/>
      <c r="QH335" s="6"/>
      <c r="QI335" s="6"/>
      <c r="QN335" s="6"/>
      <c r="QR335" s="6"/>
      <c r="QS335" s="6"/>
      <c r="QX335" s="6"/>
      <c r="RI335" s="6"/>
      <c r="RJ335" s="6"/>
      <c r="RO335" s="6"/>
      <c r="RS335" s="6"/>
      <c r="RT335" s="6"/>
      <c r="RY335" s="6"/>
      <c r="SJ335" s="6"/>
      <c r="SK335" s="6"/>
      <c r="SP335" s="6"/>
      <c r="ST335" s="6"/>
      <c r="SU335" s="6"/>
      <c r="SZ335" s="6"/>
    </row>
    <row r="336" spans="12:520" x14ac:dyDescent="0.3">
      <c r="O336" s="5"/>
      <c r="R336" s="5"/>
      <c r="S336" s="6"/>
      <c r="T336" s="6"/>
      <c r="U336" s="7"/>
      <c r="W336" s="6"/>
      <c r="X336" s="5"/>
      <c r="Z336" s="5"/>
      <c r="AA336" s="6"/>
      <c r="AB336" s="7"/>
      <c r="AG336" s="5"/>
      <c r="AH336" s="6"/>
      <c r="AT336" s="7"/>
      <c r="AW336" s="5"/>
      <c r="AY336" s="7"/>
      <c r="BC336" s="6"/>
      <c r="BD336" s="6"/>
      <c r="BI336" s="6"/>
      <c r="BT336" s="6"/>
      <c r="BU336" s="6"/>
      <c r="BZ336" s="6"/>
      <c r="CD336" s="6"/>
      <c r="CE336" s="6"/>
      <c r="CJ336" s="6"/>
      <c r="CU336" s="6"/>
      <c r="CV336" s="6"/>
      <c r="DA336" s="6"/>
      <c r="DE336" s="6"/>
      <c r="DF336" s="6"/>
      <c r="DK336" s="6"/>
      <c r="DV336" s="6"/>
      <c r="DW336" s="6"/>
      <c r="EB336" s="6"/>
      <c r="EF336" s="6"/>
      <c r="EG336" s="6"/>
      <c r="EL336" s="6"/>
      <c r="EW336" s="6"/>
      <c r="EX336" s="6"/>
      <c r="FC336" s="6"/>
      <c r="FG336" s="6"/>
      <c r="FH336" s="6"/>
      <c r="FM336" s="6"/>
      <c r="GY336" s="6"/>
      <c r="GZ336" s="6"/>
      <c r="HE336" s="6"/>
      <c r="HI336" s="6"/>
      <c r="HJ336" s="6"/>
      <c r="HO336" s="6"/>
      <c r="HZ336" s="6"/>
      <c r="IA336" s="6"/>
      <c r="IF336" s="6"/>
      <c r="IJ336" s="6"/>
      <c r="IK336" s="6"/>
      <c r="IP336" s="6"/>
      <c r="JA336" s="6"/>
      <c r="JB336" s="6"/>
      <c r="JG336" s="6"/>
      <c r="JK336" s="6"/>
      <c r="JL336" s="6"/>
      <c r="JQ336" s="6"/>
      <c r="KB336" s="6"/>
      <c r="KC336" s="6"/>
      <c r="KH336" s="6"/>
      <c r="KL336" s="6"/>
      <c r="KM336" s="6"/>
      <c r="KR336" s="6"/>
      <c r="LC336" s="6"/>
      <c r="LD336" s="6"/>
      <c r="LI336" s="6"/>
      <c r="LM336" s="6"/>
      <c r="LN336" s="6"/>
      <c r="LS336" s="6"/>
      <c r="LX336" s="8"/>
      <c r="LY336" s="8"/>
      <c r="LZ336" s="8"/>
      <c r="MD336" s="6"/>
      <c r="ME336" s="6"/>
      <c r="MJ336" s="6"/>
      <c r="MN336" s="6"/>
      <c r="MO336" s="6"/>
      <c r="MT336" s="6"/>
      <c r="NE336" s="6"/>
      <c r="NF336" s="6"/>
      <c r="NK336" s="6"/>
      <c r="NO336" s="6"/>
      <c r="NP336" s="6"/>
      <c r="NU336" s="6"/>
      <c r="OF336" s="6"/>
      <c r="OG336" s="6"/>
      <c r="OL336" s="6"/>
      <c r="OP336" s="6"/>
      <c r="OQ336" s="6"/>
      <c r="OV336" s="6"/>
      <c r="PG336" s="6"/>
      <c r="PH336" s="6"/>
      <c r="PM336" s="6"/>
      <c r="PQ336" s="6"/>
      <c r="PR336" s="6"/>
      <c r="PW336" s="6"/>
      <c r="QH336" s="6"/>
      <c r="QI336" s="6"/>
      <c r="QN336" s="6"/>
      <c r="QR336" s="6"/>
      <c r="QS336" s="6"/>
      <c r="QX336" s="6"/>
      <c r="RI336" s="6"/>
      <c r="RJ336" s="6"/>
      <c r="RO336" s="6"/>
      <c r="RS336" s="6"/>
      <c r="RT336" s="6"/>
      <c r="RY336" s="6"/>
      <c r="SJ336" s="6"/>
      <c r="SK336" s="6"/>
      <c r="SP336" s="6"/>
      <c r="ST336" s="6"/>
      <c r="SU336" s="6"/>
      <c r="SZ336" s="6"/>
    </row>
    <row r="337" spans="12:520" x14ac:dyDescent="0.3">
      <c r="O337" s="5"/>
      <c r="R337" s="5"/>
      <c r="S337" s="6"/>
      <c r="T337" s="6"/>
      <c r="U337" s="7"/>
      <c r="W337" s="6"/>
      <c r="X337" s="5"/>
      <c r="Z337" s="5"/>
      <c r="AA337" s="6"/>
      <c r="AB337" s="7"/>
      <c r="AG337" s="5"/>
      <c r="AH337" s="6"/>
      <c r="AR337" s="6"/>
      <c r="AS337" s="7"/>
      <c r="AT337" s="7"/>
      <c r="AW337" s="5"/>
      <c r="AY337" s="6"/>
      <c r="BC337" s="6"/>
      <c r="BD337" s="6"/>
      <c r="BI337" s="6"/>
      <c r="BT337" s="6"/>
      <c r="BU337" s="6"/>
      <c r="BZ337" s="6"/>
      <c r="CD337" s="6"/>
      <c r="CE337" s="6"/>
      <c r="CJ337" s="6"/>
      <c r="CU337" s="6"/>
      <c r="CV337" s="6"/>
      <c r="DA337" s="6"/>
      <c r="DE337" s="6"/>
      <c r="DF337" s="6"/>
      <c r="DK337" s="6"/>
      <c r="DV337" s="6"/>
      <c r="DW337" s="6"/>
      <c r="EB337" s="6"/>
      <c r="EF337" s="6"/>
      <c r="EG337" s="6"/>
      <c r="EL337" s="6"/>
      <c r="EW337" s="6"/>
      <c r="EX337" s="6"/>
      <c r="FC337" s="6"/>
      <c r="FG337" s="6"/>
      <c r="FH337" s="6"/>
      <c r="FM337" s="6"/>
      <c r="GY337" s="6"/>
      <c r="GZ337" s="6"/>
      <c r="HE337" s="6"/>
      <c r="HI337" s="6"/>
      <c r="HJ337" s="6"/>
      <c r="HO337" s="6"/>
      <c r="HZ337" s="6"/>
      <c r="IA337" s="6"/>
      <c r="IF337" s="6"/>
      <c r="IJ337" s="6"/>
      <c r="IK337" s="6"/>
      <c r="IP337" s="6"/>
      <c r="JA337" s="6"/>
      <c r="JB337" s="6"/>
      <c r="JG337" s="6"/>
      <c r="JK337" s="6"/>
      <c r="JL337" s="6"/>
      <c r="JQ337" s="6"/>
      <c r="KB337" s="6"/>
      <c r="KC337" s="6"/>
      <c r="KH337" s="6"/>
      <c r="KL337" s="6"/>
      <c r="KM337" s="6"/>
      <c r="KR337" s="6"/>
      <c r="LC337" s="6"/>
      <c r="LD337" s="6"/>
      <c r="LI337" s="6"/>
      <c r="LM337" s="6"/>
      <c r="LN337" s="6"/>
      <c r="LS337" s="6"/>
      <c r="NE337" s="6"/>
      <c r="NF337" s="6"/>
      <c r="NK337" s="6"/>
      <c r="NO337" s="6"/>
      <c r="NP337" s="6"/>
      <c r="NU337" s="6"/>
      <c r="OF337" s="6"/>
      <c r="OG337" s="6"/>
      <c r="OL337" s="6"/>
      <c r="OP337" s="6"/>
      <c r="OQ337" s="6"/>
      <c r="OV337" s="6"/>
      <c r="PG337" s="6"/>
      <c r="PH337" s="6"/>
      <c r="PM337" s="6"/>
      <c r="PQ337" s="6"/>
      <c r="PR337" s="6"/>
      <c r="PW337" s="6"/>
      <c r="QH337" s="6"/>
      <c r="QI337" s="6"/>
      <c r="QN337" s="6"/>
      <c r="QR337" s="6"/>
      <c r="QS337" s="6"/>
      <c r="QX337" s="6"/>
      <c r="RI337" s="6"/>
      <c r="RJ337" s="6"/>
      <c r="RO337" s="6"/>
      <c r="RS337" s="6"/>
      <c r="RT337" s="6"/>
      <c r="RY337" s="6"/>
      <c r="SJ337" s="6"/>
      <c r="SK337" s="6"/>
      <c r="SP337" s="6"/>
      <c r="ST337" s="6"/>
      <c r="SU337" s="6"/>
      <c r="SZ337" s="6"/>
    </row>
    <row r="338" spans="12:520" x14ac:dyDescent="0.3">
      <c r="O338" s="5"/>
      <c r="R338" s="5"/>
      <c r="S338" s="6"/>
      <c r="T338" s="6"/>
      <c r="U338" s="7"/>
      <c r="W338" s="6"/>
      <c r="X338" s="5"/>
      <c r="Z338" s="5"/>
      <c r="AA338" s="6"/>
      <c r="AB338" s="7"/>
      <c r="AG338" s="5"/>
      <c r="AH338" s="6"/>
      <c r="AQ338" s="5"/>
      <c r="AR338" s="5"/>
      <c r="AS338" s="6"/>
      <c r="AT338" s="7"/>
      <c r="AW338" s="5"/>
      <c r="AY338" s="6"/>
      <c r="BC338" s="6"/>
      <c r="BD338" s="6"/>
      <c r="BI338" s="6"/>
      <c r="BT338" s="6"/>
      <c r="BU338" s="6"/>
      <c r="BZ338" s="6"/>
      <c r="CD338" s="6"/>
      <c r="CE338" s="6"/>
      <c r="CJ338" s="6"/>
      <c r="CO338" s="8"/>
      <c r="CP338" s="8"/>
      <c r="CQ338" s="8"/>
      <c r="CU338" s="6"/>
      <c r="CV338" s="6"/>
      <c r="DA338" s="6"/>
      <c r="DE338" s="6"/>
      <c r="DF338" s="6"/>
      <c r="DK338" s="6"/>
      <c r="DV338" s="6"/>
      <c r="DW338" s="6"/>
      <c r="EB338" s="6"/>
      <c r="EF338" s="6"/>
      <c r="EG338" s="6"/>
      <c r="EL338" s="6"/>
      <c r="EW338" s="6"/>
      <c r="EX338" s="6"/>
      <c r="FC338" s="6"/>
      <c r="FG338" s="6"/>
      <c r="FH338" s="6"/>
      <c r="FM338" s="6"/>
      <c r="GY338" s="6"/>
      <c r="GZ338" s="6"/>
      <c r="HE338" s="6"/>
      <c r="HI338" s="6"/>
      <c r="HJ338" s="6"/>
      <c r="HO338" s="6"/>
      <c r="HZ338" s="6"/>
      <c r="IA338" s="6"/>
      <c r="IF338" s="6"/>
      <c r="IJ338" s="6"/>
      <c r="IK338" s="6"/>
      <c r="IP338" s="6"/>
      <c r="JA338" s="6"/>
      <c r="JB338" s="6"/>
      <c r="JG338" s="6"/>
      <c r="JK338" s="6"/>
      <c r="JL338" s="6"/>
      <c r="JQ338" s="6"/>
      <c r="KB338" s="6"/>
      <c r="KC338" s="6"/>
      <c r="KH338" s="6"/>
      <c r="KL338" s="6"/>
      <c r="KM338" s="6"/>
      <c r="KR338" s="6"/>
      <c r="LC338" s="6"/>
      <c r="LD338" s="6"/>
      <c r="LI338" s="6"/>
      <c r="LM338" s="6"/>
      <c r="LN338" s="6"/>
      <c r="LS338" s="6"/>
      <c r="NE338" s="6"/>
      <c r="NF338" s="6"/>
      <c r="NK338" s="6"/>
      <c r="NO338" s="6"/>
      <c r="NP338" s="6"/>
      <c r="NU338" s="6"/>
      <c r="OF338" s="6"/>
      <c r="OG338" s="6"/>
      <c r="OL338" s="6"/>
      <c r="OP338" s="6"/>
      <c r="OQ338" s="6"/>
      <c r="OV338" s="6"/>
      <c r="PG338" s="6"/>
      <c r="PH338" s="6"/>
      <c r="PM338" s="6"/>
      <c r="PQ338" s="6"/>
      <c r="PR338" s="6"/>
      <c r="PW338" s="6"/>
      <c r="QH338" s="6"/>
      <c r="QI338" s="6"/>
      <c r="QN338" s="6"/>
      <c r="QR338" s="6"/>
      <c r="QS338" s="6"/>
      <c r="QX338" s="6"/>
      <c r="RI338" s="6"/>
      <c r="RJ338" s="6"/>
      <c r="RO338" s="6"/>
      <c r="RS338" s="6"/>
      <c r="RT338" s="6"/>
      <c r="RY338" s="6"/>
      <c r="SJ338" s="6"/>
      <c r="SK338" s="6"/>
      <c r="SP338" s="6"/>
      <c r="ST338" s="6"/>
      <c r="SU338" s="6"/>
      <c r="SZ338" s="6"/>
    </row>
    <row r="339" spans="12:520" x14ac:dyDescent="0.3">
      <c r="O339" s="5"/>
      <c r="R339" s="5"/>
      <c r="S339" s="6"/>
      <c r="T339" s="6"/>
      <c r="U339" s="7"/>
      <c r="W339" s="6"/>
      <c r="X339" s="5"/>
      <c r="Z339" s="5"/>
      <c r="AA339" s="6"/>
      <c r="AB339" s="7"/>
      <c r="AG339" s="5"/>
      <c r="AH339" s="6"/>
      <c r="AQ339" s="5"/>
      <c r="AR339" s="5"/>
      <c r="AS339" s="6"/>
      <c r="AT339" s="7"/>
      <c r="AW339" s="5"/>
      <c r="AY339" s="6"/>
      <c r="BC339" s="6"/>
      <c r="BD339" s="6"/>
      <c r="BI339" s="6"/>
      <c r="BT339" s="6"/>
      <c r="BU339" s="6"/>
      <c r="BZ339" s="6"/>
      <c r="CD339" s="6"/>
      <c r="CE339" s="6"/>
      <c r="CJ339" s="6"/>
      <c r="DV339" s="6"/>
      <c r="DW339" s="6"/>
      <c r="EB339" s="6"/>
      <c r="EF339" s="6"/>
      <c r="EG339" s="6"/>
      <c r="EL339" s="6"/>
      <c r="EW339" s="6"/>
      <c r="EX339" s="6"/>
      <c r="FC339" s="6"/>
      <c r="FG339" s="6"/>
      <c r="FH339" s="6"/>
      <c r="FM339" s="6"/>
      <c r="GY339" s="6"/>
      <c r="GZ339" s="6"/>
      <c r="HE339" s="6"/>
      <c r="HI339" s="6"/>
      <c r="HJ339" s="6"/>
      <c r="HO339" s="6"/>
      <c r="HZ339" s="6"/>
      <c r="IA339" s="6"/>
      <c r="IF339" s="6"/>
      <c r="IJ339" s="6"/>
      <c r="IK339" s="6"/>
      <c r="IP339" s="6"/>
      <c r="JA339" s="6"/>
      <c r="JB339" s="6"/>
      <c r="JG339" s="6"/>
      <c r="JK339" s="6"/>
      <c r="JL339" s="6"/>
      <c r="JQ339" s="6"/>
      <c r="KB339" s="6"/>
      <c r="KC339" s="6"/>
      <c r="KH339" s="6"/>
      <c r="KL339" s="6"/>
      <c r="KM339" s="6"/>
      <c r="KR339" s="6"/>
      <c r="LC339" s="6"/>
      <c r="LD339" s="6"/>
      <c r="LI339" s="6"/>
      <c r="LM339" s="6"/>
      <c r="LN339" s="6"/>
      <c r="LS339" s="6"/>
      <c r="NE339" s="6"/>
      <c r="NF339" s="6"/>
      <c r="NK339" s="6"/>
      <c r="NO339" s="6"/>
      <c r="NP339" s="6"/>
      <c r="NU339" s="6"/>
      <c r="OF339" s="6"/>
      <c r="OG339" s="6"/>
      <c r="OL339" s="6"/>
      <c r="OP339" s="6"/>
      <c r="OQ339" s="6"/>
      <c r="OV339" s="6"/>
      <c r="PG339" s="6"/>
      <c r="PH339" s="6"/>
      <c r="PM339" s="6"/>
      <c r="PQ339" s="6"/>
      <c r="PR339" s="6"/>
      <c r="PW339" s="6"/>
      <c r="QH339" s="6"/>
      <c r="QI339" s="6"/>
      <c r="QN339" s="6"/>
      <c r="QR339" s="6"/>
      <c r="QS339" s="6"/>
      <c r="QX339" s="6"/>
      <c r="RI339" s="6"/>
      <c r="RJ339" s="6"/>
      <c r="RO339" s="6"/>
      <c r="RS339" s="6"/>
      <c r="RT339" s="6"/>
      <c r="RY339" s="6"/>
      <c r="SJ339" s="6"/>
      <c r="SK339" s="6"/>
      <c r="SP339" s="6"/>
      <c r="ST339" s="6"/>
      <c r="SU339" s="6"/>
      <c r="SZ339" s="6"/>
    </row>
    <row r="340" spans="12:520" x14ac:dyDescent="0.3">
      <c r="O340" s="5"/>
      <c r="R340" s="5"/>
      <c r="S340" s="6"/>
      <c r="T340" s="6"/>
      <c r="U340" s="7"/>
      <c r="W340" s="6"/>
      <c r="X340" s="5"/>
      <c r="Z340" s="5"/>
      <c r="AA340" s="6"/>
      <c r="AB340" s="7"/>
      <c r="AG340" s="5"/>
      <c r="AH340" s="6"/>
      <c r="AQ340" s="5"/>
      <c r="AR340" s="5"/>
      <c r="AS340" s="6"/>
      <c r="AT340" s="7"/>
      <c r="AW340" s="5"/>
      <c r="AY340" s="6"/>
      <c r="BC340" s="6"/>
      <c r="BD340" s="6"/>
      <c r="BI340" s="6"/>
      <c r="BT340" s="6"/>
      <c r="BU340" s="6"/>
      <c r="BZ340" s="6"/>
      <c r="CD340" s="6"/>
      <c r="CE340" s="6"/>
      <c r="CJ340" s="6"/>
      <c r="DV340" s="6"/>
      <c r="DW340" s="6"/>
      <c r="EB340" s="6"/>
      <c r="EF340" s="6"/>
      <c r="EG340" s="6"/>
      <c r="EL340" s="6"/>
      <c r="EW340" s="6"/>
      <c r="EX340" s="6"/>
      <c r="FC340" s="6"/>
      <c r="FG340" s="6"/>
      <c r="FH340" s="6"/>
      <c r="FM340" s="6"/>
      <c r="GS340" s="8"/>
      <c r="GT340" s="8"/>
      <c r="GU340" s="8"/>
      <c r="GY340" s="6"/>
      <c r="GZ340" s="6"/>
      <c r="HE340" s="6"/>
      <c r="HI340" s="6"/>
      <c r="HJ340" s="6"/>
      <c r="HO340" s="6"/>
      <c r="HZ340" s="6"/>
      <c r="IA340" s="6"/>
      <c r="IF340" s="6"/>
      <c r="IJ340" s="6"/>
      <c r="IK340" s="6"/>
      <c r="IP340" s="6"/>
      <c r="JA340" s="6"/>
      <c r="JB340" s="6"/>
      <c r="JG340" s="6"/>
      <c r="JK340" s="6"/>
      <c r="JL340" s="6"/>
      <c r="JQ340" s="6"/>
      <c r="KB340" s="6"/>
      <c r="KC340" s="6"/>
      <c r="KH340" s="6"/>
      <c r="KL340" s="6"/>
      <c r="KM340" s="6"/>
      <c r="KR340" s="6"/>
      <c r="LC340" s="6"/>
      <c r="LD340" s="6"/>
      <c r="LI340" s="6"/>
      <c r="LM340" s="6"/>
      <c r="LN340" s="6"/>
      <c r="LS340" s="6"/>
      <c r="NE340" s="6"/>
      <c r="NF340" s="6"/>
      <c r="NK340" s="6"/>
      <c r="NO340" s="6"/>
      <c r="NP340" s="6"/>
      <c r="NU340" s="6"/>
      <c r="OF340" s="6"/>
      <c r="OG340" s="6"/>
      <c r="OL340" s="6"/>
      <c r="OP340" s="6"/>
      <c r="OQ340" s="6"/>
      <c r="OV340" s="6"/>
      <c r="PG340" s="6"/>
      <c r="PH340" s="6"/>
      <c r="PM340" s="6"/>
      <c r="PQ340" s="6"/>
      <c r="PR340" s="6"/>
      <c r="PW340" s="6"/>
      <c r="QH340" s="6"/>
      <c r="QI340" s="6"/>
      <c r="QN340" s="6"/>
      <c r="QR340" s="6"/>
      <c r="QS340" s="6"/>
      <c r="QX340" s="6"/>
      <c r="RI340" s="6"/>
      <c r="RJ340" s="6"/>
      <c r="RO340" s="6"/>
      <c r="RS340" s="6"/>
      <c r="RT340" s="6"/>
      <c r="RY340" s="6"/>
      <c r="SJ340" s="6"/>
      <c r="SK340" s="6"/>
      <c r="SP340" s="6"/>
      <c r="ST340" s="6"/>
      <c r="SU340" s="6"/>
      <c r="SZ340" s="6"/>
    </row>
    <row r="341" spans="12:520" x14ac:dyDescent="0.3">
      <c r="O341" s="5"/>
      <c r="R341" s="5"/>
      <c r="S341" s="6"/>
      <c r="T341" s="6"/>
      <c r="U341" s="7"/>
      <c r="W341" s="6"/>
      <c r="X341" s="5"/>
      <c r="Z341" s="5"/>
      <c r="AA341" s="6"/>
      <c r="AB341" s="7"/>
      <c r="AG341" s="5"/>
      <c r="AH341" s="6"/>
      <c r="AQ341" s="5"/>
      <c r="AR341" s="5"/>
      <c r="AS341" s="6"/>
      <c r="AT341" s="7"/>
      <c r="AW341" s="5"/>
      <c r="AY341" s="6"/>
      <c r="BC341" s="6"/>
      <c r="BD341" s="6"/>
      <c r="BI341" s="6"/>
      <c r="BT341" s="6"/>
      <c r="BU341" s="6"/>
      <c r="BZ341" s="6"/>
      <c r="CD341" s="6"/>
      <c r="CE341" s="6"/>
      <c r="CJ341" s="6"/>
      <c r="DV341" s="6"/>
      <c r="DW341" s="6"/>
      <c r="EB341" s="6"/>
      <c r="EF341" s="6"/>
      <c r="EG341" s="6"/>
      <c r="EL341" s="6"/>
      <c r="EW341" s="6"/>
      <c r="EX341" s="6"/>
      <c r="FC341" s="6"/>
      <c r="FG341" s="6"/>
      <c r="FH341" s="6"/>
      <c r="FM341" s="6"/>
      <c r="HZ341" s="6"/>
      <c r="IA341" s="6"/>
      <c r="IF341" s="6"/>
      <c r="IJ341" s="6"/>
      <c r="IK341" s="6"/>
      <c r="IP341" s="6"/>
      <c r="JA341" s="6"/>
      <c r="JB341" s="6"/>
      <c r="JG341" s="6"/>
      <c r="JK341" s="6"/>
      <c r="JL341" s="6"/>
      <c r="JQ341" s="6"/>
      <c r="KB341" s="6"/>
      <c r="KC341" s="6"/>
      <c r="KH341" s="6"/>
      <c r="KL341" s="6"/>
      <c r="KM341" s="6"/>
      <c r="KR341" s="6"/>
      <c r="LC341" s="6"/>
      <c r="LD341" s="6"/>
      <c r="LI341" s="6"/>
      <c r="LM341" s="6"/>
      <c r="LN341" s="6"/>
      <c r="LS341" s="6"/>
      <c r="NE341" s="6"/>
      <c r="NF341" s="6"/>
      <c r="NK341" s="6"/>
      <c r="NO341" s="6"/>
      <c r="NP341" s="6"/>
      <c r="NU341" s="6"/>
      <c r="OF341" s="6"/>
      <c r="OG341" s="6"/>
      <c r="OL341" s="6"/>
      <c r="OP341" s="6"/>
      <c r="OQ341" s="6"/>
      <c r="OV341" s="6"/>
      <c r="PG341" s="6"/>
      <c r="PH341" s="6"/>
      <c r="PM341" s="6"/>
      <c r="PQ341" s="6"/>
      <c r="PR341" s="6"/>
      <c r="PW341" s="6"/>
      <c r="QH341" s="6"/>
      <c r="QI341" s="6"/>
      <c r="QN341" s="6"/>
      <c r="QR341" s="6"/>
      <c r="QS341" s="6"/>
      <c r="QX341" s="6"/>
      <c r="RI341" s="6"/>
      <c r="RJ341" s="6"/>
      <c r="RO341" s="6"/>
      <c r="RS341" s="6"/>
      <c r="RT341" s="6"/>
      <c r="RY341" s="6"/>
      <c r="SJ341" s="6"/>
      <c r="SK341" s="6"/>
      <c r="SP341" s="6"/>
      <c r="ST341" s="6"/>
      <c r="SU341" s="6"/>
      <c r="SZ341" s="6"/>
    </row>
    <row r="342" spans="12:520" x14ac:dyDescent="0.3">
      <c r="O342" s="5"/>
      <c r="R342" s="5"/>
      <c r="S342" s="6"/>
      <c r="T342" s="6"/>
      <c r="U342" s="7"/>
      <c r="W342" s="6"/>
      <c r="X342" s="5"/>
      <c r="Z342" s="5"/>
      <c r="AA342" s="6"/>
      <c r="AB342" s="7"/>
      <c r="AG342" s="5"/>
      <c r="AH342" s="6"/>
      <c r="AQ342" s="5"/>
      <c r="AR342" s="5"/>
      <c r="AS342" s="6"/>
      <c r="AT342" s="7"/>
      <c r="AW342" s="5"/>
      <c r="AY342" s="6"/>
      <c r="BC342" s="6"/>
      <c r="BD342" s="6"/>
      <c r="BI342" s="6"/>
      <c r="BT342" s="6"/>
      <c r="BU342" s="6"/>
      <c r="BZ342" s="6"/>
      <c r="CD342" s="6"/>
      <c r="CE342" s="6"/>
      <c r="CJ342" s="6"/>
      <c r="DV342" s="6"/>
      <c r="DW342" s="6"/>
      <c r="EB342" s="6"/>
      <c r="EF342" s="6"/>
      <c r="EG342" s="6"/>
      <c r="EL342" s="6"/>
      <c r="EW342" s="6"/>
      <c r="EX342" s="6"/>
      <c r="FC342" s="6"/>
      <c r="FG342" s="6"/>
      <c r="FH342" s="6"/>
      <c r="FM342" s="6"/>
      <c r="HZ342" s="6"/>
      <c r="IA342" s="6"/>
      <c r="IF342" s="6"/>
      <c r="IJ342" s="6"/>
      <c r="IK342" s="6"/>
      <c r="IP342" s="6"/>
      <c r="JA342" s="6"/>
      <c r="JB342" s="6"/>
      <c r="JG342" s="6"/>
      <c r="JK342" s="6"/>
      <c r="JL342" s="6"/>
      <c r="JQ342" s="6"/>
      <c r="KB342" s="6"/>
      <c r="KC342" s="6"/>
      <c r="KH342" s="6"/>
      <c r="KL342" s="6"/>
      <c r="KM342" s="6"/>
      <c r="KR342" s="6"/>
      <c r="LC342" s="6"/>
      <c r="LD342" s="6"/>
      <c r="LI342" s="6"/>
      <c r="LM342" s="6"/>
      <c r="LN342" s="6"/>
      <c r="LS342" s="6"/>
      <c r="MY342" s="8"/>
      <c r="MZ342" s="8"/>
      <c r="NA342" s="8"/>
      <c r="NE342" s="6"/>
      <c r="NF342" s="6"/>
      <c r="NK342" s="6"/>
      <c r="NO342" s="6"/>
      <c r="NP342" s="6"/>
      <c r="NU342" s="6"/>
      <c r="OF342" s="6"/>
      <c r="OG342" s="6"/>
      <c r="OL342" s="6"/>
      <c r="OP342" s="6"/>
      <c r="OQ342" s="6"/>
      <c r="OV342" s="6"/>
      <c r="PG342" s="6"/>
      <c r="PH342" s="6"/>
      <c r="PM342" s="6"/>
      <c r="PQ342" s="6"/>
      <c r="PR342" s="6"/>
      <c r="PW342" s="6"/>
      <c r="QH342" s="6"/>
      <c r="QI342" s="6"/>
      <c r="QN342" s="6"/>
      <c r="QR342" s="6"/>
      <c r="QS342" s="6"/>
      <c r="QX342" s="6"/>
      <c r="RI342" s="6"/>
      <c r="RJ342" s="6"/>
      <c r="RO342" s="6"/>
      <c r="RS342" s="6"/>
      <c r="RT342" s="6"/>
      <c r="RY342" s="6"/>
      <c r="SJ342" s="6"/>
      <c r="SK342" s="6"/>
      <c r="SP342" s="6"/>
      <c r="ST342" s="6"/>
      <c r="SU342" s="6"/>
      <c r="SZ342" s="6"/>
    </row>
    <row r="343" spans="12:520" x14ac:dyDescent="0.3">
      <c r="O343" s="5"/>
      <c r="R343" s="5"/>
      <c r="S343" s="6"/>
      <c r="T343" s="6"/>
      <c r="U343" s="7"/>
      <c r="W343" s="6"/>
      <c r="X343" s="5"/>
      <c r="Z343" s="5"/>
      <c r="AA343" s="6"/>
      <c r="AB343" s="7"/>
      <c r="AG343" s="5"/>
      <c r="AH343" s="6"/>
      <c r="AQ343" s="5"/>
      <c r="AR343" s="5"/>
      <c r="AS343" s="6"/>
      <c r="AT343" s="7"/>
      <c r="AW343" s="5"/>
      <c r="AY343" s="6"/>
      <c r="BC343" s="6"/>
      <c r="BD343" s="6"/>
      <c r="BI343" s="6"/>
      <c r="BT343" s="6"/>
      <c r="BU343" s="6"/>
      <c r="BZ343" s="6"/>
      <c r="CD343" s="6"/>
      <c r="CE343" s="6"/>
      <c r="CJ343" s="6"/>
      <c r="DV343" s="6"/>
      <c r="DW343" s="6"/>
      <c r="EB343" s="6"/>
      <c r="EF343" s="6"/>
      <c r="EG343" s="6"/>
      <c r="EL343" s="6"/>
      <c r="EW343" s="6"/>
      <c r="EX343" s="6"/>
      <c r="FC343" s="6"/>
      <c r="FG343" s="6"/>
      <c r="FH343" s="6"/>
      <c r="FM343" s="6"/>
      <c r="HZ343" s="6"/>
      <c r="IA343" s="6"/>
      <c r="IF343" s="6"/>
      <c r="IJ343" s="6"/>
      <c r="IK343" s="6"/>
      <c r="IP343" s="6"/>
      <c r="JA343" s="6"/>
      <c r="JB343" s="6"/>
      <c r="JG343" s="6"/>
      <c r="JK343" s="6"/>
      <c r="JL343" s="6"/>
      <c r="JQ343" s="6"/>
      <c r="KB343" s="6"/>
      <c r="KC343" s="6"/>
      <c r="KH343" s="6"/>
      <c r="KL343" s="6"/>
      <c r="KM343" s="6"/>
      <c r="KR343" s="6"/>
      <c r="LC343" s="6"/>
      <c r="LD343" s="6"/>
      <c r="LI343" s="6"/>
      <c r="LM343" s="6"/>
      <c r="LN343" s="6"/>
      <c r="LS343" s="6"/>
      <c r="OF343" s="6"/>
      <c r="OG343" s="6"/>
      <c r="OL343" s="6"/>
      <c r="OP343" s="6"/>
      <c r="OQ343" s="6"/>
      <c r="OV343" s="6"/>
      <c r="PG343" s="6"/>
      <c r="PH343" s="6"/>
      <c r="PM343" s="6"/>
      <c r="PQ343" s="6"/>
      <c r="PR343" s="6"/>
      <c r="PW343" s="6"/>
      <c r="QH343" s="6"/>
      <c r="QI343" s="6"/>
      <c r="QN343" s="6"/>
      <c r="QR343" s="6"/>
      <c r="QS343" s="6"/>
      <c r="QX343" s="6"/>
      <c r="RI343" s="6"/>
      <c r="RJ343" s="6"/>
      <c r="RO343" s="6"/>
      <c r="RS343" s="6"/>
      <c r="RT343" s="6"/>
      <c r="RY343" s="6"/>
      <c r="SJ343" s="6"/>
      <c r="SK343" s="6"/>
      <c r="SP343" s="6"/>
      <c r="ST343" s="6"/>
      <c r="SU343" s="6"/>
      <c r="SZ343" s="6"/>
    </row>
    <row r="344" spans="12:520" x14ac:dyDescent="0.3">
      <c r="L344" s="8"/>
      <c r="M344" s="8"/>
      <c r="N344" s="8"/>
      <c r="R344" s="5"/>
      <c r="S344" s="6"/>
      <c r="T344" s="6"/>
      <c r="U344" s="7"/>
      <c r="W344" s="6"/>
      <c r="Z344" s="5"/>
      <c r="AA344" s="6"/>
      <c r="AB344" s="7"/>
      <c r="AG344" s="5"/>
      <c r="AH344" s="6"/>
      <c r="AQ344" s="5"/>
      <c r="AR344" s="5"/>
      <c r="AS344" s="6"/>
      <c r="AT344" s="7"/>
      <c r="AW344" s="5"/>
      <c r="AY344" s="6"/>
      <c r="BC344" s="6"/>
      <c r="BD344" s="6"/>
      <c r="BI344" s="6"/>
      <c r="BN344" s="8"/>
      <c r="BO344" s="8"/>
      <c r="BP344" s="8"/>
      <c r="BT344" s="6"/>
      <c r="BU344" s="6"/>
      <c r="BZ344" s="6"/>
      <c r="CD344" s="6"/>
      <c r="CE344" s="6"/>
      <c r="CJ344" s="6"/>
      <c r="DP344" s="8"/>
      <c r="DQ344" s="8"/>
      <c r="DR344" s="8"/>
      <c r="DV344" s="6"/>
      <c r="DW344" s="6"/>
      <c r="EB344" s="6"/>
      <c r="EF344" s="6"/>
      <c r="EG344" s="6"/>
      <c r="EL344" s="6"/>
      <c r="EQ344" s="8"/>
      <c r="ER344" s="8"/>
      <c r="ES344" s="8"/>
      <c r="EW344" s="6"/>
      <c r="EX344" s="6"/>
      <c r="FC344" s="6"/>
      <c r="FG344" s="6"/>
      <c r="FH344" s="6"/>
      <c r="FM344" s="6"/>
      <c r="HT344" s="8"/>
      <c r="HU344" s="8"/>
      <c r="HV344" s="8"/>
      <c r="HZ344" s="6"/>
      <c r="IA344" s="6"/>
      <c r="IF344" s="6"/>
      <c r="IJ344" s="6"/>
      <c r="IK344" s="6"/>
      <c r="IP344" s="6"/>
      <c r="IU344" s="8"/>
      <c r="IV344" s="8"/>
      <c r="IW344" s="8"/>
      <c r="JA344" s="6"/>
      <c r="JB344" s="6"/>
      <c r="JG344" s="6"/>
      <c r="JK344" s="6"/>
      <c r="JL344" s="6"/>
      <c r="JQ344" s="6"/>
      <c r="JV344" s="8"/>
      <c r="JW344" s="8"/>
      <c r="JX344" s="8"/>
      <c r="KB344" s="6"/>
      <c r="KC344" s="6"/>
      <c r="KH344" s="6"/>
      <c r="KL344" s="6"/>
      <c r="KM344" s="6"/>
      <c r="KR344" s="6"/>
      <c r="KW344" s="8"/>
      <c r="KX344" s="8"/>
      <c r="KY344" s="8"/>
      <c r="LC344" s="6"/>
      <c r="LD344" s="6"/>
      <c r="LI344" s="6"/>
      <c r="LM344" s="6"/>
      <c r="LN344" s="6"/>
      <c r="LS344" s="6"/>
      <c r="NZ344" s="8"/>
      <c r="OA344" s="8"/>
      <c r="OB344" s="8"/>
      <c r="OF344" s="6"/>
      <c r="OG344" s="6"/>
      <c r="OL344" s="6"/>
      <c r="OP344" s="6"/>
      <c r="OQ344" s="6"/>
      <c r="OV344" s="6"/>
      <c r="PA344" s="8"/>
      <c r="PB344" s="8"/>
      <c r="PC344" s="8"/>
      <c r="PG344" s="6"/>
      <c r="PH344" s="6"/>
      <c r="PM344" s="6"/>
      <c r="PQ344" s="6"/>
      <c r="PR344" s="6"/>
      <c r="PW344" s="6"/>
      <c r="QB344" s="8"/>
      <c r="QC344" s="8"/>
      <c r="QD344" s="8"/>
      <c r="QH344" s="6"/>
      <c r="QI344" s="6"/>
      <c r="QN344" s="6"/>
      <c r="QR344" s="6"/>
      <c r="QS344" s="6"/>
      <c r="QX344" s="6"/>
      <c r="RC344" s="8"/>
      <c r="RD344" s="8"/>
      <c r="RE344" s="8"/>
      <c r="RI344" s="6"/>
      <c r="RJ344" s="6"/>
      <c r="RO344" s="6"/>
      <c r="RS344" s="6"/>
      <c r="RT344" s="6"/>
      <c r="RY344" s="6"/>
      <c r="SD344" s="8"/>
      <c r="SE344" s="8"/>
      <c r="SF344" s="8"/>
      <c r="SJ344" s="6"/>
      <c r="SK344" s="6"/>
      <c r="SP344" s="6"/>
      <c r="ST344" s="6"/>
      <c r="SU344" s="6"/>
      <c r="SZ344" s="6"/>
    </row>
    <row r="345" spans="12:520" x14ac:dyDescent="0.3">
      <c r="AQ345" s="5"/>
      <c r="AR345" s="5"/>
      <c r="AS345" s="6"/>
    </row>
    <row r="346" spans="12:520" x14ac:dyDescent="0.3">
      <c r="AQ346" s="5"/>
      <c r="AR346" s="5"/>
      <c r="AS346" s="6"/>
    </row>
    <row r="347" spans="12:520" x14ac:dyDescent="0.3">
      <c r="AQ347" s="5"/>
      <c r="AR347" s="5"/>
      <c r="AS347" s="6"/>
    </row>
    <row r="348" spans="12:520" x14ac:dyDescent="0.3">
      <c r="AM348" s="8"/>
      <c r="AN348" s="8"/>
      <c r="AO348" s="8"/>
      <c r="AQ348" s="5"/>
      <c r="AR348" s="5"/>
      <c r="AS348" s="6"/>
    </row>
    <row r="365" spans="18:520" x14ac:dyDescent="0.3">
      <c r="R365" s="6"/>
      <c r="S365" s="7"/>
      <c r="T365" s="7"/>
      <c r="Z365" s="6"/>
      <c r="AA365" s="7"/>
      <c r="AG365" s="6"/>
      <c r="AX365" s="6"/>
      <c r="BB365" s="6"/>
      <c r="BC365" s="7"/>
      <c r="BH365" s="6"/>
      <c r="BS365" s="6"/>
      <c r="BT365" s="7"/>
      <c r="BY365" s="6"/>
      <c r="CC365" s="6"/>
      <c r="CD365" s="7"/>
      <c r="CI365" s="6"/>
      <c r="CT365" s="6"/>
      <c r="CU365" s="7"/>
      <c r="CZ365" s="6"/>
      <c r="DD365" s="6"/>
      <c r="DE365" s="7"/>
      <c r="DJ365" s="6"/>
      <c r="DU365" s="6"/>
      <c r="DV365" s="7"/>
      <c r="EA365" s="6"/>
      <c r="EE365" s="6"/>
      <c r="EF365" s="7"/>
      <c r="EK365" s="6"/>
      <c r="EV365" s="6"/>
      <c r="EW365" s="7"/>
      <c r="FB365" s="6"/>
      <c r="FF365" s="6"/>
      <c r="FG365" s="7"/>
      <c r="FL365" s="6"/>
      <c r="FW365" s="6"/>
      <c r="FX365" s="7"/>
      <c r="GC365" s="6"/>
      <c r="GG365" s="6"/>
      <c r="GH365" s="7"/>
      <c r="GM365" s="6"/>
      <c r="GX365" s="6"/>
      <c r="GY365" s="7"/>
      <c r="HD365" s="6"/>
      <c r="HH365" s="6"/>
      <c r="HI365" s="7"/>
      <c r="HN365" s="6"/>
      <c r="HY365" s="6"/>
      <c r="HZ365" s="7"/>
      <c r="IE365" s="6"/>
      <c r="II365" s="6"/>
      <c r="IJ365" s="7"/>
      <c r="IO365" s="6"/>
      <c r="IZ365" s="6"/>
      <c r="JA365" s="7"/>
      <c r="JF365" s="6"/>
      <c r="JJ365" s="6"/>
      <c r="JK365" s="7"/>
      <c r="JP365" s="6"/>
      <c r="KA365" s="6"/>
      <c r="KB365" s="7"/>
      <c r="KG365" s="6"/>
      <c r="KK365" s="6"/>
      <c r="KL365" s="7"/>
      <c r="KQ365" s="6"/>
      <c r="LB365" s="6"/>
      <c r="LC365" s="7"/>
      <c r="LH365" s="6"/>
      <c r="LL365" s="6"/>
      <c r="LM365" s="7"/>
      <c r="LR365" s="6"/>
      <c r="MC365" s="6"/>
      <c r="MD365" s="7"/>
      <c r="MI365" s="6"/>
      <c r="MM365" s="6"/>
      <c r="MN365" s="7"/>
      <c r="MS365" s="6"/>
      <c r="ND365" s="6"/>
      <c r="NE365" s="7"/>
      <c r="NJ365" s="6"/>
      <c r="NN365" s="6"/>
      <c r="NO365" s="7"/>
      <c r="NT365" s="6"/>
      <c r="OE365" s="6"/>
      <c r="OF365" s="7"/>
      <c r="OK365" s="6"/>
      <c r="OO365" s="6"/>
      <c r="OP365" s="7"/>
      <c r="OU365" s="6"/>
      <c r="PF365" s="6"/>
      <c r="PG365" s="7"/>
      <c r="PL365" s="6"/>
      <c r="PP365" s="6"/>
      <c r="PQ365" s="7"/>
      <c r="PV365" s="6"/>
      <c r="QG365" s="6"/>
      <c r="QH365" s="7"/>
      <c r="QM365" s="6"/>
      <c r="QQ365" s="6"/>
      <c r="QR365" s="7"/>
      <c r="QW365" s="6"/>
      <c r="RH365" s="6"/>
      <c r="RI365" s="7"/>
      <c r="RN365" s="6"/>
      <c r="RR365" s="6"/>
      <c r="RS365" s="7"/>
      <c r="RX365" s="6"/>
      <c r="SI365" s="6"/>
      <c r="SJ365" s="7"/>
      <c r="SO365" s="6"/>
      <c r="SS365" s="6"/>
      <c r="ST365" s="7"/>
      <c r="SY365" s="6"/>
    </row>
    <row r="366" spans="18:520" x14ac:dyDescent="0.3">
      <c r="S366" s="6"/>
      <c r="T366" s="6"/>
      <c r="U366" s="6"/>
      <c r="W366" s="6"/>
      <c r="AA366" s="6"/>
      <c r="AB366" s="6"/>
      <c r="AH366" s="6"/>
      <c r="AT366" s="6"/>
      <c r="AY366" s="6"/>
      <c r="BC366" s="6"/>
      <c r="BD366" s="6"/>
      <c r="BI366" s="6"/>
      <c r="BT366" s="6"/>
      <c r="BU366" s="6"/>
      <c r="BZ366" s="6"/>
      <c r="CD366" s="6"/>
      <c r="CE366" s="6"/>
      <c r="CJ366" s="6"/>
      <c r="CU366" s="6"/>
      <c r="CV366" s="6"/>
      <c r="DA366" s="6"/>
      <c r="DE366" s="6"/>
      <c r="DF366" s="6"/>
      <c r="DK366" s="6"/>
      <c r="DV366" s="6"/>
      <c r="DW366" s="6"/>
      <c r="EB366" s="6"/>
      <c r="EF366" s="6"/>
      <c r="EG366" s="6"/>
      <c r="EL366" s="6"/>
      <c r="EW366" s="6"/>
      <c r="EX366" s="6"/>
      <c r="FC366" s="6"/>
      <c r="FG366" s="6"/>
      <c r="FH366" s="6"/>
      <c r="FM366" s="6"/>
      <c r="FX366" s="6"/>
      <c r="FY366" s="6"/>
      <c r="GD366" s="6"/>
      <c r="GH366" s="6"/>
      <c r="GI366" s="6"/>
      <c r="GN366" s="6"/>
      <c r="GY366" s="6"/>
      <c r="GZ366" s="6"/>
      <c r="HE366" s="6"/>
      <c r="HI366" s="6"/>
      <c r="HJ366" s="6"/>
      <c r="HO366" s="6"/>
      <c r="HZ366" s="6"/>
      <c r="IA366" s="6"/>
      <c r="IF366" s="6"/>
      <c r="IJ366" s="6"/>
      <c r="IK366" s="6"/>
      <c r="IP366" s="6"/>
      <c r="JA366" s="6"/>
      <c r="JB366" s="6"/>
      <c r="JG366" s="6"/>
      <c r="JK366" s="6"/>
      <c r="JL366" s="6"/>
      <c r="JQ366" s="6"/>
      <c r="KB366" s="6"/>
      <c r="KC366" s="6"/>
      <c r="KH366" s="6"/>
      <c r="KL366" s="6"/>
      <c r="KM366" s="6"/>
      <c r="KR366" s="6"/>
      <c r="LC366" s="6"/>
      <c r="LD366" s="6"/>
      <c r="LI366" s="6"/>
      <c r="LM366" s="6"/>
      <c r="LN366" s="6"/>
      <c r="LS366" s="6"/>
      <c r="MD366" s="6"/>
      <c r="ME366" s="6"/>
      <c r="MJ366" s="6"/>
      <c r="MN366" s="6"/>
      <c r="MO366" s="6"/>
      <c r="MT366" s="6"/>
      <c r="NE366" s="6"/>
      <c r="NF366" s="6"/>
      <c r="NK366" s="6"/>
      <c r="NO366" s="6"/>
      <c r="NP366" s="6"/>
      <c r="NU366" s="6"/>
      <c r="OF366" s="6"/>
      <c r="OG366" s="6"/>
      <c r="OL366" s="6"/>
      <c r="OP366" s="6"/>
      <c r="OQ366" s="6"/>
      <c r="OV366" s="6"/>
      <c r="PG366" s="6"/>
      <c r="PH366" s="6"/>
      <c r="PM366" s="6"/>
      <c r="PQ366" s="6"/>
      <c r="PR366" s="6"/>
      <c r="PW366" s="6"/>
      <c r="QH366" s="6"/>
      <c r="QI366" s="6"/>
      <c r="QN366" s="6"/>
      <c r="QR366" s="6"/>
      <c r="QS366" s="6"/>
      <c r="QX366" s="6"/>
      <c r="RI366" s="6"/>
      <c r="RJ366" s="6"/>
      <c r="RO366" s="6"/>
      <c r="RS366" s="6"/>
      <c r="RT366" s="6"/>
      <c r="RY366" s="6"/>
      <c r="SJ366" s="6"/>
      <c r="SK366" s="6"/>
      <c r="SP366" s="6"/>
      <c r="ST366" s="6"/>
      <c r="SU366" s="6"/>
      <c r="SZ366" s="6"/>
    </row>
    <row r="367" spans="18:520" x14ac:dyDescent="0.3">
      <c r="S367" s="6"/>
      <c r="T367" s="6"/>
      <c r="U367" s="6"/>
      <c r="W367" s="6"/>
      <c r="AA367" s="6"/>
      <c r="AB367" s="6"/>
      <c r="AH367" s="6"/>
      <c r="AT367" s="6"/>
      <c r="AY367" s="6"/>
      <c r="BC367" s="6"/>
      <c r="BD367" s="6"/>
      <c r="BI367" s="6"/>
      <c r="BT367" s="6"/>
      <c r="BU367" s="6"/>
      <c r="BZ367" s="6"/>
      <c r="CD367" s="6"/>
      <c r="CE367" s="6"/>
      <c r="CJ367" s="6"/>
      <c r="CU367" s="6"/>
      <c r="CV367" s="6"/>
      <c r="DA367" s="6"/>
      <c r="DE367" s="6"/>
      <c r="DF367" s="6"/>
      <c r="DK367" s="6"/>
      <c r="DV367" s="6"/>
      <c r="DW367" s="6"/>
      <c r="EB367" s="6"/>
      <c r="EF367" s="6"/>
      <c r="EG367" s="6"/>
      <c r="EL367" s="6"/>
      <c r="EW367" s="6"/>
      <c r="EX367" s="6"/>
      <c r="FC367" s="6"/>
      <c r="FG367" s="6"/>
      <c r="FH367" s="6"/>
      <c r="FM367" s="6"/>
      <c r="FX367" s="6"/>
      <c r="FY367" s="6"/>
      <c r="GD367" s="6"/>
      <c r="GH367" s="6"/>
      <c r="GI367" s="6"/>
      <c r="GN367" s="6"/>
      <c r="GY367" s="6"/>
      <c r="GZ367" s="6"/>
      <c r="HE367" s="6"/>
      <c r="HI367" s="6"/>
      <c r="HJ367" s="6"/>
      <c r="HO367" s="6"/>
      <c r="HZ367" s="6"/>
      <c r="IA367" s="6"/>
      <c r="IF367" s="6"/>
      <c r="IJ367" s="6"/>
      <c r="IK367" s="6"/>
      <c r="IP367" s="6"/>
      <c r="JA367" s="6"/>
      <c r="JB367" s="6"/>
      <c r="JG367" s="6"/>
      <c r="JK367" s="6"/>
      <c r="JL367" s="6"/>
      <c r="JQ367" s="6"/>
      <c r="KB367" s="6"/>
      <c r="KC367" s="6"/>
      <c r="KH367" s="6"/>
      <c r="KL367" s="6"/>
      <c r="KM367" s="6"/>
      <c r="KR367" s="6"/>
      <c r="LC367" s="6"/>
      <c r="LD367" s="6"/>
      <c r="LI367" s="6"/>
      <c r="LM367" s="6"/>
      <c r="LN367" s="6"/>
      <c r="LS367" s="6"/>
      <c r="MD367" s="6"/>
      <c r="ME367" s="6"/>
      <c r="MJ367" s="6"/>
      <c r="MN367" s="6"/>
      <c r="MO367" s="6"/>
      <c r="MT367" s="6"/>
      <c r="NE367" s="6"/>
      <c r="NF367" s="6"/>
      <c r="NK367" s="6"/>
      <c r="NO367" s="6"/>
      <c r="NP367" s="6"/>
      <c r="NU367" s="6"/>
      <c r="OF367" s="6"/>
      <c r="OG367" s="6"/>
      <c r="OL367" s="6"/>
      <c r="OP367" s="6"/>
      <c r="OQ367" s="6"/>
      <c r="OV367" s="6"/>
      <c r="PA367" s="8"/>
      <c r="PB367" s="8"/>
      <c r="PC367" s="8"/>
      <c r="PG367" s="6"/>
      <c r="PH367" s="6"/>
      <c r="PM367" s="6"/>
      <c r="PQ367" s="6"/>
      <c r="PR367" s="6"/>
      <c r="PW367" s="6"/>
      <c r="QH367" s="6"/>
      <c r="QI367" s="6"/>
      <c r="QN367" s="6"/>
      <c r="QR367" s="6"/>
      <c r="QS367" s="6"/>
      <c r="QX367" s="6"/>
      <c r="RI367" s="6"/>
      <c r="RJ367" s="6"/>
      <c r="RO367" s="6"/>
      <c r="RS367" s="6"/>
      <c r="RT367" s="6"/>
      <c r="RY367" s="6"/>
      <c r="SJ367" s="6"/>
      <c r="SK367" s="6"/>
      <c r="SP367" s="6"/>
      <c r="ST367" s="6"/>
      <c r="SU367" s="6"/>
      <c r="SZ367" s="6"/>
    </row>
    <row r="368" spans="18:520" x14ac:dyDescent="0.3">
      <c r="S368" s="6"/>
      <c r="T368" s="6"/>
      <c r="U368" s="6"/>
      <c r="W368" s="6"/>
      <c r="AA368" s="6"/>
      <c r="AB368" s="6"/>
      <c r="AH368" s="6"/>
      <c r="AT368" s="6"/>
      <c r="AY368" s="6"/>
      <c r="BC368" s="6"/>
      <c r="BD368" s="6"/>
      <c r="BI368" s="6"/>
      <c r="BT368" s="6"/>
      <c r="BU368" s="6"/>
      <c r="BZ368" s="6"/>
      <c r="CD368" s="6"/>
      <c r="CE368" s="6"/>
      <c r="CJ368" s="6"/>
      <c r="CU368" s="6"/>
      <c r="CV368" s="6"/>
      <c r="DA368" s="6"/>
      <c r="DE368" s="6"/>
      <c r="DF368" s="6"/>
      <c r="DK368" s="6"/>
      <c r="DV368" s="6"/>
      <c r="DW368" s="6"/>
      <c r="EB368" s="6"/>
      <c r="EF368" s="6"/>
      <c r="EG368" s="6"/>
      <c r="EL368" s="6"/>
      <c r="EW368" s="6"/>
      <c r="EX368" s="6"/>
      <c r="FC368" s="6"/>
      <c r="FG368" s="6"/>
      <c r="FH368" s="6"/>
      <c r="FM368" s="6"/>
      <c r="FX368" s="6"/>
      <c r="FY368" s="6"/>
      <c r="GD368" s="6"/>
      <c r="GH368" s="6"/>
      <c r="GI368" s="6"/>
      <c r="GN368" s="6"/>
      <c r="GY368" s="6"/>
      <c r="GZ368" s="6"/>
      <c r="HE368" s="6"/>
      <c r="HI368" s="6"/>
      <c r="HJ368" s="6"/>
      <c r="HO368" s="6"/>
      <c r="HZ368" s="6"/>
      <c r="IA368" s="6"/>
      <c r="IF368" s="6"/>
      <c r="IJ368" s="6"/>
      <c r="IK368" s="6"/>
      <c r="IP368" s="6"/>
      <c r="JA368" s="6"/>
      <c r="JB368" s="6"/>
      <c r="JG368" s="6"/>
      <c r="JK368" s="6"/>
      <c r="JL368" s="6"/>
      <c r="JQ368" s="6"/>
      <c r="KB368" s="6"/>
      <c r="KC368" s="6"/>
      <c r="KH368" s="6"/>
      <c r="KL368" s="6"/>
      <c r="KM368" s="6"/>
      <c r="KR368" s="6"/>
      <c r="LC368" s="6"/>
      <c r="LD368" s="6"/>
      <c r="LI368" s="6"/>
      <c r="LM368" s="6"/>
      <c r="LN368" s="6"/>
      <c r="LS368" s="6"/>
      <c r="MD368" s="6"/>
      <c r="ME368" s="6"/>
      <c r="MJ368" s="6"/>
      <c r="MN368" s="6"/>
      <c r="MO368" s="6"/>
      <c r="MT368" s="6"/>
      <c r="NE368" s="6"/>
      <c r="NF368" s="6"/>
      <c r="NK368" s="6"/>
      <c r="NO368" s="6"/>
      <c r="NP368" s="6"/>
      <c r="NU368" s="6"/>
      <c r="OF368" s="6"/>
      <c r="OG368" s="6"/>
      <c r="OL368" s="6"/>
      <c r="OP368" s="6"/>
      <c r="OQ368" s="6"/>
      <c r="OV368" s="6"/>
      <c r="QH368" s="6"/>
      <c r="QI368" s="6"/>
      <c r="QN368" s="6"/>
      <c r="QR368" s="6"/>
      <c r="QS368" s="6"/>
      <c r="QX368" s="6"/>
      <c r="RI368" s="6"/>
      <c r="RJ368" s="6"/>
      <c r="RO368" s="6"/>
      <c r="RS368" s="6"/>
      <c r="RT368" s="6"/>
      <c r="RY368" s="6"/>
      <c r="SJ368" s="6"/>
      <c r="SK368" s="6"/>
      <c r="SP368" s="6"/>
      <c r="ST368" s="6"/>
      <c r="SU368" s="6"/>
      <c r="SZ368" s="6"/>
    </row>
    <row r="369" spans="12:520" x14ac:dyDescent="0.3">
      <c r="S369" s="6"/>
      <c r="T369" s="6"/>
      <c r="U369" s="6"/>
      <c r="W369" s="6"/>
      <c r="AA369" s="6"/>
      <c r="AB369" s="6"/>
      <c r="AH369" s="6"/>
      <c r="AR369" s="6"/>
      <c r="AS369" s="7"/>
      <c r="AT369" s="6"/>
      <c r="AY369" s="6"/>
      <c r="BC369" s="6"/>
      <c r="BD369" s="6"/>
      <c r="BI369" s="6"/>
      <c r="BT369" s="6"/>
      <c r="BU369" s="6"/>
      <c r="BZ369" s="6"/>
      <c r="CD369" s="6"/>
      <c r="CE369" s="6"/>
      <c r="CJ369" s="6"/>
      <c r="CU369" s="6"/>
      <c r="CV369" s="6"/>
      <c r="DA369" s="6"/>
      <c r="DE369" s="6"/>
      <c r="DF369" s="6"/>
      <c r="DK369" s="6"/>
      <c r="DV369" s="6"/>
      <c r="DW369" s="6"/>
      <c r="EB369" s="6"/>
      <c r="EF369" s="6"/>
      <c r="EG369" s="6"/>
      <c r="EL369" s="6"/>
      <c r="EW369" s="6"/>
      <c r="EX369" s="6"/>
      <c r="FC369" s="6"/>
      <c r="FG369" s="6"/>
      <c r="FH369" s="6"/>
      <c r="FM369" s="6"/>
      <c r="FX369" s="6"/>
      <c r="FY369" s="6"/>
      <c r="GD369" s="6"/>
      <c r="GH369" s="6"/>
      <c r="GI369" s="6"/>
      <c r="GN369" s="6"/>
      <c r="GY369" s="6"/>
      <c r="GZ369" s="6"/>
      <c r="HE369" s="6"/>
      <c r="HI369" s="6"/>
      <c r="HJ369" s="6"/>
      <c r="HO369" s="6"/>
      <c r="HZ369" s="6"/>
      <c r="IA369" s="6"/>
      <c r="IF369" s="6"/>
      <c r="IJ369" s="6"/>
      <c r="IK369" s="6"/>
      <c r="IP369" s="6"/>
      <c r="JA369" s="6"/>
      <c r="JB369" s="6"/>
      <c r="JG369" s="6"/>
      <c r="JK369" s="6"/>
      <c r="JL369" s="6"/>
      <c r="JQ369" s="6"/>
      <c r="KB369" s="6"/>
      <c r="KC369" s="6"/>
      <c r="KH369" s="6"/>
      <c r="KL369" s="6"/>
      <c r="KM369" s="6"/>
      <c r="KR369" s="6"/>
      <c r="KW369" s="8"/>
      <c r="KX369" s="8"/>
      <c r="KY369" s="8"/>
      <c r="LC369" s="6"/>
      <c r="LD369" s="6"/>
      <c r="LI369" s="6"/>
      <c r="LM369" s="6"/>
      <c r="LN369" s="6"/>
      <c r="LS369" s="6"/>
      <c r="MD369" s="6"/>
      <c r="ME369" s="6"/>
      <c r="MJ369" s="6"/>
      <c r="MN369" s="6"/>
      <c r="MO369" s="6"/>
      <c r="MT369" s="6"/>
      <c r="NE369" s="6"/>
      <c r="NF369" s="6"/>
      <c r="NK369" s="6"/>
      <c r="NO369" s="6"/>
      <c r="NP369" s="6"/>
      <c r="NU369" s="6"/>
      <c r="OF369" s="6"/>
      <c r="OG369" s="6"/>
      <c r="OL369" s="6"/>
      <c r="OP369" s="6"/>
      <c r="OQ369" s="6"/>
      <c r="OV369" s="6"/>
      <c r="QH369" s="6"/>
      <c r="QI369" s="6"/>
      <c r="QN369" s="6"/>
      <c r="QR369" s="6"/>
      <c r="QS369" s="6"/>
      <c r="QX369" s="6"/>
      <c r="RI369" s="6"/>
      <c r="RJ369" s="6"/>
      <c r="RO369" s="6"/>
      <c r="RS369" s="6"/>
      <c r="RT369" s="6"/>
      <c r="RY369" s="6"/>
      <c r="SJ369" s="6"/>
      <c r="SK369" s="6"/>
      <c r="SP369" s="6"/>
      <c r="ST369" s="6"/>
      <c r="SU369" s="6"/>
      <c r="SZ369" s="6"/>
    </row>
    <row r="370" spans="12:520" x14ac:dyDescent="0.3">
      <c r="S370" s="6"/>
      <c r="T370" s="6"/>
      <c r="U370" s="6"/>
      <c r="W370" s="6"/>
      <c r="AA370" s="6"/>
      <c r="AB370" s="6"/>
      <c r="AH370" s="6"/>
      <c r="AS370" s="6"/>
      <c r="AT370" s="6"/>
      <c r="AY370" s="6"/>
      <c r="BC370" s="6"/>
      <c r="BD370" s="6"/>
      <c r="BI370" s="6"/>
      <c r="BT370" s="6"/>
      <c r="BU370" s="6"/>
      <c r="BZ370" s="6"/>
      <c r="CD370" s="6"/>
      <c r="CE370" s="6"/>
      <c r="CJ370" s="6"/>
      <c r="CU370" s="6"/>
      <c r="CV370" s="6"/>
      <c r="DA370" s="6"/>
      <c r="DE370" s="6"/>
      <c r="DF370" s="6"/>
      <c r="DK370" s="6"/>
      <c r="DV370" s="6"/>
      <c r="DW370" s="6"/>
      <c r="EB370" s="6"/>
      <c r="EF370" s="6"/>
      <c r="EG370" s="6"/>
      <c r="EL370" s="6"/>
      <c r="EW370" s="6"/>
      <c r="EX370" s="6"/>
      <c r="FC370" s="6"/>
      <c r="FG370" s="6"/>
      <c r="FH370" s="6"/>
      <c r="FM370" s="6"/>
      <c r="FX370" s="6"/>
      <c r="FY370" s="6"/>
      <c r="GD370" s="6"/>
      <c r="GH370" s="6"/>
      <c r="GI370" s="6"/>
      <c r="GN370" s="6"/>
      <c r="GY370" s="6"/>
      <c r="GZ370" s="6"/>
      <c r="HE370" s="6"/>
      <c r="HI370" s="6"/>
      <c r="HJ370" s="6"/>
      <c r="HO370" s="6"/>
      <c r="HZ370" s="6"/>
      <c r="IA370" s="6"/>
      <c r="IF370" s="6"/>
      <c r="IJ370" s="6"/>
      <c r="IK370" s="6"/>
      <c r="IP370" s="6"/>
      <c r="JA370" s="6"/>
      <c r="JB370" s="6"/>
      <c r="JG370" s="6"/>
      <c r="JK370" s="6"/>
      <c r="JL370" s="6"/>
      <c r="JQ370" s="6"/>
      <c r="KB370" s="6"/>
      <c r="KC370" s="6"/>
      <c r="KH370" s="6"/>
      <c r="KL370" s="6"/>
      <c r="KM370" s="6"/>
      <c r="KR370" s="6"/>
      <c r="MD370" s="6"/>
      <c r="ME370" s="6"/>
      <c r="MJ370" s="6"/>
      <c r="MN370" s="6"/>
      <c r="MO370" s="6"/>
      <c r="MT370" s="6"/>
      <c r="NE370" s="6"/>
      <c r="NF370" s="6"/>
      <c r="NK370" s="6"/>
      <c r="NO370" s="6"/>
      <c r="NP370" s="6"/>
      <c r="NU370" s="6"/>
      <c r="OF370" s="6"/>
      <c r="OG370" s="6"/>
      <c r="OL370" s="6"/>
      <c r="OP370" s="6"/>
      <c r="OQ370" s="6"/>
      <c r="OV370" s="6"/>
      <c r="QH370" s="6"/>
      <c r="QI370" s="6"/>
      <c r="QN370" s="6"/>
      <c r="QR370" s="6"/>
      <c r="QS370" s="6"/>
      <c r="QX370" s="6"/>
      <c r="RI370" s="6"/>
      <c r="RJ370" s="6"/>
      <c r="RO370" s="6"/>
      <c r="RS370" s="6"/>
      <c r="RT370" s="6"/>
      <c r="RY370" s="6"/>
      <c r="SJ370" s="6"/>
      <c r="SK370" s="6"/>
      <c r="SP370" s="6"/>
      <c r="ST370" s="6"/>
      <c r="SU370" s="6"/>
      <c r="SZ370" s="6"/>
    </row>
    <row r="371" spans="12:520" x14ac:dyDescent="0.3">
      <c r="S371" s="6"/>
      <c r="T371" s="6"/>
      <c r="U371" s="6"/>
      <c r="W371" s="6"/>
      <c r="AA371" s="6"/>
      <c r="AB371" s="6"/>
      <c r="AH371" s="6"/>
      <c r="AS371" s="6"/>
      <c r="AT371" s="6"/>
      <c r="AY371" s="6"/>
      <c r="BC371" s="6"/>
      <c r="BD371" s="6"/>
      <c r="BI371" s="6"/>
      <c r="BT371" s="6"/>
      <c r="BU371" s="6"/>
      <c r="BZ371" s="6"/>
      <c r="CD371" s="6"/>
      <c r="CE371" s="6"/>
      <c r="CJ371" s="6"/>
      <c r="CU371" s="6"/>
      <c r="CV371" s="6"/>
      <c r="DA371" s="6"/>
      <c r="DE371" s="6"/>
      <c r="DF371" s="6"/>
      <c r="DK371" s="6"/>
      <c r="DP371" s="8"/>
      <c r="DQ371" s="8"/>
      <c r="DR371" s="8"/>
      <c r="DV371" s="6"/>
      <c r="DW371" s="6"/>
      <c r="EB371" s="6"/>
      <c r="EF371" s="6"/>
      <c r="EG371" s="6"/>
      <c r="EL371" s="6"/>
      <c r="EW371" s="6"/>
      <c r="EX371" s="6"/>
      <c r="FC371" s="6"/>
      <c r="FG371" s="6"/>
      <c r="FH371" s="6"/>
      <c r="FM371" s="6"/>
      <c r="FX371" s="6"/>
      <c r="FY371" s="6"/>
      <c r="GD371" s="6"/>
      <c r="GH371" s="6"/>
      <c r="GI371" s="6"/>
      <c r="GN371" s="6"/>
      <c r="GY371" s="6"/>
      <c r="GZ371" s="6"/>
      <c r="HE371" s="6"/>
      <c r="HI371" s="6"/>
      <c r="HJ371" s="6"/>
      <c r="HO371" s="6"/>
      <c r="HZ371" s="6"/>
      <c r="IA371" s="6"/>
      <c r="IF371" s="6"/>
      <c r="IJ371" s="6"/>
      <c r="IK371" s="6"/>
      <c r="IP371" s="6"/>
      <c r="JA371" s="6"/>
      <c r="JB371" s="6"/>
      <c r="JG371" s="6"/>
      <c r="JK371" s="6"/>
      <c r="JL371" s="6"/>
      <c r="JQ371" s="6"/>
      <c r="KB371" s="6"/>
      <c r="KC371" s="6"/>
      <c r="KH371" s="6"/>
      <c r="KL371" s="6"/>
      <c r="KM371" s="6"/>
      <c r="KR371" s="6"/>
      <c r="MD371" s="6"/>
      <c r="ME371" s="6"/>
      <c r="MJ371" s="6"/>
      <c r="MN371" s="6"/>
      <c r="MO371" s="6"/>
      <c r="MT371" s="6"/>
      <c r="NE371" s="6"/>
      <c r="NF371" s="6"/>
      <c r="NK371" s="6"/>
      <c r="NO371" s="6"/>
      <c r="NP371" s="6"/>
      <c r="NU371" s="6"/>
      <c r="OF371" s="6"/>
      <c r="OG371" s="6"/>
      <c r="OL371" s="6"/>
      <c r="OP371" s="6"/>
      <c r="OQ371" s="6"/>
      <c r="OV371" s="6"/>
      <c r="QH371" s="6"/>
      <c r="QI371" s="6"/>
      <c r="QN371" s="6"/>
      <c r="QR371" s="6"/>
      <c r="QS371" s="6"/>
      <c r="QX371" s="6"/>
      <c r="RI371" s="6"/>
      <c r="RJ371" s="6"/>
      <c r="RO371" s="6"/>
      <c r="RS371" s="6"/>
      <c r="RT371" s="6"/>
      <c r="RY371" s="6"/>
      <c r="SJ371" s="6"/>
      <c r="SK371" s="6"/>
      <c r="SP371" s="6"/>
      <c r="ST371" s="6"/>
      <c r="SU371" s="6"/>
      <c r="SZ371" s="6"/>
    </row>
    <row r="372" spans="12:520" x14ac:dyDescent="0.3">
      <c r="S372" s="6"/>
      <c r="T372" s="6"/>
      <c r="U372" s="6"/>
      <c r="W372" s="6"/>
      <c r="AA372" s="6"/>
      <c r="AB372" s="6"/>
      <c r="AH372" s="6"/>
      <c r="AS372" s="6"/>
      <c r="AT372" s="6"/>
      <c r="AY372" s="6"/>
      <c r="BC372" s="6"/>
      <c r="BD372" s="6"/>
      <c r="BI372" s="6"/>
      <c r="BT372" s="6"/>
      <c r="BU372" s="6"/>
      <c r="BZ372" s="6"/>
      <c r="CD372" s="6"/>
      <c r="CE372" s="6"/>
      <c r="CJ372" s="6"/>
      <c r="CU372" s="6"/>
      <c r="CV372" s="6"/>
      <c r="DA372" s="6"/>
      <c r="DE372" s="6"/>
      <c r="DF372" s="6"/>
      <c r="DK372" s="6"/>
      <c r="EW372" s="6"/>
      <c r="EX372" s="6"/>
      <c r="FC372" s="6"/>
      <c r="FG372" s="6"/>
      <c r="FH372" s="6"/>
      <c r="FM372" s="6"/>
      <c r="FX372" s="6"/>
      <c r="FY372" s="6"/>
      <c r="GD372" s="6"/>
      <c r="GH372" s="6"/>
      <c r="GI372" s="6"/>
      <c r="GN372" s="6"/>
      <c r="GY372" s="6"/>
      <c r="GZ372" s="6"/>
      <c r="HE372" s="6"/>
      <c r="HI372" s="6"/>
      <c r="HJ372" s="6"/>
      <c r="HO372" s="6"/>
      <c r="HZ372" s="6"/>
      <c r="IA372" s="6"/>
      <c r="IF372" s="6"/>
      <c r="IJ372" s="6"/>
      <c r="IK372" s="6"/>
      <c r="IP372" s="6"/>
      <c r="JA372" s="6"/>
      <c r="JB372" s="6"/>
      <c r="JG372" s="6"/>
      <c r="JK372" s="6"/>
      <c r="JL372" s="6"/>
      <c r="JQ372" s="6"/>
      <c r="KB372" s="6"/>
      <c r="KC372" s="6"/>
      <c r="KH372" s="6"/>
      <c r="KL372" s="6"/>
      <c r="KM372" s="6"/>
      <c r="KR372" s="6"/>
      <c r="MD372" s="6"/>
      <c r="ME372" s="6"/>
      <c r="MJ372" s="6"/>
      <c r="MN372" s="6"/>
      <c r="MO372" s="6"/>
      <c r="MT372" s="6"/>
      <c r="NE372" s="6"/>
      <c r="NF372" s="6"/>
      <c r="NK372" s="6"/>
      <c r="NO372" s="6"/>
      <c r="NP372" s="6"/>
      <c r="NU372" s="6"/>
      <c r="OF372" s="6"/>
      <c r="OG372" s="6"/>
      <c r="OL372" s="6"/>
      <c r="OP372" s="6"/>
      <c r="OQ372" s="6"/>
      <c r="OV372" s="6"/>
      <c r="QH372" s="6"/>
      <c r="QI372" s="6"/>
      <c r="QN372" s="6"/>
      <c r="QR372" s="6"/>
      <c r="QS372" s="6"/>
      <c r="QX372" s="6"/>
      <c r="RI372" s="6"/>
      <c r="RJ372" s="6"/>
      <c r="RO372" s="6"/>
      <c r="RS372" s="6"/>
      <c r="RT372" s="6"/>
      <c r="RY372" s="6"/>
      <c r="SJ372" s="6"/>
      <c r="SK372" s="6"/>
      <c r="SP372" s="6"/>
      <c r="ST372" s="6"/>
      <c r="SU372" s="6"/>
      <c r="SZ372" s="6"/>
    </row>
    <row r="373" spans="12:520" x14ac:dyDescent="0.3">
      <c r="S373" s="6"/>
      <c r="T373" s="6"/>
      <c r="U373" s="6"/>
      <c r="W373" s="6"/>
      <c r="AA373" s="6"/>
      <c r="AB373" s="6"/>
      <c r="AH373" s="6"/>
      <c r="AS373" s="6"/>
      <c r="AT373" s="6"/>
      <c r="AY373" s="6"/>
      <c r="BC373" s="6"/>
      <c r="BD373" s="6"/>
      <c r="BI373" s="6"/>
      <c r="BN373" s="8"/>
      <c r="BO373" s="8"/>
      <c r="BP373" s="8"/>
      <c r="BT373" s="6"/>
      <c r="BU373" s="6"/>
      <c r="BZ373" s="6"/>
      <c r="CD373" s="6"/>
      <c r="CE373" s="6"/>
      <c r="CJ373" s="6"/>
      <c r="CU373" s="6"/>
      <c r="CV373" s="6"/>
      <c r="DA373" s="6"/>
      <c r="DE373" s="6"/>
      <c r="DF373" s="6"/>
      <c r="DK373" s="6"/>
      <c r="EW373" s="6"/>
      <c r="EX373" s="6"/>
      <c r="FC373" s="6"/>
      <c r="FG373" s="6"/>
      <c r="FH373" s="6"/>
      <c r="FM373" s="6"/>
      <c r="FX373" s="6"/>
      <c r="FY373" s="6"/>
      <c r="GD373" s="6"/>
      <c r="GH373" s="6"/>
      <c r="GI373" s="6"/>
      <c r="GN373" s="6"/>
      <c r="GY373" s="6"/>
      <c r="GZ373" s="6"/>
      <c r="HE373" s="6"/>
      <c r="HI373" s="6"/>
      <c r="HJ373" s="6"/>
      <c r="HO373" s="6"/>
      <c r="HZ373" s="6"/>
      <c r="IA373" s="6"/>
      <c r="IF373" s="6"/>
      <c r="IJ373" s="6"/>
      <c r="IK373" s="6"/>
      <c r="IP373" s="6"/>
      <c r="JA373" s="6"/>
      <c r="JB373" s="6"/>
      <c r="JG373" s="6"/>
      <c r="JK373" s="6"/>
      <c r="JL373" s="6"/>
      <c r="JQ373" s="6"/>
      <c r="KB373" s="6"/>
      <c r="KC373" s="6"/>
      <c r="KH373" s="6"/>
      <c r="KL373" s="6"/>
      <c r="KM373" s="6"/>
      <c r="KR373" s="6"/>
      <c r="MD373" s="6"/>
      <c r="ME373" s="6"/>
      <c r="MJ373" s="6"/>
      <c r="MN373" s="6"/>
      <c r="MO373" s="6"/>
      <c r="MT373" s="6"/>
      <c r="NE373" s="6"/>
      <c r="NF373" s="6"/>
      <c r="NK373" s="6"/>
      <c r="NO373" s="6"/>
      <c r="NP373" s="6"/>
      <c r="NU373" s="6"/>
      <c r="OF373" s="6"/>
      <c r="OG373" s="6"/>
      <c r="OL373" s="6"/>
      <c r="OP373" s="6"/>
      <c r="OQ373" s="6"/>
      <c r="OV373" s="6"/>
      <c r="QH373" s="6"/>
      <c r="QI373" s="6"/>
      <c r="QN373" s="6"/>
      <c r="QR373" s="6"/>
      <c r="QS373" s="6"/>
      <c r="QX373" s="6"/>
      <c r="RI373" s="6"/>
      <c r="RJ373" s="6"/>
      <c r="RO373" s="6"/>
      <c r="RS373" s="6"/>
      <c r="RT373" s="6"/>
      <c r="RY373" s="6"/>
      <c r="SJ373" s="6"/>
      <c r="SK373" s="6"/>
      <c r="SP373" s="6"/>
      <c r="ST373" s="6"/>
      <c r="SU373" s="6"/>
      <c r="SZ373" s="6"/>
    </row>
    <row r="374" spans="12:520" x14ac:dyDescent="0.3">
      <c r="S374" s="6"/>
      <c r="T374" s="6"/>
      <c r="U374" s="6"/>
      <c r="W374" s="6"/>
      <c r="AA374" s="6"/>
      <c r="AB374" s="6"/>
      <c r="AH374" s="6"/>
      <c r="AS374" s="6"/>
      <c r="AT374" s="6"/>
      <c r="AY374" s="6"/>
      <c r="BC374" s="6"/>
      <c r="BD374" s="6"/>
      <c r="BI374" s="6"/>
      <c r="CU374" s="6"/>
      <c r="CV374" s="6"/>
      <c r="DA374" s="6"/>
      <c r="DE374" s="6"/>
      <c r="DF374" s="6"/>
      <c r="DK374" s="6"/>
      <c r="EW374" s="6"/>
      <c r="EX374" s="6"/>
      <c r="FC374" s="6"/>
      <c r="FG374" s="6"/>
      <c r="FH374" s="6"/>
      <c r="FM374" s="6"/>
      <c r="FX374" s="6"/>
      <c r="FY374" s="6"/>
      <c r="GD374" s="6"/>
      <c r="GH374" s="6"/>
      <c r="GI374" s="6"/>
      <c r="GN374" s="6"/>
      <c r="GY374" s="6"/>
      <c r="GZ374" s="6"/>
      <c r="HE374" s="6"/>
      <c r="HI374" s="6"/>
      <c r="HJ374" s="6"/>
      <c r="HO374" s="6"/>
      <c r="HZ374" s="6"/>
      <c r="IA374" s="6"/>
      <c r="IF374" s="6"/>
      <c r="IJ374" s="6"/>
      <c r="IK374" s="6"/>
      <c r="IP374" s="6"/>
      <c r="JA374" s="6"/>
      <c r="JB374" s="6"/>
      <c r="JG374" s="6"/>
      <c r="JK374" s="6"/>
      <c r="JL374" s="6"/>
      <c r="JQ374" s="6"/>
      <c r="KB374" s="6"/>
      <c r="KC374" s="6"/>
      <c r="KH374" s="6"/>
      <c r="KL374" s="6"/>
      <c r="KM374" s="6"/>
      <c r="KR374" s="6"/>
      <c r="MD374" s="6"/>
      <c r="ME374" s="6"/>
      <c r="MJ374" s="6"/>
      <c r="MN374" s="6"/>
      <c r="MO374" s="6"/>
      <c r="MT374" s="6"/>
      <c r="NE374" s="6"/>
      <c r="NF374" s="6"/>
      <c r="NK374" s="6"/>
      <c r="NO374" s="6"/>
      <c r="NP374" s="6"/>
      <c r="NU374" s="6"/>
      <c r="OF374" s="6"/>
      <c r="OG374" s="6"/>
      <c r="OL374" s="6"/>
      <c r="OP374" s="6"/>
      <c r="OQ374" s="6"/>
      <c r="OV374" s="6"/>
      <c r="QH374" s="6"/>
      <c r="QI374" s="6"/>
      <c r="QN374" s="6"/>
      <c r="QR374" s="6"/>
      <c r="QS374" s="6"/>
      <c r="QX374" s="6"/>
      <c r="RI374" s="6"/>
      <c r="RJ374" s="6"/>
      <c r="RO374" s="6"/>
      <c r="RS374" s="6"/>
      <c r="RT374" s="6"/>
      <c r="RY374" s="6"/>
      <c r="SJ374" s="6"/>
      <c r="SK374" s="6"/>
      <c r="SP374" s="6"/>
      <c r="ST374" s="6"/>
      <c r="SU374" s="6"/>
      <c r="SZ374" s="6"/>
    </row>
    <row r="375" spans="12:520" x14ac:dyDescent="0.3">
      <c r="S375" s="6"/>
      <c r="T375" s="6"/>
      <c r="U375" s="6"/>
      <c r="W375" s="6"/>
      <c r="AA375" s="6"/>
      <c r="AB375" s="6"/>
      <c r="AH375" s="6"/>
      <c r="AS375" s="6"/>
      <c r="AT375" s="6"/>
      <c r="AY375" s="6"/>
      <c r="BC375" s="6"/>
      <c r="BD375" s="6"/>
      <c r="BI375" s="6"/>
      <c r="CU375" s="6"/>
      <c r="CV375" s="6"/>
      <c r="DA375" s="6"/>
      <c r="DE375" s="6"/>
      <c r="DF375" s="6"/>
      <c r="DK375" s="6"/>
      <c r="EQ375" s="8"/>
      <c r="ER375" s="8"/>
      <c r="ES375" s="8"/>
      <c r="EW375" s="6"/>
      <c r="EX375" s="6"/>
      <c r="FC375" s="6"/>
      <c r="FG375" s="6"/>
      <c r="FH375" s="6"/>
      <c r="FM375" s="6"/>
      <c r="FX375" s="6"/>
      <c r="FY375" s="6"/>
      <c r="GD375" s="6"/>
      <c r="GH375" s="6"/>
      <c r="GI375" s="6"/>
      <c r="GN375" s="6"/>
      <c r="GY375" s="6"/>
      <c r="GZ375" s="6"/>
      <c r="HE375" s="6"/>
      <c r="HI375" s="6"/>
      <c r="HJ375" s="6"/>
      <c r="HO375" s="6"/>
      <c r="HZ375" s="6"/>
      <c r="IA375" s="6"/>
      <c r="IF375" s="6"/>
      <c r="IJ375" s="6"/>
      <c r="IK375" s="6"/>
      <c r="IP375" s="6"/>
      <c r="JA375" s="6"/>
      <c r="JB375" s="6"/>
      <c r="JG375" s="6"/>
      <c r="JK375" s="6"/>
      <c r="JL375" s="6"/>
      <c r="JQ375" s="6"/>
      <c r="KB375" s="6"/>
      <c r="KC375" s="6"/>
      <c r="KH375" s="6"/>
      <c r="KL375" s="6"/>
      <c r="KM375" s="6"/>
      <c r="KR375" s="6"/>
      <c r="MD375" s="6"/>
      <c r="ME375" s="6"/>
      <c r="MJ375" s="6"/>
      <c r="MN375" s="6"/>
      <c r="MO375" s="6"/>
      <c r="MT375" s="6"/>
      <c r="NE375" s="6"/>
      <c r="NF375" s="6"/>
      <c r="NK375" s="6"/>
      <c r="NO375" s="6"/>
      <c r="NP375" s="6"/>
      <c r="NU375" s="6"/>
      <c r="OF375" s="6"/>
      <c r="OG375" s="6"/>
      <c r="OL375" s="6"/>
      <c r="OP375" s="6"/>
      <c r="OQ375" s="6"/>
      <c r="OV375" s="6"/>
      <c r="QH375" s="6"/>
      <c r="QI375" s="6"/>
      <c r="QN375" s="6"/>
      <c r="QR375" s="6"/>
      <c r="QS375" s="6"/>
      <c r="QX375" s="6"/>
      <c r="RI375" s="6"/>
      <c r="RJ375" s="6"/>
      <c r="RO375" s="6"/>
      <c r="RS375" s="6"/>
      <c r="RT375" s="6"/>
      <c r="RY375" s="6"/>
      <c r="SJ375" s="6"/>
      <c r="SK375" s="6"/>
      <c r="SP375" s="6"/>
      <c r="ST375" s="6"/>
      <c r="SU375" s="6"/>
      <c r="SZ375" s="6"/>
    </row>
    <row r="376" spans="12:520" x14ac:dyDescent="0.3">
      <c r="L376" s="8"/>
      <c r="M376" s="8"/>
      <c r="N376" s="8"/>
      <c r="S376" s="6"/>
      <c r="T376" s="6"/>
      <c r="U376" s="6"/>
      <c r="W376" s="6"/>
      <c r="AA376" s="6"/>
      <c r="AB376" s="6"/>
      <c r="AH376" s="6"/>
      <c r="AS376" s="6"/>
      <c r="AT376" s="6"/>
      <c r="AY376" s="6"/>
      <c r="BC376" s="6"/>
      <c r="BD376" s="6"/>
      <c r="BI376" s="6"/>
      <c r="CO376" s="8"/>
      <c r="CP376" s="8"/>
      <c r="CQ376" s="8"/>
      <c r="CU376" s="6"/>
      <c r="CV376" s="6"/>
      <c r="DA376" s="6"/>
      <c r="DE376" s="6"/>
      <c r="DF376" s="6"/>
      <c r="DK376" s="6"/>
      <c r="FR376" s="8"/>
      <c r="FS376" s="8"/>
      <c r="FT376" s="8"/>
      <c r="FX376" s="6"/>
      <c r="FY376" s="6"/>
      <c r="GD376" s="6"/>
      <c r="GH376" s="6"/>
      <c r="GI376" s="6"/>
      <c r="GN376" s="6"/>
      <c r="GS376" s="8"/>
      <c r="GT376" s="8"/>
      <c r="GU376" s="8"/>
      <c r="GY376" s="6"/>
      <c r="GZ376" s="6"/>
      <c r="HE376" s="6"/>
      <c r="HI376" s="6"/>
      <c r="HJ376" s="6"/>
      <c r="HO376" s="6"/>
      <c r="HT376" s="8"/>
      <c r="HU376" s="8"/>
      <c r="HV376" s="8"/>
      <c r="HZ376" s="6"/>
      <c r="IA376" s="6"/>
      <c r="IF376" s="6"/>
      <c r="IJ376" s="6"/>
      <c r="IK376" s="6"/>
      <c r="IP376" s="6"/>
      <c r="IU376" s="8"/>
      <c r="IV376" s="8"/>
      <c r="IW376" s="8"/>
      <c r="JA376" s="6"/>
      <c r="JB376" s="6"/>
      <c r="JG376" s="6"/>
      <c r="JK376" s="6"/>
      <c r="JL376" s="6"/>
      <c r="JQ376" s="6"/>
      <c r="JV376" s="8"/>
      <c r="JW376" s="8"/>
      <c r="JX376" s="8"/>
      <c r="KB376" s="6"/>
      <c r="KC376" s="6"/>
      <c r="KH376" s="6"/>
      <c r="KL376" s="6"/>
      <c r="KM376" s="6"/>
      <c r="KR376" s="6"/>
      <c r="LX376" s="8"/>
      <c r="LY376" s="8"/>
      <c r="LZ376" s="8"/>
      <c r="MD376" s="6"/>
      <c r="ME376" s="6"/>
      <c r="MJ376" s="6"/>
      <c r="MN376" s="6"/>
      <c r="MO376" s="6"/>
      <c r="MT376" s="6"/>
      <c r="MY376" s="8"/>
      <c r="MZ376" s="8"/>
      <c r="NA376" s="8"/>
      <c r="NE376" s="6"/>
      <c r="NF376" s="6"/>
      <c r="NK376" s="6"/>
      <c r="NO376" s="6"/>
      <c r="NP376" s="6"/>
      <c r="NU376" s="6"/>
      <c r="NZ376" s="8"/>
      <c r="OA376" s="8"/>
      <c r="OB376" s="8"/>
      <c r="OF376" s="6"/>
      <c r="OG376" s="6"/>
      <c r="OL376" s="6"/>
      <c r="OP376" s="6"/>
      <c r="OQ376" s="6"/>
      <c r="OV376" s="6"/>
      <c r="QB376" s="8"/>
      <c r="QC376" s="8"/>
      <c r="QD376" s="8"/>
      <c r="QH376" s="6"/>
      <c r="QI376" s="6"/>
      <c r="QN376" s="6"/>
      <c r="QR376" s="6"/>
      <c r="QS376" s="6"/>
      <c r="QX376" s="6"/>
      <c r="RC376" s="8"/>
      <c r="RD376" s="8"/>
      <c r="RE376" s="8"/>
      <c r="RI376" s="6"/>
      <c r="RJ376" s="6"/>
      <c r="RO376" s="6"/>
      <c r="RS376" s="6"/>
      <c r="RT376" s="6"/>
      <c r="RY376" s="6"/>
      <c r="SD376" s="8"/>
      <c r="SE376" s="8"/>
      <c r="SF376" s="8"/>
      <c r="SJ376" s="6"/>
      <c r="SK376" s="6"/>
      <c r="SP376" s="6"/>
      <c r="ST376" s="6"/>
      <c r="SU376" s="6"/>
      <c r="SZ376" s="6"/>
    </row>
    <row r="377" spans="12:520" x14ac:dyDescent="0.3">
      <c r="AS377" s="6"/>
    </row>
    <row r="378" spans="12:520" x14ac:dyDescent="0.3">
      <c r="R378" s="6"/>
      <c r="S378" s="7"/>
      <c r="T378" s="7"/>
      <c r="Z378" s="6"/>
      <c r="AA378" s="7"/>
      <c r="AG378" s="6"/>
      <c r="AS378" s="6"/>
      <c r="AX378" s="6"/>
      <c r="BB378" s="6"/>
      <c r="BC378" s="7"/>
      <c r="BH378" s="6"/>
      <c r="BS378" s="6"/>
      <c r="BT378" s="7"/>
      <c r="BY378" s="6"/>
      <c r="CC378" s="6"/>
      <c r="CD378" s="7"/>
      <c r="CI378" s="6"/>
      <c r="CT378" s="6"/>
      <c r="CU378" s="7"/>
      <c r="CZ378" s="6"/>
      <c r="DD378" s="6"/>
      <c r="DE378" s="7"/>
      <c r="DJ378" s="6"/>
      <c r="DU378" s="6"/>
      <c r="DV378" s="7"/>
      <c r="EA378" s="6"/>
      <c r="EE378" s="6"/>
      <c r="EF378" s="7"/>
      <c r="EK378" s="6"/>
      <c r="EV378" s="6"/>
      <c r="EW378" s="7"/>
      <c r="FB378" s="6"/>
      <c r="FF378" s="6"/>
      <c r="FG378" s="7"/>
      <c r="FL378" s="6"/>
      <c r="FW378" s="6"/>
      <c r="FX378" s="7"/>
      <c r="GC378" s="6"/>
      <c r="GG378" s="6"/>
      <c r="GH378" s="7"/>
      <c r="GM378" s="6"/>
      <c r="GX378" s="6"/>
      <c r="GY378" s="7"/>
      <c r="HD378" s="6"/>
      <c r="HH378" s="6"/>
      <c r="HI378" s="7"/>
      <c r="HN378" s="6"/>
      <c r="HY378" s="6"/>
      <c r="HZ378" s="7"/>
      <c r="IE378" s="6"/>
      <c r="II378" s="6"/>
      <c r="IJ378" s="7"/>
      <c r="IO378" s="6"/>
      <c r="IZ378" s="6"/>
      <c r="JA378" s="7"/>
      <c r="JF378" s="6"/>
      <c r="JJ378" s="6"/>
      <c r="JK378" s="7"/>
      <c r="JP378" s="6"/>
      <c r="KA378" s="6"/>
      <c r="KB378" s="7"/>
      <c r="KG378" s="6"/>
      <c r="KK378" s="6"/>
      <c r="KL378" s="7"/>
      <c r="KQ378" s="6"/>
      <c r="LB378" s="6"/>
      <c r="LC378" s="7"/>
      <c r="LH378" s="6"/>
      <c r="LL378" s="6"/>
      <c r="LM378" s="7"/>
      <c r="LR378" s="6"/>
      <c r="MC378" s="6"/>
      <c r="MD378" s="7"/>
      <c r="MI378" s="6"/>
      <c r="MM378" s="6"/>
      <c r="MN378" s="7"/>
      <c r="MS378" s="6"/>
      <c r="ND378" s="6"/>
      <c r="NE378" s="7"/>
      <c r="NJ378" s="6"/>
      <c r="NN378" s="6"/>
      <c r="NO378" s="7"/>
      <c r="NT378" s="6"/>
      <c r="OE378" s="6"/>
      <c r="OF378" s="7"/>
      <c r="OK378" s="6"/>
      <c r="OO378" s="6"/>
      <c r="OP378" s="7"/>
      <c r="OU378" s="6"/>
      <c r="PF378" s="6"/>
      <c r="PG378" s="7"/>
      <c r="PL378" s="6"/>
      <c r="PP378" s="6"/>
      <c r="PQ378" s="7"/>
      <c r="PV378" s="6"/>
      <c r="QG378" s="6"/>
      <c r="QH378" s="7"/>
      <c r="QM378" s="6"/>
      <c r="QQ378" s="6"/>
      <c r="QR378" s="7"/>
      <c r="QW378" s="6"/>
      <c r="RH378" s="6"/>
      <c r="RI378" s="7"/>
      <c r="RN378" s="6"/>
      <c r="RR378" s="6"/>
      <c r="RS378" s="7"/>
      <c r="RX378" s="6"/>
      <c r="SI378" s="6"/>
      <c r="SJ378" s="7"/>
      <c r="SO378" s="6"/>
      <c r="SS378" s="6"/>
      <c r="ST378" s="7"/>
      <c r="SY378" s="6"/>
    </row>
    <row r="379" spans="12:520" x14ac:dyDescent="0.3">
      <c r="O379" s="5"/>
      <c r="R379" s="5"/>
      <c r="S379" s="6"/>
      <c r="T379" s="6"/>
      <c r="U379" s="7"/>
      <c r="W379" s="6"/>
      <c r="X379" s="5"/>
      <c r="Z379" s="5"/>
      <c r="AA379" s="6"/>
      <c r="AB379" s="7"/>
      <c r="AG379" s="5"/>
      <c r="AH379" s="6"/>
      <c r="AS379" s="6"/>
      <c r="AT379" s="7"/>
      <c r="AW379" s="5"/>
      <c r="AY379" s="6"/>
      <c r="BC379" s="6"/>
      <c r="BD379" s="6"/>
      <c r="BI379" s="6"/>
      <c r="BT379" s="6"/>
      <c r="BU379" s="6"/>
      <c r="BZ379" s="6"/>
      <c r="CD379" s="6"/>
      <c r="CE379" s="6"/>
      <c r="CJ379" s="6"/>
      <c r="CU379" s="6"/>
      <c r="CV379" s="6"/>
      <c r="DA379" s="6"/>
      <c r="DE379" s="6"/>
      <c r="DF379" s="6"/>
      <c r="DK379" s="6"/>
      <c r="DV379" s="6"/>
      <c r="DW379" s="6"/>
      <c r="EB379" s="6"/>
      <c r="EF379" s="6"/>
      <c r="EG379" s="6"/>
      <c r="EL379" s="6"/>
      <c r="EW379" s="6"/>
      <c r="EX379" s="6"/>
      <c r="FC379" s="6"/>
      <c r="FG379" s="6"/>
      <c r="FH379" s="6"/>
      <c r="FM379" s="6"/>
      <c r="FX379" s="6"/>
      <c r="FY379" s="6"/>
      <c r="GD379" s="6"/>
      <c r="GH379" s="6"/>
      <c r="GI379" s="6"/>
      <c r="GN379" s="6"/>
      <c r="GY379" s="6"/>
      <c r="GZ379" s="6"/>
      <c r="HE379" s="6"/>
      <c r="HI379" s="6"/>
      <c r="HJ379" s="6"/>
      <c r="HO379" s="6"/>
      <c r="HZ379" s="6"/>
      <c r="IA379" s="6"/>
      <c r="IF379" s="6"/>
      <c r="IJ379" s="6"/>
      <c r="IK379" s="6"/>
      <c r="IP379" s="6"/>
      <c r="JA379" s="6"/>
      <c r="JB379" s="6"/>
      <c r="JG379" s="6"/>
      <c r="JK379" s="6"/>
      <c r="JL379" s="6"/>
      <c r="JQ379" s="6"/>
      <c r="KB379" s="6"/>
      <c r="KC379" s="6"/>
      <c r="KH379" s="6"/>
      <c r="KL379" s="6"/>
      <c r="KM379" s="6"/>
      <c r="KR379" s="6"/>
      <c r="LC379" s="6"/>
      <c r="LD379" s="6"/>
      <c r="LI379" s="6"/>
      <c r="LM379" s="6"/>
      <c r="LN379" s="6"/>
      <c r="LS379" s="6"/>
      <c r="MD379" s="6"/>
      <c r="ME379" s="6"/>
      <c r="MJ379" s="6"/>
      <c r="MN379" s="6"/>
      <c r="MO379" s="6"/>
      <c r="MT379" s="6"/>
      <c r="NE379" s="6"/>
      <c r="NF379" s="6"/>
      <c r="NK379" s="6"/>
      <c r="NO379" s="6"/>
      <c r="NP379" s="6"/>
      <c r="NU379" s="6"/>
      <c r="OF379" s="6"/>
      <c r="OG379" s="6"/>
      <c r="OL379" s="6"/>
      <c r="OP379" s="6"/>
      <c r="OQ379" s="6"/>
      <c r="OV379" s="6"/>
      <c r="PG379" s="6"/>
      <c r="PH379" s="6"/>
      <c r="PM379" s="6"/>
      <c r="PQ379" s="6"/>
      <c r="PR379" s="6"/>
      <c r="PW379" s="6"/>
      <c r="QH379" s="6"/>
      <c r="QI379" s="6"/>
      <c r="QN379" s="6"/>
      <c r="QR379" s="6"/>
      <c r="QS379" s="6"/>
      <c r="QX379" s="6"/>
      <c r="RI379" s="6"/>
      <c r="RJ379" s="6"/>
      <c r="RO379" s="6"/>
      <c r="RS379" s="6"/>
      <c r="RT379" s="6"/>
      <c r="RY379" s="6"/>
      <c r="SJ379" s="6"/>
      <c r="SK379" s="6"/>
      <c r="SP379" s="6"/>
      <c r="ST379" s="6"/>
      <c r="SU379" s="6"/>
      <c r="SZ379" s="6"/>
    </row>
    <row r="380" spans="12:520" x14ac:dyDescent="0.3">
      <c r="O380" s="5"/>
      <c r="R380" s="5"/>
      <c r="S380" s="6"/>
      <c r="T380" s="6"/>
      <c r="U380" s="7"/>
      <c r="W380" s="6"/>
      <c r="X380" s="5"/>
      <c r="Z380" s="5"/>
      <c r="AA380" s="6"/>
      <c r="AB380" s="7"/>
      <c r="AG380" s="5"/>
      <c r="AH380" s="6"/>
      <c r="AM380" s="8"/>
      <c r="AN380" s="8"/>
      <c r="AO380" s="8"/>
      <c r="AS380" s="6"/>
      <c r="AT380" s="7"/>
      <c r="AW380" s="5"/>
      <c r="AY380" s="6"/>
      <c r="BC380" s="6"/>
      <c r="BD380" s="6"/>
      <c r="BI380" s="6"/>
      <c r="BT380" s="6"/>
      <c r="BU380" s="6"/>
      <c r="BZ380" s="6"/>
      <c r="CD380" s="6"/>
      <c r="CE380" s="6"/>
      <c r="CJ380" s="6"/>
      <c r="CU380" s="6"/>
      <c r="CV380" s="6"/>
      <c r="DA380" s="6"/>
      <c r="DE380" s="6"/>
      <c r="DF380" s="6"/>
      <c r="DK380" s="6"/>
      <c r="DV380" s="6"/>
      <c r="DW380" s="6"/>
      <c r="EB380" s="6"/>
      <c r="EF380" s="6"/>
      <c r="EG380" s="6"/>
      <c r="EL380" s="6"/>
      <c r="EW380" s="6"/>
      <c r="EX380" s="6"/>
      <c r="FC380" s="6"/>
      <c r="FG380" s="6"/>
      <c r="FH380" s="6"/>
      <c r="FM380" s="6"/>
      <c r="FX380" s="6"/>
      <c r="FY380" s="6"/>
      <c r="GD380" s="6"/>
      <c r="GH380" s="6"/>
      <c r="GI380" s="6"/>
      <c r="GN380" s="6"/>
      <c r="GY380" s="6"/>
      <c r="GZ380" s="6"/>
      <c r="HE380" s="6"/>
      <c r="HI380" s="6"/>
      <c r="HJ380" s="6"/>
      <c r="HO380" s="6"/>
      <c r="HZ380" s="6"/>
      <c r="IA380" s="6"/>
      <c r="IF380" s="6"/>
      <c r="IJ380" s="6"/>
      <c r="IK380" s="6"/>
      <c r="IP380" s="6"/>
      <c r="JA380" s="6"/>
      <c r="JB380" s="6"/>
      <c r="JG380" s="6"/>
      <c r="JK380" s="6"/>
      <c r="JL380" s="6"/>
      <c r="JQ380" s="6"/>
      <c r="KB380" s="6"/>
      <c r="KC380" s="6"/>
      <c r="KH380" s="6"/>
      <c r="KL380" s="6"/>
      <c r="KM380" s="6"/>
      <c r="KR380" s="6"/>
      <c r="LC380" s="6"/>
      <c r="LD380" s="6"/>
      <c r="LI380" s="6"/>
      <c r="LM380" s="6"/>
      <c r="LN380" s="6"/>
      <c r="LS380" s="6"/>
      <c r="MD380" s="6"/>
      <c r="ME380" s="6"/>
      <c r="MJ380" s="6"/>
      <c r="MN380" s="6"/>
      <c r="MO380" s="6"/>
      <c r="MT380" s="6"/>
      <c r="NE380" s="6"/>
      <c r="NF380" s="6"/>
      <c r="NK380" s="6"/>
      <c r="NO380" s="6"/>
      <c r="NP380" s="6"/>
      <c r="NU380" s="6"/>
      <c r="OF380" s="6"/>
      <c r="OG380" s="6"/>
      <c r="OL380" s="6"/>
      <c r="OP380" s="6"/>
      <c r="OQ380" s="6"/>
      <c r="OV380" s="6"/>
      <c r="PA380" s="8"/>
      <c r="PB380" s="8"/>
      <c r="PC380" s="8"/>
      <c r="PG380" s="6"/>
      <c r="PH380" s="6"/>
      <c r="PM380" s="6"/>
      <c r="PQ380" s="6"/>
      <c r="PR380" s="6"/>
      <c r="PW380" s="6"/>
      <c r="QH380" s="6"/>
      <c r="QI380" s="6"/>
      <c r="QN380" s="6"/>
      <c r="QR380" s="6"/>
      <c r="QS380" s="6"/>
      <c r="QX380" s="6"/>
      <c r="RI380" s="6"/>
      <c r="RJ380" s="6"/>
      <c r="RO380" s="6"/>
      <c r="RS380" s="6"/>
      <c r="RT380" s="6"/>
      <c r="RY380" s="6"/>
      <c r="SJ380" s="6"/>
      <c r="SK380" s="6"/>
      <c r="SP380" s="6"/>
      <c r="ST380" s="6"/>
      <c r="SU380" s="6"/>
      <c r="SZ380" s="6"/>
    </row>
    <row r="381" spans="12:520" x14ac:dyDescent="0.3">
      <c r="O381" s="5"/>
      <c r="R381" s="5"/>
      <c r="S381" s="6"/>
      <c r="T381" s="6"/>
      <c r="U381" s="7"/>
      <c r="W381" s="6"/>
      <c r="X381" s="5"/>
      <c r="Z381" s="5"/>
      <c r="AA381" s="6"/>
      <c r="AB381" s="7"/>
      <c r="AG381" s="5"/>
      <c r="AH381" s="6"/>
      <c r="AT381" s="7"/>
      <c r="AW381" s="5"/>
      <c r="AY381" s="6"/>
      <c r="BC381" s="6"/>
      <c r="BD381" s="6"/>
      <c r="BI381" s="6"/>
      <c r="BT381" s="6"/>
      <c r="BU381" s="6"/>
      <c r="BZ381" s="6"/>
      <c r="CD381" s="6"/>
      <c r="CE381" s="6"/>
      <c r="CJ381" s="6"/>
      <c r="CU381" s="6"/>
      <c r="CV381" s="6"/>
      <c r="DA381" s="6"/>
      <c r="DE381" s="6"/>
      <c r="DF381" s="6"/>
      <c r="DK381" s="6"/>
      <c r="DV381" s="6"/>
      <c r="DW381" s="6"/>
      <c r="EB381" s="6"/>
      <c r="EF381" s="6"/>
      <c r="EG381" s="6"/>
      <c r="EL381" s="6"/>
      <c r="EW381" s="6"/>
      <c r="EX381" s="6"/>
      <c r="FC381" s="6"/>
      <c r="FG381" s="6"/>
      <c r="FH381" s="6"/>
      <c r="FM381" s="6"/>
      <c r="FX381" s="6"/>
      <c r="FY381" s="6"/>
      <c r="GD381" s="6"/>
      <c r="GH381" s="6"/>
      <c r="GI381" s="6"/>
      <c r="GN381" s="6"/>
      <c r="GY381" s="6"/>
      <c r="GZ381" s="6"/>
      <c r="HE381" s="6"/>
      <c r="HI381" s="6"/>
      <c r="HJ381" s="6"/>
      <c r="HO381" s="6"/>
      <c r="HZ381" s="6"/>
      <c r="IA381" s="6"/>
      <c r="IF381" s="6"/>
      <c r="IJ381" s="6"/>
      <c r="IK381" s="6"/>
      <c r="IP381" s="6"/>
      <c r="JA381" s="6"/>
      <c r="JB381" s="6"/>
      <c r="JG381" s="6"/>
      <c r="JK381" s="6"/>
      <c r="JL381" s="6"/>
      <c r="JQ381" s="6"/>
      <c r="KB381" s="6"/>
      <c r="KC381" s="6"/>
      <c r="KH381" s="6"/>
      <c r="KL381" s="6"/>
      <c r="KM381" s="6"/>
      <c r="KR381" s="6"/>
      <c r="LC381" s="6"/>
      <c r="LD381" s="6"/>
      <c r="LI381" s="6"/>
      <c r="LM381" s="6"/>
      <c r="LN381" s="6"/>
      <c r="LS381" s="6"/>
      <c r="MD381" s="6"/>
      <c r="ME381" s="6"/>
      <c r="MJ381" s="6"/>
      <c r="MN381" s="6"/>
      <c r="MO381" s="6"/>
      <c r="MT381" s="6"/>
      <c r="NE381" s="6"/>
      <c r="NF381" s="6"/>
      <c r="NK381" s="6"/>
      <c r="NO381" s="6"/>
      <c r="NP381" s="6"/>
      <c r="NU381" s="6"/>
      <c r="OF381" s="6"/>
      <c r="OG381" s="6"/>
      <c r="OL381" s="6"/>
      <c r="OP381" s="6"/>
      <c r="OQ381" s="6"/>
      <c r="OV381" s="6"/>
      <c r="QH381" s="6"/>
      <c r="QI381" s="6"/>
      <c r="QN381" s="6"/>
      <c r="QR381" s="6"/>
      <c r="QS381" s="6"/>
      <c r="QX381" s="6"/>
      <c r="RI381" s="6"/>
      <c r="RJ381" s="6"/>
      <c r="RO381" s="6"/>
      <c r="RS381" s="6"/>
      <c r="RT381" s="6"/>
      <c r="RY381" s="6"/>
      <c r="SJ381" s="6"/>
      <c r="SK381" s="6"/>
      <c r="SP381" s="6"/>
      <c r="ST381" s="6"/>
      <c r="SU381" s="6"/>
      <c r="SZ381" s="6"/>
    </row>
    <row r="382" spans="12:520" x14ac:dyDescent="0.3">
      <c r="O382" s="5"/>
      <c r="R382" s="5"/>
      <c r="S382" s="6"/>
      <c r="T382" s="6"/>
      <c r="U382" s="7"/>
      <c r="W382" s="6"/>
      <c r="X382" s="5"/>
      <c r="Z382" s="5"/>
      <c r="AA382" s="6"/>
      <c r="AB382" s="7"/>
      <c r="AG382" s="5"/>
      <c r="AH382" s="6"/>
      <c r="AR382" s="6"/>
      <c r="AS382" s="7"/>
      <c r="AT382" s="7"/>
      <c r="AW382" s="5"/>
      <c r="AY382" s="6"/>
      <c r="BC382" s="6"/>
      <c r="BD382" s="6"/>
      <c r="BI382" s="6"/>
      <c r="BT382" s="6"/>
      <c r="BU382" s="6"/>
      <c r="BZ382" s="6"/>
      <c r="CD382" s="6"/>
      <c r="CE382" s="6"/>
      <c r="CJ382" s="6"/>
      <c r="CU382" s="6"/>
      <c r="CV382" s="6"/>
      <c r="DA382" s="6"/>
      <c r="DE382" s="6"/>
      <c r="DF382" s="6"/>
      <c r="DK382" s="6"/>
      <c r="DV382" s="6"/>
      <c r="DW382" s="6"/>
      <c r="EB382" s="6"/>
      <c r="EF382" s="6"/>
      <c r="EG382" s="6"/>
      <c r="EL382" s="6"/>
      <c r="EW382" s="6"/>
      <c r="EX382" s="6"/>
      <c r="FC382" s="6"/>
      <c r="FG382" s="6"/>
      <c r="FH382" s="6"/>
      <c r="FM382" s="6"/>
      <c r="FX382" s="6"/>
      <c r="FY382" s="6"/>
      <c r="GD382" s="6"/>
      <c r="GH382" s="6"/>
      <c r="GI382" s="6"/>
      <c r="GN382" s="6"/>
      <c r="GY382" s="6"/>
      <c r="GZ382" s="6"/>
      <c r="HE382" s="6"/>
      <c r="HI382" s="6"/>
      <c r="HJ382" s="6"/>
      <c r="HO382" s="6"/>
      <c r="HZ382" s="6"/>
      <c r="IA382" s="6"/>
      <c r="IF382" s="6"/>
      <c r="IJ382" s="6"/>
      <c r="IK382" s="6"/>
      <c r="IP382" s="6"/>
      <c r="JA382" s="6"/>
      <c r="JB382" s="6"/>
      <c r="JG382" s="6"/>
      <c r="JK382" s="6"/>
      <c r="JL382" s="6"/>
      <c r="JQ382" s="6"/>
      <c r="KB382" s="6"/>
      <c r="KC382" s="6"/>
      <c r="KH382" s="6"/>
      <c r="KL382" s="6"/>
      <c r="KM382" s="6"/>
      <c r="KR382" s="6"/>
      <c r="KW382" s="8"/>
      <c r="KX382" s="8"/>
      <c r="KY382" s="8"/>
      <c r="LC382" s="6"/>
      <c r="LD382" s="6"/>
      <c r="LI382" s="6"/>
      <c r="LM382" s="6"/>
      <c r="LN382" s="6"/>
      <c r="LS382" s="6"/>
      <c r="MD382" s="6"/>
      <c r="ME382" s="6"/>
      <c r="MJ382" s="6"/>
      <c r="MN382" s="6"/>
      <c r="MO382" s="6"/>
      <c r="MT382" s="6"/>
      <c r="NE382" s="6"/>
      <c r="NF382" s="6"/>
      <c r="NK382" s="6"/>
      <c r="NO382" s="6"/>
      <c r="NP382" s="6"/>
      <c r="NU382" s="6"/>
      <c r="OF382" s="6"/>
      <c r="OG382" s="6"/>
      <c r="OL382" s="6"/>
      <c r="OP382" s="6"/>
      <c r="OQ382" s="6"/>
      <c r="OV382" s="6"/>
      <c r="QH382" s="6"/>
      <c r="QI382" s="6"/>
      <c r="QN382" s="6"/>
      <c r="QR382" s="6"/>
      <c r="QS382" s="6"/>
      <c r="QX382" s="6"/>
      <c r="RI382" s="6"/>
      <c r="RJ382" s="6"/>
      <c r="RO382" s="6"/>
      <c r="RS382" s="6"/>
      <c r="RT382" s="6"/>
      <c r="RY382" s="6"/>
      <c r="SJ382" s="6"/>
      <c r="SK382" s="6"/>
      <c r="SP382" s="6"/>
      <c r="ST382" s="6"/>
      <c r="SU382" s="6"/>
      <c r="SZ382" s="6"/>
    </row>
    <row r="383" spans="12:520" x14ac:dyDescent="0.3">
      <c r="O383" s="5"/>
      <c r="R383" s="5"/>
      <c r="S383" s="6"/>
      <c r="T383" s="6"/>
      <c r="U383" s="7"/>
      <c r="W383" s="6"/>
      <c r="X383" s="5"/>
      <c r="Z383" s="5"/>
      <c r="AA383" s="6"/>
      <c r="AB383" s="7"/>
      <c r="AG383" s="5"/>
      <c r="AH383" s="6"/>
      <c r="AQ383" s="5"/>
      <c r="AR383" s="5"/>
      <c r="AS383" s="6"/>
      <c r="AT383" s="7"/>
      <c r="AW383" s="5"/>
      <c r="AY383" s="6"/>
      <c r="BC383" s="6"/>
      <c r="BD383" s="6"/>
      <c r="BI383" s="6"/>
      <c r="BT383" s="6"/>
      <c r="BU383" s="6"/>
      <c r="BZ383" s="6"/>
      <c r="CD383" s="6"/>
      <c r="CE383" s="6"/>
      <c r="CJ383" s="6"/>
      <c r="CU383" s="6"/>
      <c r="CV383" s="6"/>
      <c r="DA383" s="6"/>
      <c r="DE383" s="6"/>
      <c r="DF383" s="6"/>
      <c r="DK383" s="6"/>
      <c r="DV383" s="6"/>
      <c r="DW383" s="6"/>
      <c r="EB383" s="6"/>
      <c r="EF383" s="6"/>
      <c r="EG383" s="6"/>
      <c r="EL383" s="6"/>
      <c r="EW383" s="6"/>
      <c r="EX383" s="6"/>
      <c r="FC383" s="6"/>
      <c r="FG383" s="6"/>
      <c r="FH383" s="6"/>
      <c r="FM383" s="6"/>
      <c r="FX383" s="6"/>
      <c r="FY383" s="6"/>
      <c r="GD383" s="6"/>
      <c r="GH383" s="6"/>
      <c r="GI383" s="6"/>
      <c r="GN383" s="6"/>
      <c r="GY383" s="6"/>
      <c r="GZ383" s="6"/>
      <c r="HE383" s="6"/>
      <c r="HI383" s="6"/>
      <c r="HJ383" s="6"/>
      <c r="HO383" s="6"/>
      <c r="HZ383" s="6"/>
      <c r="IA383" s="6"/>
      <c r="IF383" s="6"/>
      <c r="IJ383" s="6"/>
      <c r="IK383" s="6"/>
      <c r="IP383" s="6"/>
      <c r="JA383" s="6"/>
      <c r="JB383" s="6"/>
      <c r="JG383" s="6"/>
      <c r="JK383" s="6"/>
      <c r="JL383" s="6"/>
      <c r="JQ383" s="6"/>
      <c r="KB383" s="6"/>
      <c r="KC383" s="6"/>
      <c r="KH383" s="6"/>
      <c r="KL383" s="6"/>
      <c r="KM383" s="6"/>
      <c r="KR383" s="6"/>
      <c r="MD383" s="6"/>
      <c r="ME383" s="6"/>
      <c r="MJ383" s="6"/>
      <c r="MN383" s="6"/>
      <c r="MO383" s="6"/>
      <c r="MT383" s="6"/>
      <c r="NE383" s="6"/>
      <c r="NF383" s="6"/>
      <c r="NK383" s="6"/>
      <c r="NO383" s="6"/>
      <c r="NP383" s="6"/>
      <c r="NU383" s="6"/>
      <c r="OF383" s="6"/>
      <c r="OG383" s="6"/>
      <c r="OL383" s="6"/>
      <c r="OP383" s="6"/>
      <c r="OQ383" s="6"/>
      <c r="OV383" s="6"/>
      <c r="QH383" s="6"/>
      <c r="QI383" s="6"/>
      <c r="QN383" s="6"/>
      <c r="QR383" s="6"/>
      <c r="QS383" s="6"/>
      <c r="QX383" s="6"/>
      <c r="RI383" s="6"/>
      <c r="RJ383" s="6"/>
      <c r="RO383" s="6"/>
      <c r="RS383" s="6"/>
      <c r="RT383" s="6"/>
      <c r="RY383" s="6"/>
      <c r="SJ383" s="6"/>
      <c r="SK383" s="6"/>
      <c r="SP383" s="6"/>
      <c r="ST383" s="6"/>
      <c r="SU383" s="6"/>
      <c r="SZ383" s="6"/>
    </row>
    <row r="384" spans="12:520" x14ac:dyDescent="0.3">
      <c r="R384" s="5"/>
      <c r="S384" s="6"/>
      <c r="T384" s="6"/>
      <c r="U384" s="7"/>
      <c r="W384" s="6"/>
      <c r="Z384" s="5"/>
      <c r="AA384" s="6"/>
      <c r="AB384" s="7"/>
      <c r="AG384" s="5"/>
      <c r="AH384" s="6"/>
      <c r="AQ384" s="5"/>
      <c r="AR384" s="5"/>
      <c r="AS384" s="6"/>
      <c r="AT384" s="7"/>
      <c r="AW384" s="5"/>
      <c r="AY384" s="7"/>
      <c r="BC384" s="6"/>
      <c r="BD384" s="6"/>
      <c r="BI384" s="6"/>
      <c r="BT384" s="6"/>
      <c r="BU384" s="6"/>
      <c r="BZ384" s="6"/>
      <c r="CD384" s="6"/>
      <c r="CE384" s="6"/>
      <c r="CJ384" s="6"/>
      <c r="CU384" s="6"/>
      <c r="CV384" s="6"/>
      <c r="DA384" s="6"/>
      <c r="DE384" s="6"/>
      <c r="DF384" s="6"/>
      <c r="DK384" s="6"/>
      <c r="DP384" s="8"/>
      <c r="DQ384" s="8"/>
      <c r="DR384" s="8"/>
      <c r="DV384" s="6"/>
      <c r="DW384" s="6"/>
      <c r="EB384" s="6"/>
      <c r="EF384" s="6"/>
      <c r="EG384" s="6"/>
      <c r="EL384" s="6"/>
      <c r="EW384" s="6"/>
      <c r="EX384" s="6"/>
      <c r="FC384" s="6"/>
      <c r="FG384" s="6"/>
      <c r="FH384" s="6"/>
      <c r="FM384" s="6"/>
      <c r="FX384" s="6"/>
      <c r="FY384" s="6"/>
      <c r="GD384" s="6"/>
      <c r="GH384" s="6"/>
      <c r="GI384" s="6"/>
      <c r="GN384" s="6"/>
      <c r="GY384" s="6"/>
      <c r="GZ384" s="6"/>
      <c r="HE384" s="6"/>
      <c r="HI384" s="6"/>
      <c r="HJ384" s="6"/>
      <c r="HO384" s="6"/>
      <c r="HZ384" s="6"/>
      <c r="IA384" s="6"/>
      <c r="IF384" s="6"/>
      <c r="IJ384" s="6"/>
      <c r="IK384" s="6"/>
      <c r="IP384" s="6"/>
      <c r="JA384" s="6"/>
      <c r="JB384" s="6"/>
      <c r="JG384" s="6"/>
      <c r="JK384" s="6"/>
      <c r="JL384" s="6"/>
      <c r="JQ384" s="6"/>
      <c r="KB384" s="6"/>
      <c r="KC384" s="6"/>
      <c r="KH384" s="6"/>
      <c r="KL384" s="6"/>
      <c r="KM384" s="6"/>
      <c r="KR384" s="6"/>
      <c r="MD384" s="6"/>
      <c r="ME384" s="6"/>
      <c r="MJ384" s="6"/>
      <c r="MN384" s="6"/>
      <c r="MO384" s="6"/>
      <c r="MT384" s="6"/>
      <c r="NE384" s="6"/>
      <c r="NF384" s="6"/>
      <c r="NK384" s="6"/>
      <c r="NO384" s="6"/>
      <c r="NP384" s="6"/>
      <c r="NU384" s="6"/>
      <c r="OF384" s="6"/>
      <c r="OG384" s="6"/>
      <c r="OL384" s="6"/>
      <c r="OP384" s="6"/>
      <c r="OQ384" s="6"/>
      <c r="OV384" s="6"/>
      <c r="QH384" s="6"/>
      <c r="QI384" s="6"/>
      <c r="QN384" s="6"/>
      <c r="QR384" s="6"/>
      <c r="QS384" s="6"/>
      <c r="QX384" s="6"/>
      <c r="RI384" s="6"/>
      <c r="RJ384" s="6"/>
      <c r="RO384" s="6"/>
      <c r="RS384" s="6"/>
      <c r="RT384" s="6"/>
      <c r="RY384" s="6"/>
      <c r="SJ384" s="6"/>
      <c r="SK384" s="6"/>
      <c r="SP384" s="6"/>
      <c r="ST384" s="6"/>
      <c r="SU384" s="6"/>
      <c r="SZ384" s="6"/>
    </row>
    <row r="385" spans="12:520" x14ac:dyDescent="0.3">
      <c r="R385" s="5"/>
      <c r="S385" s="6"/>
      <c r="T385" s="6"/>
      <c r="U385" s="7"/>
      <c r="W385" s="7"/>
      <c r="Z385" s="5"/>
      <c r="AA385" s="6"/>
      <c r="AB385" s="7"/>
      <c r="AG385" s="5"/>
      <c r="AH385" s="7"/>
      <c r="AQ385" s="5"/>
      <c r="AR385" s="5"/>
      <c r="AS385" s="6"/>
      <c r="AT385" s="7"/>
      <c r="AW385" s="5"/>
      <c r="AY385" s="6"/>
      <c r="BC385" s="6"/>
      <c r="BD385" s="6"/>
      <c r="BI385" s="6"/>
      <c r="BT385" s="6"/>
      <c r="BU385" s="6"/>
      <c r="BZ385" s="6"/>
      <c r="CD385" s="6"/>
      <c r="CE385" s="6"/>
      <c r="CJ385" s="6"/>
      <c r="CU385" s="6"/>
      <c r="CV385" s="6"/>
      <c r="DA385" s="6"/>
      <c r="DE385" s="6"/>
      <c r="DF385" s="6"/>
      <c r="DK385" s="6"/>
      <c r="EW385" s="6"/>
      <c r="EX385" s="6"/>
      <c r="FC385" s="6"/>
      <c r="FG385" s="6"/>
      <c r="FH385" s="6"/>
      <c r="FM385" s="6"/>
      <c r="FX385" s="6"/>
      <c r="FY385" s="6"/>
      <c r="GD385" s="6"/>
      <c r="GH385" s="6"/>
      <c r="GI385" s="6"/>
      <c r="GN385" s="6"/>
      <c r="GY385" s="6"/>
      <c r="GZ385" s="6"/>
      <c r="HE385" s="6"/>
      <c r="HI385" s="6"/>
      <c r="HJ385" s="6"/>
      <c r="HO385" s="6"/>
      <c r="HZ385" s="6"/>
      <c r="IA385" s="6"/>
      <c r="IF385" s="6"/>
      <c r="IJ385" s="6"/>
      <c r="IK385" s="6"/>
      <c r="IP385" s="6"/>
      <c r="JA385" s="6"/>
      <c r="JB385" s="6"/>
      <c r="JG385" s="6"/>
      <c r="JK385" s="6"/>
      <c r="JL385" s="6"/>
      <c r="JQ385" s="6"/>
      <c r="KB385" s="6"/>
      <c r="KC385" s="6"/>
      <c r="KH385" s="6"/>
      <c r="KL385" s="6"/>
      <c r="KM385" s="6"/>
      <c r="KR385" s="6"/>
      <c r="MD385" s="6"/>
      <c r="ME385" s="6"/>
      <c r="MJ385" s="6"/>
      <c r="MN385" s="6"/>
      <c r="MO385" s="6"/>
      <c r="MT385" s="6"/>
      <c r="NE385" s="6"/>
      <c r="NF385" s="6"/>
      <c r="NK385" s="6"/>
      <c r="NO385" s="6"/>
      <c r="NP385" s="6"/>
      <c r="NU385" s="6"/>
      <c r="OF385" s="6"/>
      <c r="OG385" s="6"/>
      <c r="OL385" s="6"/>
      <c r="OP385" s="6"/>
      <c r="OQ385" s="6"/>
      <c r="OV385" s="6"/>
      <c r="QH385" s="6"/>
      <c r="QI385" s="6"/>
      <c r="QN385" s="6"/>
      <c r="QR385" s="6"/>
      <c r="QS385" s="6"/>
      <c r="QX385" s="6"/>
      <c r="RI385" s="6"/>
      <c r="RJ385" s="6"/>
      <c r="RO385" s="6"/>
      <c r="RS385" s="6"/>
      <c r="RT385" s="6"/>
      <c r="RY385" s="6"/>
      <c r="SJ385" s="6"/>
      <c r="SK385" s="6"/>
      <c r="SP385" s="6"/>
      <c r="ST385" s="6"/>
      <c r="SU385" s="6"/>
      <c r="SZ385" s="6"/>
    </row>
    <row r="386" spans="12:520" x14ac:dyDescent="0.3">
      <c r="R386" s="5"/>
      <c r="S386" s="6"/>
      <c r="T386" s="6"/>
      <c r="U386" s="7"/>
      <c r="W386" s="6"/>
      <c r="Z386" s="5"/>
      <c r="AA386" s="6"/>
      <c r="AB386" s="7"/>
      <c r="AG386" s="5"/>
      <c r="AH386" s="6"/>
      <c r="AQ386" s="5"/>
      <c r="AR386" s="5"/>
      <c r="AS386" s="6"/>
      <c r="AT386" s="7"/>
      <c r="AW386" s="5"/>
      <c r="AY386" s="7"/>
      <c r="BC386" s="6"/>
      <c r="BD386" s="6"/>
      <c r="BI386" s="6"/>
      <c r="BN386" s="8"/>
      <c r="BO386" s="8"/>
      <c r="BP386" s="8"/>
      <c r="BT386" s="6"/>
      <c r="BU386" s="6"/>
      <c r="BZ386" s="6"/>
      <c r="CD386" s="6"/>
      <c r="CE386" s="6"/>
      <c r="CJ386" s="6"/>
      <c r="CU386" s="6"/>
      <c r="CV386" s="6"/>
      <c r="DA386" s="6"/>
      <c r="DE386" s="6"/>
      <c r="DF386" s="6"/>
      <c r="DK386" s="6"/>
      <c r="EW386" s="6"/>
      <c r="EX386" s="6"/>
      <c r="FC386" s="6"/>
      <c r="FG386" s="6"/>
      <c r="FH386" s="6"/>
      <c r="FM386" s="6"/>
      <c r="FX386" s="6"/>
      <c r="FY386" s="6"/>
      <c r="GD386" s="6"/>
      <c r="GH386" s="6"/>
      <c r="GI386" s="6"/>
      <c r="GN386" s="6"/>
      <c r="GY386" s="6"/>
      <c r="GZ386" s="6"/>
      <c r="HE386" s="6"/>
      <c r="HI386" s="6"/>
      <c r="HJ386" s="6"/>
      <c r="HO386" s="6"/>
      <c r="HZ386" s="6"/>
      <c r="IA386" s="6"/>
      <c r="IF386" s="6"/>
      <c r="IJ386" s="6"/>
      <c r="IK386" s="6"/>
      <c r="IP386" s="6"/>
      <c r="JA386" s="6"/>
      <c r="JB386" s="6"/>
      <c r="JG386" s="6"/>
      <c r="JK386" s="6"/>
      <c r="JL386" s="6"/>
      <c r="JQ386" s="6"/>
      <c r="KB386" s="6"/>
      <c r="KC386" s="6"/>
      <c r="KH386" s="6"/>
      <c r="KL386" s="6"/>
      <c r="KM386" s="6"/>
      <c r="KR386" s="6"/>
      <c r="MD386" s="6"/>
      <c r="ME386" s="6"/>
      <c r="MJ386" s="6"/>
      <c r="MN386" s="6"/>
      <c r="MO386" s="6"/>
      <c r="MT386" s="6"/>
      <c r="NE386" s="6"/>
      <c r="NF386" s="6"/>
      <c r="NK386" s="6"/>
      <c r="NO386" s="6"/>
      <c r="NP386" s="6"/>
      <c r="NU386" s="6"/>
      <c r="OF386" s="6"/>
      <c r="OG386" s="6"/>
      <c r="OL386" s="6"/>
      <c r="OP386" s="6"/>
      <c r="OQ386" s="6"/>
      <c r="OV386" s="6"/>
      <c r="QH386" s="6"/>
      <c r="QI386" s="6"/>
      <c r="QN386" s="6"/>
      <c r="QR386" s="6"/>
      <c r="QS386" s="6"/>
      <c r="QX386" s="6"/>
      <c r="RI386" s="6"/>
      <c r="RJ386" s="6"/>
      <c r="RO386" s="6"/>
      <c r="RS386" s="6"/>
      <c r="RT386" s="6"/>
      <c r="RY386" s="6"/>
      <c r="SJ386" s="6"/>
      <c r="SK386" s="6"/>
      <c r="SP386" s="6"/>
      <c r="ST386" s="6"/>
      <c r="SU386" s="6"/>
      <c r="SZ386" s="6"/>
    </row>
    <row r="387" spans="12:520" x14ac:dyDescent="0.3">
      <c r="R387" s="5"/>
      <c r="S387" s="6"/>
      <c r="T387" s="6"/>
      <c r="U387" s="7"/>
      <c r="W387" s="6"/>
      <c r="Z387" s="5"/>
      <c r="AA387" s="6"/>
      <c r="AB387" s="7"/>
      <c r="AG387" s="5"/>
      <c r="AH387" s="6"/>
      <c r="AQ387" s="5"/>
      <c r="AR387" s="5"/>
      <c r="AS387" s="6"/>
      <c r="AT387" s="7"/>
      <c r="AW387" s="5"/>
      <c r="AY387" s="6"/>
      <c r="BC387" s="6"/>
      <c r="BD387" s="6"/>
      <c r="BI387" s="6"/>
      <c r="CU387" s="6"/>
      <c r="CV387" s="6"/>
      <c r="DA387" s="6"/>
      <c r="DE387" s="6"/>
      <c r="DF387" s="6"/>
      <c r="DK387" s="6"/>
      <c r="EW387" s="6"/>
      <c r="EX387" s="6"/>
      <c r="FC387" s="6"/>
      <c r="FG387" s="6"/>
      <c r="FH387" s="6"/>
      <c r="FM387" s="6"/>
      <c r="FX387" s="6"/>
      <c r="FY387" s="6"/>
      <c r="GD387" s="6"/>
      <c r="GH387" s="6"/>
      <c r="GI387" s="6"/>
      <c r="GN387" s="6"/>
      <c r="GY387" s="6"/>
      <c r="GZ387" s="6"/>
      <c r="HE387" s="6"/>
      <c r="HI387" s="6"/>
      <c r="HJ387" s="6"/>
      <c r="HO387" s="6"/>
      <c r="HZ387" s="6"/>
      <c r="IA387" s="6"/>
      <c r="IF387" s="6"/>
      <c r="IJ387" s="6"/>
      <c r="IK387" s="6"/>
      <c r="IP387" s="6"/>
      <c r="JA387" s="6"/>
      <c r="JB387" s="6"/>
      <c r="JG387" s="6"/>
      <c r="JK387" s="6"/>
      <c r="JL387" s="6"/>
      <c r="JQ387" s="6"/>
      <c r="KB387" s="6"/>
      <c r="KC387" s="6"/>
      <c r="KH387" s="6"/>
      <c r="KL387" s="6"/>
      <c r="KM387" s="6"/>
      <c r="KR387" s="6"/>
      <c r="MD387" s="6"/>
      <c r="ME387" s="6"/>
      <c r="MJ387" s="6"/>
      <c r="MN387" s="6"/>
      <c r="MO387" s="6"/>
      <c r="MT387" s="6"/>
      <c r="NE387" s="6"/>
      <c r="NF387" s="6"/>
      <c r="NK387" s="6"/>
      <c r="NO387" s="6"/>
      <c r="NP387" s="6"/>
      <c r="NU387" s="6"/>
      <c r="OF387" s="6"/>
      <c r="OG387" s="6"/>
      <c r="OL387" s="6"/>
      <c r="OP387" s="6"/>
      <c r="OQ387" s="6"/>
      <c r="OV387" s="6"/>
      <c r="QH387" s="6"/>
      <c r="QI387" s="6"/>
      <c r="QN387" s="6"/>
      <c r="QR387" s="6"/>
      <c r="QS387" s="6"/>
      <c r="QX387" s="6"/>
      <c r="RI387" s="6"/>
      <c r="RJ387" s="6"/>
      <c r="RO387" s="6"/>
      <c r="RS387" s="6"/>
      <c r="RT387" s="6"/>
      <c r="RY387" s="6"/>
      <c r="SJ387" s="6"/>
      <c r="SK387" s="6"/>
      <c r="SP387" s="6"/>
      <c r="ST387" s="6"/>
      <c r="SU387" s="6"/>
      <c r="SZ387" s="6"/>
    </row>
    <row r="388" spans="12:520" x14ac:dyDescent="0.3">
      <c r="R388" s="5"/>
      <c r="S388" s="6"/>
      <c r="T388" s="6"/>
      <c r="U388" s="7"/>
      <c r="W388" s="7"/>
      <c r="Z388" s="5"/>
      <c r="AA388" s="6"/>
      <c r="AB388" s="7"/>
      <c r="AG388" s="5"/>
      <c r="AH388" s="7"/>
      <c r="AQ388" s="5"/>
      <c r="AR388" s="5"/>
      <c r="AS388" s="6"/>
      <c r="AT388" s="7"/>
      <c r="AW388" s="5"/>
      <c r="AY388" s="6"/>
      <c r="BC388" s="6"/>
      <c r="BD388" s="6"/>
      <c r="BI388" s="6"/>
      <c r="CU388" s="6"/>
      <c r="CV388" s="6"/>
      <c r="DA388" s="6"/>
      <c r="DE388" s="6"/>
      <c r="DF388" s="6"/>
      <c r="DK388" s="6"/>
      <c r="EQ388" s="8"/>
      <c r="ER388" s="8"/>
      <c r="ES388" s="8"/>
      <c r="EW388" s="6"/>
      <c r="EX388" s="6"/>
      <c r="FC388" s="6"/>
      <c r="FG388" s="6"/>
      <c r="FH388" s="6"/>
      <c r="FM388" s="6"/>
      <c r="FX388" s="6"/>
      <c r="FY388" s="6"/>
      <c r="GD388" s="6"/>
      <c r="GH388" s="6"/>
      <c r="GI388" s="6"/>
      <c r="GN388" s="6"/>
      <c r="GY388" s="6"/>
      <c r="GZ388" s="6"/>
      <c r="HE388" s="6"/>
      <c r="HI388" s="6"/>
      <c r="HJ388" s="6"/>
      <c r="HO388" s="6"/>
      <c r="HZ388" s="6"/>
      <c r="IA388" s="6"/>
      <c r="IF388" s="6"/>
      <c r="IJ388" s="6"/>
      <c r="IK388" s="6"/>
      <c r="IP388" s="6"/>
      <c r="JA388" s="6"/>
      <c r="JB388" s="6"/>
      <c r="JG388" s="6"/>
      <c r="JK388" s="6"/>
      <c r="JL388" s="6"/>
      <c r="JQ388" s="6"/>
      <c r="KB388" s="6"/>
      <c r="KC388" s="6"/>
      <c r="KH388" s="6"/>
      <c r="KL388" s="6"/>
      <c r="KM388" s="6"/>
      <c r="KR388" s="6"/>
      <c r="MD388" s="6"/>
      <c r="ME388" s="6"/>
      <c r="MJ388" s="6"/>
      <c r="MN388" s="6"/>
      <c r="MO388" s="6"/>
      <c r="MT388" s="6"/>
      <c r="NE388" s="6"/>
      <c r="NF388" s="6"/>
      <c r="NK388" s="6"/>
      <c r="NO388" s="6"/>
      <c r="NP388" s="6"/>
      <c r="NU388" s="6"/>
      <c r="OF388" s="6"/>
      <c r="OG388" s="6"/>
      <c r="OL388" s="6"/>
      <c r="OP388" s="6"/>
      <c r="OQ388" s="6"/>
      <c r="OV388" s="6"/>
      <c r="QH388" s="6"/>
      <c r="QI388" s="6"/>
      <c r="QN388" s="6"/>
      <c r="QR388" s="6"/>
      <c r="QS388" s="6"/>
      <c r="QX388" s="6"/>
      <c r="RI388" s="6"/>
      <c r="RJ388" s="6"/>
      <c r="RO388" s="6"/>
      <c r="RS388" s="6"/>
      <c r="RT388" s="6"/>
      <c r="RY388" s="6"/>
      <c r="SJ388" s="6"/>
      <c r="SK388" s="6"/>
      <c r="SP388" s="6"/>
      <c r="ST388" s="6"/>
      <c r="SU388" s="6"/>
      <c r="SZ388" s="6"/>
    </row>
    <row r="389" spans="12:520" x14ac:dyDescent="0.3">
      <c r="L389" s="8"/>
      <c r="M389" s="8"/>
      <c r="N389" s="8"/>
      <c r="R389" s="5"/>
      <c r="S389" s="6"/>
      <c r="T389" s="6"/>
      <c r="U389" s="7"/>
      <c r="W389" s="6"/>
      <c r="Z389" s="5"/>
      <c r="AA389" s="6"/>
      <c r="AB389" s="7"/>
      <c r="AG389" s="5"/>
      <c r="AH389" s="6"/>
      <c r="AQ389" s="5"/>
      <c r="AR389" s="5"/>
      <c r="AS389" s="6"/>
      <c r="AT389" s="7"/>
      <c r="AW389" s="5"/>
      <c r="AY389" s="6"/>
      <c r="BC389" s="6"/>
      <c r="BD389" s="6"/>
      <c r="BI389" s="6"/>
      <c r="CO389" s="8"/>
      <c r="CP389" s="8"/>
      <c r="CQ389" s="8"/>
      <c r="CU389" s="6"/>
      <c r="CV389" s="6"/>
      <c r="DA389" s="6"/>
      <c r="DE389" s="6"/>
      <c r="DF389" s="6"/>
      <c r="DK389" s="6"/>
      <c r="FR389" s="8"/>
      <c r="FS389" s="8"/>
      <c r="FT389" s="8"/>
      <c r="FX389" s="6"/>
      <c r="FY389" s="6"/>
      <c r="GD389" s="6"/>
      <c r="GH389" s="6"/>
      <c r="GI389" s="6"/>
      <c r="GN389" s="6"/>
      <c r="GS389" s="8"/>
      <c r="GT389" s="8"/>
      <c r="GU389" s="8"/>
      <c r="GY389" s="6"/>
      <c r="GZ389" s="6"/>
      <c r="HE389" s="6"/>
      <c r="HI389" s="6"/>
      <c r="HJ389" s="6"/>
      <c r="HO389" s="6"/>
      <c r="HT389" s="8"/>
      <c r="HU389" s="8"/>
      <c r="HV389" s="8"/>
      <c r="HZ389" s="6"/>
      <c r="IA389" s="6"/>
      <c r="IF389" s="6"/>
      <c r="IJ389" s="6"/>
      <c r="IK389" s="6"/>
      <c r="IP389" s="6"/>
      <c r="IU389" s="8"/>
      <c r="IV389" s="8"/>
      <c r="IW389" s="8"/>
      <c r="JA389" s="6"/>
      <c r="JB389" s="6"/>
      <c r="JG389" s="6"/>
      <c r="JK389" s="6"/>
      <c r="JL389" s="6"/>
      <c r="JQ389" s="6"/>
      <c r="JV389" s="8"/>
      <c r="JW389" s="8"/>
      <c r="JX389" s="8"/>
      <c r="KB389" s="6"/>
      <c r="KC389" s="6"/>
      <c r="KH389" s="6"/>
      <c r="KL389" s="6"/>
      <c r="KM389" s="6"/>
      <c r="KR389" s="6"/>
      <c r="LX389" s="8"/>
      <c r="LY389" s="8"/>
      <c r="LZ389" s="8"/>
      <c r="MD389" s="6"/>
      <c r="ME389" s="6"/>
      <c r="MJ389" s="6"/>
      <c r="MN389" s="6"/>
      <c r="MO389" s="6"/>
      <c r="MT389" s="6"/>
      <c r="MY389" s="8"/>
      <c r="MZ389" s="8"/>
      <c r="NA389" s="8"/>
      <c r="NE389" s="6"/>
      <c r="NF389" s="6"/>
      <c r="NK389" s="6"/>
      <c r="NO389" s="6"/>
      <c r="NP389" s="6"/>
      <c r="NU389" s="6"/>
      <c r="NZ389" s="8"/>
      <c r="OA389" s="8"/>
      <c r="OB389" s="8"/>
      <c r="OF389" s="6"/>
      <c r="OG389" s="6"/>
      <c r="OL389" s="6"/>
      <c r="OP389" s="6"/>
      <c r="OQ389" s="6"/>
      <c r="OV389" s="6"/>
      <c r="QB389" s="8"/>
      <c r="QC389" s="8"/>
      <c r="QD389" s="8"/>
      <c r="QH389" s="6"/>
      <c r="QI389" s="6"/>
      <c r="QN389" s="6"/>
      <c r="QR389" s="6"/>
      <c r="QS389" s="6"/>
      <c r="QX389" s="6"/>
      <c r="RC389" s="8"/>
      <c r="RD389" s="8"/>
      <c r="RE389" s="8"/>
      <c r="RI389" s="6"/>
      <c r="RJ389" s="6"/>
      <c r="RO389" s="6"/>
      <c r="RS389" s="6"/>
      <c r="RT389" s="6"/>
      <c r="RY389" s="6"/>
      <c r="SD389" s="8"/>
      <c r="SE389" s="8"/>
      <c r="SF389" s="8"/>
      <c r="SJ389" s="6"/>
      <c r="SK389" s="6"/>
      <c r="SP389" s="6"/>
      <c r="ST389" s="6"/>
      <c r="SU389" s="6"/>
      <c r="SZ389" s="6"/>
    </row>
    <row r="390" spans="12:520" x14ac:dyDescent="0.3">
      <c r="AQ390" s="5"/>
      <c r="AR390" s="5"/>
      <c r="AS390" s="6"/>
    </row>
    <row r="391" spans="12:520" x14ac:dyDescent="0.3">
      <c r="AQ391" s="5"/>
      <c r="AR391" s="5"/>
      <c r="AS391" s="6"/>
    </row>
    <row r="392" spans="12:520" x14ac:dyDescent="0.3">
      <c r="AQ392" s="5"/>
      <c r="AR392" s="5"/>
      <c r="AS392" s="6"/>
    </row>
    <row r="393" spans="12:520" x14ac:dyDescent="0.3">
      <c r="AM393" s="8"/>
      <c r="AN393" s="8"/>
      <c r="AO393" s="8"/>
      <c r="AQ393" s="5"/>
      <c r="AR393" s="5"/>
      <c r="AS393" s="6"/>
    </row>
    <row r="410" spans="18:520" x14ac:dyDescent="0.3">
      <c r="R410" s="6"/>
      <c r="S410" s="7"/>
      <c r="T410" s="7"/>
      <c r="Z410" s="6"/>
      <c r="AA410" s="7"/>
      <c r="AG410" s="6"/>
      <c r="AX410" s="6"/>
      <c r="BB410" s="6"/>
      <c r="BC410" s="7"/>
      <c r="BH410" s="6"/>
      <c r="BS410" s="6"/>
      <c r="BT410" s="7"/>
      <c r="BY410" s="6"/>
      <c r="CC410" s="6"/>
      <c r="CD410" s="7"/>
      <c r="CI410" s="6"/>
      <c r="CT410" s="6"/>
      <c r="CU410" s="7"/>
      <c r="CZ410" s="6"/>
      <c r="DD410" s="6"/>
      <c r="DE410" s="7"/>
      <c r="DJ410" s="6"/>
      <c r="DU410" s="6"/>
      <c r="DV410" s="7"/>
      <c r="EA410" s="6"/>
      <c r="EE410" s="6"/>
      <c r="EF410" s="7"/>
      <c r="EK410" s="6"/>
      <c r="EV410" s="6"/>
      <c r="EW410" s="7"/>
      <c r="FB410" s="6"/>
      <c r="FF410" s="6"/>
      <c r="FG410" s="7"/>
      <c r="FL410" s="6"/>
      <c r="FW410" s="6"/>
      <c r="FX410" s="7"/>
      <c r="GC410" s="6"/>
      <c r="GG410" s="6"/>
      <c r="GH410" s="7"/>
      <c r="GM410" s="6"/>
      <c r="GX410" s="6"/>
      <c r="GY410" s="7"/>
      <c r="HD410" s="6"/>
      <c r="HH410" s="6"/>
      <c r="HI410" s="7"/>
      <c r="HN410" s="6"/>
      <c r="HY410" s="6"/>
      <c r="HZ410" s="7"/>
      <c r="IE410" s="6"/>
      <c r="II410" s="6"/>
      <c r="IJ410" s="7"/>
      <c r="IO410" s="6"/>
      <c r="IZ410" s="6"/>
      <c r="JA410" s="7"/>
      <c r="JF410" s="6"/>
      <c r="JJ410" s="6"/>
      <c r="JK410" s="7"/>
      <c r="JP410" s="6"/>
      <c r="KA410" s="6"/>
      <c r="KB410" s="7"/>
      <c r="KG410" s="6"/>
      <c r="KK410" s="6"/>
      <c r="KL410" s="7"/>
      <c r="KQ410" s="6"/>
      <c r="LB410" s="6"/>
      <c r="LC410" s="7"/>
      <c r="LH410" s="6"/>
      <c r="LL410" s="6"/>
      <c r="LM410" s="7"/>
      <c r="LR410" s="6"/>
      <c r="MC410" s="6"/>
      <c r="MD410" s="7"/>
      <c r="MI410" s="6"/>
      <c r="MM410" s="6"/>
      <c r="MN410" s="7"/>
      <c r="MS410" s="6"/>
      <c r="ND410" s="6"/>
      <c r="NE410" s="7"/>
      <c r="NJ410" s="6"/>
      <c r="NN410" s="6"/>
      <c r="NO410" s="7"/>
      <c r="NT410" s="6"/>
      <c r="OE410" s="6"/>
      <c r="OF410" s="7"/>
      <c r="OK410" s="6"/>
      <c r="OO410" s="6"/>
      <c r="OP410" s="7"/>
      <c r="OU410" s="6"/>
      <c r="PF410" s="6"/>
      <c r="PG410" s="7"/>
      <c r="PL410" s="6"/>
      <c r="PP410" s="6"/>
      <c r="PQ410" s="7"/>
      <c r="PV410" s="6"/>
      <c r="QG410" s="6"/>
      <c r="QH410" s="7"/>
      <c r="QM410" s="6"/>
      <c r="QQ410" s="6"/>
      <c r="QR410" s="7"/>
      <c r="QW410" s="6"/>
      <c r="RH410" s="6"/>
      <c r="RI410" s="7"/>
      <c r="RN410" s="6"/>
      <c r="RR410" s="6"/>
      <c r="RS410" s="7"/>
      <c r="RX410" s="6"/>
      <c r="SI410" s="6"/>
      <c r="SJ410" s="7"/>
      <c r="SO410" s="6"/>
      <c r="SS410" s="6"/>
      <c r="ST410" s="7"/>
      <c r="SY410" s="6"/>
    </row>
    <row r="411" spans="18:520" x14ac:dyDescent="0.3">
      <c r="S411" s="6"/>
      <c r="T411" s="6"/>
      <c r="U411" s="6"/>
      <c r="W411" s="6"/>
      <c r="AA411" s="6"/>
      <c r="AB411" s="6"/>
      <c r="AH411" s="6"/>
      <c r="AT411" s="6"/>
      <c r="AY411" s="6"/>
      <c r="BC411" s="6"/>
      <c r="BD411" s="6"/>
      <c r="BI411" s="6"/>
      <c r="BT411" s="6"/>
      <c r="BU411" s="6"/>
      <c r="BZ411" s="6"/>
      <c r="CD411" s="6"/>
      <c r="CE411" s="6"/>
      <c r="CJ411" s="6"/>
      <c r="CO411" s="8"/>
      <c r="CP411" s="8"/>
      <c r="CQ411" s="8"/>
      <c r="CU411" s="6"/>
      <c r="CV411" s="6"/>
      <c r="DA411" s="6"/>
      <c r="DE411" s="6"/>
      <c r="DF411" s="6"/>
      <c r="DK411" s="6"/>
      <c r="DV411" s="6"/>
      <c r="DW411" s="6"/>
      <c r="EB411" s="6"/>
      <c r="EF411" s="6"/>
      <c r="EG411" s="6"/>
      <c r="EL411" s="6"/>
      <c r="EW411" s="6"/>
      <c r="EX411" s="6"/>
      <c r="FC411" s="6"/>
      <c r="FG411" s="6"/>
      <c r="FH411" s="6"/>
      <c r="FM411" s="6"/>
      <c r="FX411" s="6"/>
      <c r="FY411" s="6"/>
      <c r="GD411" s="6"/>
      <c r="GH411" s="6"/>
      <c r="GI411" s="6"/>
      <c r="GN411" s="6"/>
      <c r="GY411" s="6"/>
      <c r="GZ411" s="6"/>
      <c r="HE411" s="6"/>
      <c r="HI411" s="6"/>
      <c r="HJ411" s="6"/>
      <c r="HO411" s="6"/>
      <c r="HZ411" s="6"/>
      <c r="IA411" s="6"/>
      <c r="IF411" s="6"/>
      <c r="IJ411" s="6"/>
      <c r="IK411" s="6"/>
      <c r="IP411" s="6"/>
      <c r="JA411" s="6"/>
      <c r="JB411" s="6"/>
      <c r="JG411" s="6"/>
      <c r="JK411" s="6"/>
      <c r="JL411" s="6"/>
      <c r="JQ411" s="6"/>
      <c r="KB411" s="6"/>
      <c r="KC411" s="6"/>
      <c r="KH411" s="6"/>
      <c r="KL411" s="6"/>
      <c r="KM411" s="6"/>
      <c r="KR411" s="6"/>
      <c r="LC411" s="6"/>
      <c r="LD411" s="6"/>
      <c r="LI411" s="6"/>
      <c r="LM411" s="6"/>
      <c r="LN411" s="6"/>
      <c r="LS411" s="6"/>
      <c r="MD411" s="6"/>
      <c r="ME411" s="6"/>
      <c r="MJ411" s="6"/>
      <c r="MN411" s="6"/>
      <c r="MO411" s="6"/>
      <c r="MT411" s="6"/>
      <c r="NE411" s="6"/>
      <c r="NF411" s="6"/>
      <c r="NK411" s="6"/>
      <c r="NO411" s="6"/>
      <c r="NP411" s="6"/>
      <c r="NU411" s="6"/>
      <c r="OF411" s="6"/>
      <c r="OG411" s="6"/>
      <c r="OL411" s="6"/>
      <c r="OP411" s="6"/>
      <c r="OQ411" s="6"/>
      <c r="OV411" s="6"/>
      <c r="PG411" s="6"/>
      <c r="PH411" s="6"/>
      <c r="PM411" s="6"/>
      <c r="PQ411" s="6"/>
      <c r="PR411" s="6"/>
      <c r="PW411" s="6"/>
      <c r="QH411" s="6"/>
      <c r="QI411" s="6"/>
      <c r="QN411" s="6"/>
      <c r="QR411" s="6"/>
      <c r="QS411" s="6"/>
      <c r="QX411" s="6"/>
      <c r="RI411" s="6"/>
      <c r="RJ411" s="6"/>
      <c r="RO411" s="6"/>
      <c r="RS411" s="6"/>
      <c r="RT411" s="6"/>
      <c r="RY411" s="6"/>
      <c r="SJ411" s="6"/>
      <c r="SK411" s="6"/>
      <c r="SP411" s="6"/>
      <c r="ST411" s="6"/>
      <c r="SU411" s="6"/>
      <c r="SZ411" s="6"/>
    </row>
    <row r="412" spans="18:520" x14ac:dyDescent="0.3">
      <c r="S412" s="6"/>
      <c r="T412" s="6"/>
      <c r="U412" s="6"/>
      <c r="W412" s="6"/>
      <c r="AA412" s="6"/>
      <c r="AB412" s="6"/>
      <c r="AH412" s="6"/>
      <c r="AT412" s="6"/>
      <c r="AY412" s="6"/>
      <c r="BC412" s="6"/>
      <c r="BD412" s="6"/>
      <c r="BI412" s="6"/>
      <c r="BT412" s="6"/>
      <c r="BU412" s="6"/>
      <c r="BZ412" s="6"/>
      <c r="CD412" s="6"/>
      <c r="CE412" s="6"/>
      <c r="CJ412" s="6"/>
      <c r="DV412" s="6"/>
      <c r="DW412" s="6"/>
      <c r="EB412" s="6"/>
      <c r="EF412" s="6"/>
      <c r="EG412" s="6"/>
      <c r="EL412" s="6"/>
      <c r="EW412" s="6"/>
      <c r="EX412" s="6"/>
      <c r="FC412" s="6"/>
      <c r="FG412" s="6"/>
      <c r="FH412" s="6"/>
      <c r="FM412" s="6"/>
      <c r="FX412" s="6"/>
      <c r="FY412" s="6"/>
      <c r="GD412" s="6"/>
      <c r="GH412" s="6"/>
      <c r="GI412" s="6"/>
      <c r="GN412" s="6"/>
      <c r="GY412" s="6"/>
      <c r="GZ412" s="6"/>
      <c r="HE412" s="6"/>
      <c r="HI412" s="6"/>
      <c r="HJ412" s="6"/>
      <c r="HO412" s="6"/>
      <c r="HZ412" s="6"/>
      <c r="IA412" s="6"/>
      <c r="IF412" s="6"/>
      <c r="IJ412" s="6"/>
      <c r="IK412" s="6"/>
      <c r="IP412" s="6"/>
      <c r="JA412" s="6"/>
      <c r="JB412" s="6"/>
      <c r="JG412" s="6"/>
      <c r="JK412" s="6"/>
      <c r="JL412" s="6"/>
      <c r="JQ412" s="6"/>
      <c r="KB412" s="6"/>
      <c r="KC412" s="6"/>
      <c r="KH412" s="6"/>
      <c r="KL412" s="6"/>
      <c r="KM412" s="6"/>
      <c r="KR412" s="6"/>
      <c r="LC412" s="6"/>
      <c r="LD412" s="6"/>
      <c r="LI412" s="6"/>
      <c r="LM412" s="6"/>
      <c r="LN412" s="6"/>
      <c r="LS412" s="6"/>
      <c r="MD412" s="6"/>
      <c r="ME412" s="6"/>
      <c r="MJ412" s="6"/>
      <c r="MN412" s="6"/>
      <c r="MO412" s="6"/>
      <c r="MT412" s="6"/>
      <c r="NE412" s="6"/>
      <c r="NF412" s="6"/>
      <c r="NK412" s="6"/>
      <c r="NO412" s="6"/>
      <c r="NP412" s="6"/>
      <c r="NU412" s="6"/>
      <c r="OF412" s="6"/>
      <c r="OG412" s="6"/>
      <c r="OL412" s="6"/>
      <c r="OP412" s="6"/>
      <c r="OQ412" s="6"/>
      <c r="OV412" s="6"/>
      <c r="PG412" s="6"/>
      <c r="PH412" s="6"/>
      <c r="PM412" s="6"/>
      <c r="PQ412" s="6"/>
      <c r="PR412" s="6"/>
      <c r="PW412" s="6"/>
      <c r="QH412" s="6"/>
      <c r="QI412" s="6"/>
      <c r="QN412" s="6"/>
      <c r="QR412" s="6"/>
      <c r="QS412" s="6"/>
      <c r="QX412" s="6"/>
      <c r="RI412" s="6"/>
      <c r="RJ412" s="6"/>
      <c r="RO412" s="6"/>
      <c r="RS412" s="6"/>
      <c r="RT412" s="6"/>
      <c r="RY412" s="6"/>
      <c r="SJ412" s="6"/>
      <c r="SK412" s="6"/>
      <c r="SP412" s="6"/>
      <c r="ST412" s="6"/>
      <c r="SU412" s="6"/>
      <c r="SZ412" s="6"/>
    </row>
    <row r="413" spans="18:520" x14ac:dyDescent="0.3">
      <c r="S413" s="6"/>
      <c r="T413" s="6"/>
      <c r="U413" s="6"/>
      <c r="W413" s="6"/>
      <c r="AA413" s="6"/>
      <c r="AB413" s="6"/>
      <c r="AH413" s="6"/>
      <c r="AT413" s="6"/>
      <c r="AY413" s="6"/>
      <c r="BC413" s="6"/>
      <c r="BD413" s="6"/>
      <c r="BI413" s="6"/>
      <c r="BT413" s="6"/>
      <c r="BU413" s="6"/>
      <c r="BZ413" s="6"/>
      <c r="CD413" s="6"/>
      <c r="CE413" s="6"/>
      <c r="CJ413" s="6"/>
      <c r="DV413" s="6"/>
      <c r="DW413" s="6"/>
      <c r="EB413" s="6"/>
      <c r="EF413" s="6"/>
      <c r="EG413" s="6"/>
      <c r="EL413" s="6"/>
      <c r="EW413" s="6"/>
      <c r="EX413" s="6"/>
      <c r="FC413" s="6"/>
      <c r="FG413" s="6"/>
      <c r="FH413" s="6"/>
      <c r="FM413" s="6"/>
      <c r="FX413" s="6"/>
      <c r="FY413" s="6"/>
      <c r="GD413" s="6"/>
      <c r="GH413" s="6"/>
      <c r="GI413" s="6"/>
      <c r="GN413" s="6"/>
      <c r="GY413" s="6"/>
      <c r="GZ413" s="6"/>
      <c r="HE413" s="6"/>
      <c r="HI413" s="6"/>
      <c r="HJ413" s="6"/>
      <c r="HO413" s="6"/>
      <c r="HT413" s="8"/>
      <c r="HU413" s="8"/>
      <c r="HV413" s="8"/>
      <c r="HZ413" s="6"/>
      <c r="IA413" s="6"/>
      <c r="IF413" s="6"/>
      <c r="IJ413" s="6"/>
      <c r="IK413" s="6"/>
      <c r="IP413" s="6"/>
      <c r="JA413" s="6"/>
      <c r="JB413" s="6"/>
      <c r="JG413" s="6"/>
      <c r="JK413" s="6"/>
      <c r="JL413" s="6"/>
      <c r="JQ413" s="6"/>
      <c r="KB413" s="6"/>
      <c r="KC413" s="6"/>
      <c r="KH413" s="6"/>
      <c r="KL413" s="6"/>
      <c r="KM413" s="6"/>
      <c r="KR413" s="6"/>
      <c r="LC413" s="6"/>
      <c r="LD413" s="6"/>
      <c r="LI413" s="6"/>
      <c r="LM413" s="6"/>
      <c r="LN413" s="6"/>
      <c r="LS413" s="6"/>
      <c r="MD413" s="6"/>
      <c r="ME413" s="6"/>
      <c r="MJ413" s="6"/>
      <c r="MN413" s="6"/>
      <c r="MO413" s="6"/>
      <c r="MT413" s="6"/>
      <c r="NE413" s="6"/>
      <c r="NF413" s="6"/>
      <c r="NK413" s="6"/>
      <c r="NO413" s="6"/>
      <c r="NP413" s="6"/>
      <c r="NU413" s="6"/>
      <c r="OF413" s="6"/>
      <c r="OG413" s="6"/>
      <c r="OL413" s="6"/>
      <c r="OP413" s="6"/>
      <c r="OQ413" s="6"/>
      <c r="OV413" s="6"/>
      <c r="PG413" s="6"/>
      <c r="PH413" s="6"/>
      <c r="PM413" s="6"/>
      <c r="PQ413" s="6"/>
      <c r="PR413" s="6"/>
      <c r="PW413" s="6"/>
      <c r="QH413" s="6"/>
      <c r="QI413" s="6"/>
      <c r="QN413" s="6"/>
      <c r="QR413" s="6"/>
      <c r="QS413" s="6"/>
      <c r="QX413" s="6"/>
      <c r="RI413" s="6"/>
      <c r="RJ413" s="6"/>
      <c r="RO413" s="6"/>
      <c r="RS413" s="6"/>
      <c r="RT413" s="6"/>
      <c r="RY413" s="6"/>
      <c r="SJ413" s="6"/>
      <c r="SK413" s="6"/>
      <c r="SP413" s="6"/>
      <c r="ST413" s="6"/>
      <c r="SU413" s="6"/>
      <c r="SZ413" s="6"/>
    </row>
    <row r="414" spans="18:520" x14ac:dyDescent="0.3">
      <c r="S414" s="6"/>
      <c r="T414" s="6"/>
      <c r="U414" s="6"/>
      <c r="W414" s="6"/>
      <c r="AA414" s="6"/>
      <c r="AB414" s="6"/>
      <c r="AH414" s="6"/>
      <c r="AR414" s="6"/>
      <c r="AS414" s="7"/>
      <c r="AT414" s="6"/>
      <c r="AY414" s="6"/>
      <c r="BC414" s="6"/>
      <c r="BD414" s="6"/>
      <c r="BI414" s="6"/>
      <c r="BT414" s="6"/>
      <c r="BU414" s="6"/>
      <c r="BZ414" s="6"/>
      <c r="CD414" s="6"/>
      <c r="CE414" s="6"/>
      <c r="CJ414" s="6"/>
      <c r="DV414" s="6"/>
      <c r="DW414" s="6"/>
      <c r="EB414" s="6"/>
      <c r="EF414" s="6"/>
      <c r="EG414" s="6"/>
      <c r="EL414" s="6"/>
      <c r="EW414" s="6"/>
      <c r="EX414" s="6"/>
      <c r="FC414" s="6"/>
      <c r="FG414" s="6"/>
      <c r="FH414" s="6"/>
      <c r="FM414" s="6"/>
      <c r="FX414" s="6"/>
      <c r="FY414" s="6"/>
      <c r="GD414" s="6"/>
      <c r="GH414" s="6"/>
      <c r="GI414" s="6"/>
      <c r="GN414" s="6"/>
      <c r="GY414" s="6"/>
      <c r="GZ414" s="6"/>
      <c r="HE414" s="6"/>
      <c r="HI414" s="6"/>
      <c r="HJ414" s="6"/>
      <c r="HO414" s="6"/>
      <c r="JA414" s="6"/>
      <c r="JB414" s="6"/>
      <c r="JG414" s="6"/>
      <c r="JK414" s="6"/>
      <c r="JL414" s="6"/>
      <c r="JQ414" s="6"/>
      <c r="KB414" s="6"/>
      <c r="KC414" s="6"/>
      <c r="KH414" s="6"/>
      <c r="KL414" s="6"/>
      <c r="KM414" s="6"/>
      <c r="KR414" s="6"/>
      <c r="LC414" s="6"/>
      <c r="LD414" s="6"/>
      <c r="LI414" s="6"/>
      <c r="LM414" s="6"/>
      <c r="LN414" s="6"/>
      <c r="LS414" s="6"/>
      <c r="MD414" s="6"/>
      <c r="ME414" s="6"/>
      <c r="MJ414" s="6"/>
      <c r="MN414" s="6"/>
      <c r="MO414" s="6"/>
      <c r="MT414" s="6"/>
      <c r="NE414" s="6"/>
      <c r="NF414" s="6"/>
      <c r="NK414" s="6"/>
      <c r="NO414" s="6"/>
      <c r="NP414" s="6"/>
      <c r="NU414" s="6"/>
      <c r="OF414" s="6"/>
      <c r="OG414" s="6"/>
      <c r="OL414" s="6"/>
      <c r="OP414" s="6"/>
      <c r="OQ414" s="6"/>
      <c r="OV414" s="6"/>
      <c r="PG414" s="6"/>
      <c r="PH414" s="6"/>
      <c r="PM414" s="6"/>
      <c r="PQ414" s="6"/>
      <c r="PR414" s="6"/>
      <c r="PW414" s="6"/>
      <c r="QH414" s="6"/>
      <c r="QI414" s="6"/>
      <c r="QN414" s="6"/>
      <c r="QR414" s="6"/>
      <c r="QS414" s="6"/>
      <c r="QX414" s="6"/>
      <c r="RI414" s="6"/>
      <c r="RJ414" s="6"/>
      <c r="RO414" s="6"/>
      <c r="RS414" s="6"/>
      <c r="RT414" s="6"/>
      <c r="RY414" s="6"/>
      <c r="SJ414" s="6"/>
      <c r="SK414" s="6"/>
      <c r="SP414" s="6"/>
      <c r="ST414" s="6"/>
      <c r="SU414" s="6"/>
      <c r="SZ414" s="6"/>
    </row>
    <row r="415" spans="18:520" x14ac:dyDescent="0.3">
      <c r="S415" s="6"/>
      <c r="T415" s="6"/>
      <c r="U415" s="6"/>
      <c r="W415" s="6"/>
      <c r="AA415" s="6"/>
      <c r="AB415" s="6"/>
      <c r="AH415" s="6"/>
      <c r="AS415" s="6"/>
      <c r="AT415" s="6"/>
      <c r="AY415" s="6"/>
      <c r="BC415" s="6"/>
      <c r="BD415" s="6"/>
      <c r="BI415" s="6"/>
      <c r="BT415" s="6"/>
      <c r="BU415" s="6"/>
      <c r="BZ415" s="6"/>
      <c r="CD415" s="6"/>
      <c r="CE415" s="6"/>
      <c r="CJ415" s="6"/>
      <c r="DV415" s="6"/>
      <c r="DW415" s="6"/>
      <c r="EB415" s="6"/>
      <c r="EF415" s="6"/>
      <c r="EG415" s="6"/>
      <c r="EL415" s="6"/>
      <c r="EW415" s="6"/>
      <c r="EX415" s="6"/>
      <c r="FC415" s="6"/>
      <c r="FG415" s="6"/>
      <c r="FH415" s="6"/>
      <c r="FM415" s="6"/>
      <c r="FX415" s="6"/>
      <c r="FY415" s="6"/>
      <c r="GD415" s="6"/>
      <c r="GH415" s="6"/>
      <c r="GI415" s="6"/>
      <c r="GN415" s="6"/>
      <c r="GY415" s="6"/>
      <c r="GZ415" s="6"/>
      <c r="HE415" s="6"/>
      <c r="HI415" s="6"/>
      <c r="HJ415" s="6"/>
      <c r="HO415" s="6"/>
      <c r="JA415" s="6"/>
      <c r="JB415" s="6"/>
      <c r="JG415" s="6"/>
      <c r="JK415" s="6"/>
      <c r="JL415" s="6"/>
      <c r="JQ415" s="6"/>
      <c r="KB415" s="6"/>
      <c r="KC415" s="6"/>
      <c r="KH415" s="6"/>
      <c r="KL415" s="6"/>
      <c r="KM415" s="6"/>
      <c r="KR415" s="6"/>
      <c r="LC415" s="6"/>
      <c r="LD415" s="6"/>
      <c r="LI415" s="6"/>
      <c r="LM415" s="6"/>
      <c r="LN415" s="6"/>
      <c r="LS415" s="6"/>
      <c r="MD415" s="6"/>
      <c r="ME415" s="6"/>
      <c r="MJ415" s="6"/>
      <c r="MN415" s="6"/>
      <c r="MO415" s="6"/>
      <c r="MT415" s="6"/>
      <c r="MY415" s="8"/>
      <c r="MZ415" s="8"/>
      <c r="NA415" s="8"/>
      <c r="NE415" s="6"/>
      <c r="NF415" s="6"/>
      <c r="NK415" s="6"/>
      <c r="NO415" s="6"/>
      <c r="NP415" s="6"/>
      <c r="NU415" s="6"/>
      <c r="OF415" s="6"/>
      <c r="OG415" s="6"/>
      <c r="OL415" s="6"/>
      <c r="OP415" s="6"/>
      <c r="OQ415" s="6"/>
      <c r="OV415" s="6"/>
      <c r="PG415" s="6"/>
      <c r="PH415" s="6"/>
      <c r="PM415" s="6"/>
      <c r="PQ415" s="6"/>
      <c r="PR415" s="6"/>
      <c r="PW415" s="6"/>
      <c r="QH415" s="6"/>
      <c r="QI415" s="6"/>
      <c r="QN415" s="6"/>
      <c r="QR415" s="6"/>
      <c r="QS415" s="6"/>
      <c r="QX415" s="6"/>
      <c r="RI415" s="6"/>
      <c r="RJ415" s="6"/>
      <c r="RO415" s="6"/>
      <c r="RS415" s="6"/>
      <c r="RT415" s="6"/>
      <c r="RY415" s="6"/>
      <c r="SJ415" s="6"/>
      <c r="SK415" s="6"/>
      <c r="SP415" s="6"/>
      <c r="ST415" s="6"/>
      <c r="SU415" s="6"/>
      <c r="SZ415" s="6"/>
    </row>
    <row r="416" spans="18:520" x14ac:dyDescent="0.3">
      <c r="S416" s="6"/>
      <c r="T416" s="6"/>
      <c r="U416" s="6"/>
      <c r="W416" s="6"/>
      <c r="AA416" s="6"/>
      <c r="AB416" s="6"/>
      <c r="AH416" s="6"/>
      <c r="AS416" s="6"/>
      <c r="AT416" s="6"/>
      <c r="AY416" s="6"/>
      <c r="BC416" s="6"/>
      <c r="BD416" s="6"/>
      <c r="BI416" s="6"/>
      <c r="BT416" s="6"/>
      <c r="BU416" s="6"/>
      <c r="BZ416" s="6"/>
      <c r="CD416" s="6"/>
      <c r="CE416" s="6"/>
      <c r="CJ416" s="6"/>
      <c r="DV416" s="6"/>
      <c r="DW416" s="6"/>
      <c r="EB416" s="6"/>
      <c r="EF416" s="6"/>
      <c r="EG416" s="6"/>
      <c r="EL416" s="6"/>
      <c r="EW416" s="6"/>
      <c r="EX416" s="6"/>
      <c r="FC416" s="6"/>
      <c r="FG416" s="6"/>
      <c r="FH416" s="6"/>
      <c r="FM416" s="6"/>
      <c r="FX416" s="6"/>
      <c r="FY416" s="6"/>
      <c r="GD416" s="6"/>
      <c r="GH416" s="6"/>
      <c r="GI416" s="6"/>
      <c r="GN416" s="6"/>
      <c r="GY416" s="6"/>
      <c r="GZ416" s="6"/>
      <c r="HE416" s="6"/>
      <c r="HI416" s="6"/>
      <c r="HJ416" s="6"/>
      <c r="HO416" s="6"/>
      <c r="JA416" s="6"/>
      <c r="JB416" s="6"/>
      <c r="JG416" s="6"/>
      <c r="JK416" s="6"/>
      <c r="JL416" s="6"/>
      <c r="JQ416" s="6"/>
      <c r="KB416" s="6"/>
      <c r="KC416" s="6"/>
      <c r="KH416" s="6"/>
      <c r="KL416" s="6"/>
      <c r="KM416" s="6"/>
      <c r="KR416" s="6"/>
      <c r="LC416" s="6"/>
      <c r="LD416" s="6"/>
      <c r="LI416" s="6"/>
      <c r="LM416" s="6"/>
      <c r="LN416" s="6"/>
      <c r="LS416" s="6"/>
      <c r="MD416" s="6"/>
      <c r="ME416" s="6"/>
      <c r="MJ416" s="6"/>
      <c r="MN416" s="6"/>
      <c r="MO416" s="6"/>
      <c r="MT416" s="6"/>
      <c r="OF416" s="6"/>
      <c r="OG416" s="6"/>
      <c r="OL416" s="6"/>
      <c r="OP416" s="6"/>
      <c r="OQ416" s="6"/>
      <c r="OV416" s="6"/>
      <c r="PG416" s="6"/>
      <c r="PH416" s="6"/>
      <c r="PM416" s="6"/>
      <c r="PQ416" s="6"/>
      <c r="PR416" s="6"/>
      <c r="PW416" s="6"/>
      <c r="QH416" s="6"/>
      <c r="QI416" s="6"/>
      <c r="QN416" s="6"/>
      <c r="QR416" s="6"/>
      <c r="QS416" s="6"/>
      <c r="QX416" s="6"/>
      <c r="RI416" s="6"/>
      <c r="RJ416" s="6"/>
      <c r="RO416" s="6"/>
      <c r="RS416" s="6"/>
      <c r="RT416" s="6"/>
      <c r="RY416" s="6"/>
      <c r="SJ416" s="6"/>
      <c r="SK416" s="6"/>
      <c r="SP416" s="6"/>
      <c r="ST416" s="6"/>
      <c r="SU416" s="6"/>
      <c r="SZ416" s="6"/>
    </row>
    <row r="417" spans="12:520" x14ac:dyDescent="0.3">
      <c r="S417" s="6"/>
      <c r="T417" s="6"/>
      <c r="U417" s="6"/>
      <c r="W417" s="6"/>
      <c r="AA417" s="6"/>
      <c r="AB417" s="6"/>
      <c r="AH417" s="6"/>
      <c r="AS417" s="6"/>
      <c r="AT417" s="6"/>
      <c r="AY417" s="6"/>
      <c r="BC417" s="6"/>
      <c r="BD417" s="6"/>
      <c r="BI417" s="6"/>
      <c r="BT417" s="6"/>
      <c r="BU417" s="6"/>
      <c r="BZ417" s="6"/>
      <c r="CD417" s="6"/>
      <c r="CE417" s="6"/>
      <c r="CJ417" s="6"/>
      <c r="DV417" s="6"/>
      <c r="DW417" s="6"/>
      <c r="EB417" s="6"/>
      <c r="EF417" s="6"/>
      <c r="EG417" s="6"/>
      <c r="EL417" s="6"/>
      <c r="EW417" s="6"/>
      <c r="EX417" s="6"/>
      <c r="FC417" s="6"/>
      <c r="FG417" s="6"/>
      <c r="FH417" s="6"/>
      <c r="FM417" s="6"/>
      <c r="FX417" s="6"/>
      <c r="FY417" s="6"/>
      <c r="GD417" s="6"/>
      <c r="GH417" s="6"/>
      <c r="GI417" s="6"/>
      <c r="GN417" s="6"/>
      <c r="GY417" s="6"/>
      <c r="GZ417" s="6"/>
      <c r="HE417" s="6"/>
      <c r="HI417" s="6"/>
      <c r="HJ417" s="6"/>
      <c r="HO417" s="6"/>
      <c r="JA417" s="6"/>
      <c r="JB417" s="6"/>
      <c r="JG417" s="6"/>
      <c r="JK417" s="6"/>
      <c r="JL417" s="6"/>
      <c r="JQ417" s="6"/>
      <c r="KB417" s="6"/>
      <c r="KC417" s="6"/>
      <c r="KH417" s="6"/>
      <c r="KL417" s="6"/>
      <c r="KM417" s="6"/>
      <c r="KR417" s="6"/>
      <c r="LC417" s="6"/>
      <c r="LD417" s="6"/>
      <c r="LI417" s="6"/>
      <c r="LM417" s="6"/>
      <c r="LN417" s="6"/>
      <c r="LS417" s="6"/>
      <c r="MD417" s="6"/>
      <c r="ME417" s="6"/>
      <c r="MJ417" s="6"/>
      <c r="MN417" s="6"/>
      <c r="MO417" s="6"/>
      <c r="MT417" s="6"/>
      <c r="OF417" s="6"/>
      <c r="OG417" s="6"/>
      <c r="OL417" s="6"/>
      <c r="OP417" s="6"/>
      <c r="OQ417" s="6"/>
      <c r="OV417" s="6"/>
      <c r="PG417" s="6"/>
      <c r="PH417" s="6"/>
      <c r="PM417" s="6"/>
      <c r="PQ417" s="6"/>
      <c r="PR417" s="6"/>
      <c r="PW417" s="6"/>
      <c r="QH417" s="6"/>
      <c r="QI417" s="6"/>
      <c r="QN417" s="6"/>
      <c r="QR417" s="6"/>
      <c r="QS417" s="6"/>
      <c r="QX417" s="6"/>
      <c r="RI417" s="6"/>
      <c r="RJ417" s="6"/>
      <c r="RO417" s="6"/>
      <c r="RS417" s="6"/>
      <c r="RT417" s="6"/>
      <c r="RY417" s="6"/>
      <c r="SJ417" s="6"/>
      <c r="SK417" s="6"/>
      <c r="SP417" s="6"/>
      <c r="ST417" s="6"/>
      <c r="SU417" s="6"/>
      <c r="SZ417" s="6"/>
    </row>
    <row r="418" spans="12:520" x14ac:dyDescent="0.3">
      <c r="S418" s="6"/>
      <c r="T418" s="6"/>
      <c r="U418" s="6"/>
      <c r="W418" s="6"/>
      <c r="AA418" s="6"/>
      <c r="AB418" s="6"/>
      <c r="AH418" s="6"/>
      <c r="AS418" s="6"/>
      <c r="AT418" s="6"/>
      <c r="AY418" s="6"/>
      <c r="BC418" s="6"/>
      <c r="BD418" s="6"/>
      <c r="BI418" s="6"/>
      <c r="BT418" s="6"/>
      <c r="BU418" s="6"/>
      <c r="BZ418" s="6"/>
      <c r="CD418" s="6"/>
      <c r="CE418" s="6"/>
      <c r="CJ418" s="6"/>
      <c r="DV418" s="6"/>
      <c r="DW418" s="6"/>
      <c r="EB418" s="6"/>
      <c r="EF418" s="6"/>
      <c r="EG418" s="6"/>
      <c r="EL418" s="6"/>
      <c r="EW418" s="6"/>
      <c r="EX418" s="6"/>
      <c r="FC418" s="6"/>
      <c r="FG418" s="6"/>
      <c r="FH418" s="6"/>
      <c r="FM418" s="6"/>
      <c r="FX418" s="6"/>
      <c r="FY418" s="6"/>
      <c r="GD418" s="6"/>
      <c r="GH418" s="6"/>
      <c r="GI418" s="6"/>
      <c r="GN418" s="6"/>
      <c r="GY418" s="6"/>
      <c r="GZ418" s="6"/>
      <c r="HE418" s="6"/>
      <c r="HI418" s="6"/>
      <c r="HJ418" s="6"/>
      <c r="HO418" s="6"/>
      <c r="JA418" s="6"/>
      <c r="JB418" s="6"/>
      <c r="JG418" s="6"/>
      <c r="JK418" s="6"/>
      <c r="JL418" s="6"/>
      <c r="JQ418" s="6"/>
      <c r="KB418" s="6"/>
      <c r="KC418" s="6"/>
      <c r="KH418" s="6"/>
      <c r="KL418" s="6"/>
      <c r="KM418" s="6"/>
      <c r="KR418" s="6"/>
      <c r="KW418" s="8"/>
      <c r="KX418" s="8"/>
      <c r="KY418" s="8"/>
      <c r="LC418" s="6"/>
      <c r="LD418" s="6"/>
      <c r="LI418" s="6"/>
      <c r="LM418" s="6"/>
      <c r="LN418" s="6"/>
      <c r="LS418" s="6"/>
      <c r="MD418" s="6"/>
      <c r="ME418" s="6"/>
      <c r="MJ418" s="6"/>
      <c r="MN418" s="6"/>
      <c r="MO418" s="6"/>
      <c r="MT418" s="6"/>
      <c r="OF418" s="6"/>
      <c r="OG418" s="6"/>
      <c r="OL418" s="6"/>
      <c r="OP418" s="6"/>
      <c r="OQ418" s="6"/>
      <c r="OV418" s="6"/>
      <c r="PG418" s="6"/>
      <c r="PH418" s="6"/>
      <c r="PM418" s="6"/>
      <c r="PQ418" s="6"/>
      <c r="PR418" s="6"/>
      <c r="PW418" s="6"/>
      <c r="QH418" s="6"/>
      <c r="QI418" s="6"/>
      <c r="QN418" s="6"/>
      <c r="QR418" s="6"/>
      <c r="QS418" s="6"/>
      <c r="QX418" s="6"/>
      <c r="RI418" s="6"/>
      <c r="RJ418" s="6"/>
      <c r="RO418" s="6"/>
      <c r="RS418" s="6"/>
      <c r="RT418" s="6"/>
      <c r="RY418" s="6"/>
      <c r="SJ418" s="6"/>
      <c r="SK418" s="6"/>
      <c r="SP418" s="6"/>
      <c r="ST418" s="6"/>
      <c r="SU418" s="6"/>
      <c r="SZ418" s="6"/>
    </row>
    <row r="419" spans="12:520" x14ac:dyDescent="0.3">
      <c r="S419" s="6"/>
      <c r="T419" s="6"/>
      <c r="U419" s="6"/>
      <c r="W419" s="6"/>
      <c r="AA419" s="6"/>
      <c r="AB419" s="6"/>
      <c r="AH419" s="6"/>
      <c r="AS419" s="6"/>
      <c r="AT419" s="6"/>
      <c r="AY419" s="6"/>
      <c r="BC419" s="6"/>
      <c r="BD419" s="6"/>
      <c r="BI419" s="6"/>
      <c r="BT419" s="6"/>
      <c r="BU419" s="6"/>
      <c r="BZ419" s="6"/>
      <c r="CD419" s="6"/>
      <c r="CE419" s="6"/>
      <c r="CJ419" s="6"/>
      <c r="DV419" s="6"/>
      <c r="DW419" s="6"/>
      <c r="EB419" s="6"/>
      <c r="EF419" s="6"/>
      <c r="EG419" s="6"/>
      <c r="EL419" s="6"/>
      <c r="EW419" s="6"/>
      <c r="EX419" s="6"/>
      <c r="FC419" s="6"/>
      <c r="FG419" s="6"/>
      <c r="FH419" s="6"/>
      <c r="FM419" s="6"/>
      <c r="FX419" s="6"/>
      <c r="FY419" s="6"/>
      <c r="GD419" s="6"/>
      <c r="GH419" s="6"/>
      <c r="GI419" s="6"/>
      <c r="GN419" s="6"/>
      <c r="GY419" s="6"/>
      <c r="GZ419" s="6"/>
      <c r="HE419" s="6"/>
      <c r="HI419" s="6"/>
      <c r="HJ419" s="6"/>
      <c r="HO419" s="6"/>
      <c r="JA419" s="6"/>
      <c r="JB419" s="6"/>
      <c r="JG419" s="6"/>
      <c r="JK419" s="6"/>
      <c r="JL419" s="6"/>
      <c r="JQ419" s="6"/>
      <c r="KB419" s="6"/>
      <c r="KC419" s="6"/>
      <c r="KH419" s="6"/>
      <c r="KL419" s="6"/>
      <c r="KM419" s="6"/>
      <c r="KR419" s="6"/>
      <c r="MD419" s="6"/>
      <c r="ME419" s="6"/>
      <c r="MJ419" s="6"/>
      <c r="MN419" s="6"/>
      <c r="MO419" s="6"/>
      <c r="MT419" s="6"/>
      <c r="OF419" s="6"/>
      <c r="OG419" s="6"/>
      <c r="OL419" s="6"/>
      <c r="OP419" s="6"/>
      <c r="OQ419" s="6"/>
      <c r="OV419" s="6"/>
      <c r="PG419" s="6"/>
      <c r="PH419" s="6"/>
      <c r="PM419" s="6"/>
      <c r="PQ419" s="6"/>
      <c r="PR419" s="6"/>
      <c r="PW419" s="6"/>
      <c r="QH419" s="6"/>
      <c r="QI419" s="6"/>
      <c r="QN419" s="6"/>
      <c r="QR419" s="6"/>
      <c r="QS419" s="6"/>
      <c r="QX419" s="6"/>
      <c r="RI419" s="6"/>
      <c r="RJ419" s="6"/>
      <c r="RO419" s="6"/>
      <c r="RS419" s="6"/>
      <c r="RT419" s="6"/>
      <c r="RY419" s="6"/>
      <c r="SJ419" s="6"/>
      <c r="SK419" s="6"/>
      <c r="SP419" s="6"/>
      <c r="ST419" s="6"/>
      <c r="SU419" s="6"/>
      <c r="SZ419" s="6"/>
    </row>
    <row r="420" spans="12:520" x14ac:dyDescent="0.3">
      <c r="S420" s="6"/>
      <c r="T420" s="6"/>
      <c r="U420" s="6"/>
      <c r="W420" s="6"/>
      <c r="AA420" s="6"/>
      <c r="AB420" s="6"/>
      <c r="AH420" s="6"/>
      <c r="AS420" s="6"/>
      <c r="AT420" s="6"/>
      <c r="AY420" s="6"/>
      <c r="BC420" s="6"/>
      <c r="BD420" s="6"/>
      <c r="BI420" s="6"/>
      <c r="BT420" s="6"/>
      <c r="BU420" s="6"/>
      <c r="BZ420" s="6"/>
      <c r="CD420" s="6"/>
      <c r="CE420" s="6"/>
      <c r="CJ420" s="6"/>
      <c r="DP420" s="8"/>
      <c r="DQ420" s="8"/>
      <c r="DR420" s="8"/>
      <c r="DV420" s="6"/>
      <c r="DW420" s="6"/>
      <c r="EB420" s="6"/>
      <c r="EF420" s="6"/>
      <c r="EG420" s="6"/>
      <c r="EL420" s="6"/>
      <c r="EW420" s="6"/>
      <c r="EX420" s="6"/>
      <c r="FC420" s="6"/>
      <c r="FG420" s="6"/>
      <c r="FH420" s="6"/>
      <c r="FM420" s="6"/>
      <c r="FX420" s="6"/>
      <c r="FY420" s="6"/>
      <c r="GD420" s="6"/>
      <c r="GH420" s="6"/>
      <c r="GI420" s="6"/>
      <c r="GN420" s="6"/>
      <c r="GY420" s="6"/>
      <c r="GZ420" s="6"/>
      <c r="HE420" s="6"/>
      <c r="HI420" s="6"/>
      <c r="HJ420" s="6"/>
      <c r="HO420" s="6"/>
      <c r="JA420" s="6"/>
      <c r="JB420" s="6"/>
      <c r="JG420" s="6"/>
      <c r="JK420" s="6"/>
      <c r="JL420" s="6"/>
      <c r="JQ420" s="6"/>
      <c r="KB420" s="6"/>
      <c r="KC420" s="6"/>
      <c r="KH420" s="6"/>
      <c r="KL420" s="6"/>
      <c r="KM420" s="6"/>
      <c r="KR420" s="6"/>
      <c r="MD420" s="6"/>
      <c r="ME420" s="6"/>
      <c r="MJ420" s="6"/>
      <c r="MN420" s="6"/>
      <c r="MO420" s="6"/>
      <c r="MT420" s="6"/>
      <c r="OF420" s="6"/>
      <c r="OG420" s="6"/>
      <c r="OL420" s="6"/>
      <c r="OP420" s="6"/>
      <c r="OQ420" s="6"/>
      <c r="OV420" s="6"/>
      <c r="PG420" s="6"/>
      <c r="PH420" s="6"/>
      <c r="PM420" s="6"/>
      <c r="PQ420" s="6"/>
      <c r="PR420" s="6"/>
      <c r="PW420" s="6"/>
      <c r="QH420" s="6"/>
      <c r="QI420" s="6"/>
      <c r="QN420" s="6"/>
      <c r="QR420" s="6"/>
      <c r="QS420" s="6"/>
      <c r="QX420" s="6"/>
      <c r="RI420" s="6"/>
      <c r="RJ420" s="6"/>
      <c r="RO420" s="6"/>
      <c r="RS420" s="6"/>
      <c r="RT420" s="6"/>
      <c r="RY420" s="6"/>
      <c r="SJ420" s="6"/>
      <c r="SK420" s="6"/>
      <c r="SP420" s="6"/>
      <c r="ST420" s="6"/>
      <c r="SU420" s="6"/>
      <c r="SZ420" s="6"/>
    </row>
    <row r="421" spans="12:520" x14ac:dyDescent="0.3">
      <c r="L421" s="8"/>
      <c r="M421" s="8"/>
      <c r="N421" s="8"/>
      <c r="S421" s="6"/>
      <c r="T421" s="6"/>
      <c r="U421" s="6"/>
      <c r="W421" s="6"/>
      <c r="AA421" s="6"/>
      <c r="AB421" s="6"/>
      <c r="AH421" s="6"/>
      <c r="AS421" s="6"/>
      <c r="AT421" s="6"/>
      <c r="AY421" s="6"/>
      <c r="BC421" s="6"/>
      <c r="BD421" s="6"/>
      <c r="BI421" s="6"/>
      <c r="BN421" s="8"/>
      <c r="BO421" s="8"/>
      <c r="BP421" s="8"/>
      <c r="BT421" s="6"/>
      <c r="BU421" s="6"/>
      <c r="BZ421" s="6"/>
      <c r="CD421" s="6"/>
      <c r="CE421" s="6"/>
      <c r="CJ421" s="6"/>
      <c r="EQ421" s="8"/>
      <c r="ER421" s="8"/>
      <c r="ES421" s="8"/>
      <c r="EW421" s="6"/>
      <c r="EX421" s="6"/>
      <c r="FC421" s="6"/>
      <c r="FG421" s="6"/>
      <c r="FH421" s="6"/>
      <c r="FM421" s="6"/>
      <c r="FR421" s="8"/>
      <c r="FS421" s="8"/>
      <c r="FT421" s="8"/>
      <c r="FX421" s="6"/>
      <c r="FY421" s="6"/>
      <c r="GD421" s="6"/>
      <c r="GH421" s="6"/>
      <c r="GI421" s="6"/>
      <c r="GN421" s="6"/>
      <c r="GS421" s="8"/>
      <c r="GT421" s="8"/>
      <c r="GU421" s="8"/>
      <c r="GY421" s="6"/>
      <c r="GZ421" s="6"/>
      <c r="HE421" s="6"/>
      <c r="HI421" s="6"/>
      <c r="HJ421" s="6"/>
      <c r="HO421" s="6"/>
      <c r="IU421" s="8"/>
      <c r="IV421" s="8"/>
      <c r="IW421" s="8"/>
      <c r="JA421" s="6"/>
      <c r="JB421" s="6"/>
      <c r="JG421" s="6"/>
      <c r="JK421" s="6"/>
      <c r="JL421" s="6"/>
      <c r="JQ421" s="6"/>
      <c r="JV421" s="8"/>
      <c r="JW421" s="8"/>
      <c r="JX421" s="8"/>
      <c r="KB421" s="6"/>
      <c r="KC421" s="6"/>
      <c r="KH421" s="6"/>
      <c r="KL421" s="6"/>
      <c r="KM421" s="6"/>
      <c r="KR421" s="6"/>
      <c r="LX421" s="8"/>
      <c r="LY421" s="8"/>
      <c r="LZ421" s="8"/>
      <c r="MD421" s="6"/>
      <c r="ME421" s="6"/>
      <c r="MJ421" s="6"/>
      <c r="MN421" s="6"/>
      <c r="MO421" s="6"/>
      <c r="MT421" s="6"/>
      <c r="NZ421" s="8"/>
      <c r="OA421" s="8"/>
      <c r="OB421" s="8"/>
      <c r="OF421" s="6"/>
      <c r="OG421" s="6"/>
      <c r="OL421" s="6"/>
      <c r="OP421" s="6"/>
      <c r="OQ421" s="6"/>
      <c r="OV421" s="6"/>
      <c r="PA421" s="8"/>
      <c r="PB421" s="8"/>
      <c r="PC421" s="8"/>
      <c r="PG421" s="6"/>
      <c r="PH421" s="6"/>
      <c r="PM421" s="6"/>
      <c r="PQ421" s="6"/>
      <c r="PR421" s="6"/>
      <c r="PW421" s="6"/>
      <c r="QB421" s="8"/>
      <c r="QC421" s="8"/>
      <c r="QD421" s="8"/>
      <c r="QH421" s="6"/>
      <c r="QI421" s="6"/>
      <c r="QN421" s="6"/>
      <c r="QR421" s="6"/>
      <c r="QS421" s="6"/>
      <c r="QX421" s="6"/>
      <c r="RC421" s="8"/>
      <c r="RD421" s="8"/>
      <c r="RE421" s="8"/>
      <c r="RI421" s="6"/>
      <c r="RJ421" s="6"/>
      <c r="RO421" s="6"/>
      <c r="RS421" s="6"/>
      <c r="RT421" s="6"/>
      <c r="RY421" s="6"/>
      <c r="SD421" s="8"/>
      <c r="SE421" s="8"/>
      <c r="SF421" s="8"/>
      <c r="SJ421" s="6"/>
      <c r="SK421" s="6"/>
      <c r="SP421" s="6"/>
      <c r="ST421" s="6"/>
      <c r="SU421" s="6"/>
      <c r="SZ421" s="6"/>
    </row>
    <row r="422" spans="12:520" x14ac:dyDescent="0.3">
      <c r="AS422" s="6"/>
    </row>
    <row r="423" spans="12:520" x14ac:dyDescent="0.3">
      <c r="R423" s="6"/>
      <c r="S423" s="7"/>
      <c r="T423" s="7"/>
      <c r="Z423" s="6"/>
      <c r="AA423" s="7"/>
      <c r="AG423" s="6"/>
      <c r="AS423" s="6"/>
      <c r="AX423" s="6"/>
      <c r="BB423" s="6"/>
      <c r="BC423" s="7"/>
      <c r="BH423" s="6"/>
      <c r="BS423" s="6"/>
      <c r="BT423" s="7"/>
      <c r="BY423" s="6"/>
      <c r="CC423" s="6"/>
      <c r="CD423" s="7"/>
      <c r="CI423" s="6"/>
      <c r="CT423" s="6"/>
      <c r="CU423" s="7"/>
      <c r="CZ423" s="6"/>
      <c r="DD423" s="6"/>
      <c r="DE423" s="7"/>
      <c r="DJ423" s="6"/>
      <c r="DU423" s="6"/>
      <c r="DV423" s="7"/>
      <c r="EA423" s="6"/>
      <c r="EE423" s="6"/>
      <c r="EF423" s="7"/>
      <c r="EK423" s="6"/>
      <c r="EV423" s="6"/>
      <c r="EW423" s="7"/>
      <c r="FB423" s="6"/>
      <c r="FF423" s="6"/>
      <c r="FG423" s="7"/>
      <c r="FL423" s="6"/>
      <c r="FW423" s="6"/>
      <c r="FX423" s="7"/>
      <c r="GC423" s="6"/>
      <c r="GG423" s="6"/>
      <c r="GH423" s="7"/>
      <c r="GM423" s="6"/>
      <c r="GX423" s="6"/>
      <c r="GY423" s="7"/>
      <c r="HD423" s="6"/>
      <c r="HH423" s="6"/>
      <c r="HI423" s="7"/>
      <c r="HN423" s="6"/>
      <c r="HY423" s="6"/>
      <c r="HZ423" s="7"/>
      <c r="IE423" s="6"/>
      <c r="II423" s="6"/>
      <c r="IJ423" s="7"/>
      <c r="IO423" s="6"/>
      <c r="IZ423" s="6"/>
      <c r="JA423" s="7"/>
      <c r="JF423" s="6"/>
      <c r="JJ423" s="6"/>
      <c r="JK423" s="7"/>
      <c r="JP423" s="6"/>
      <c r="KA423" s="6"/>
      <c r="KB423" s="7"/>
      <c r="KG423" s="6"/>
      <c r="KK423" s="6"/>
      <c r="KL423" s="7"/>
      <c r="KQ423" s="6"/>
      <c r="LB423" s="6"/>
      <c r="LC423" s="7"/>
      <c r="LH423" s="6"/>
      <c r="LL423" s="6"/>
      <c r="LM423" s="7"/>
      <c r="LR423" s="6"/>
      <c r="MC423" s="6"/>
      <c r="MD423" s="7"/>
      <c r="MI423" s="6"/>
      <c r="MM423" s="6"/>
      <c r="MN423" s="7"/>
      <c r="MS423" s="6"/>
      <c r="ND423" s="6"/>
      <c r="NE423" s="7"/>
      <c r="NJ423" s="6"/>
      <c r="NN423" s="6"/>
      <c r="NO423" s="7"/>
      <c r="NT423" s="6"/>
      <c r="OE423" s="6"/>
      <c r="OF423" s="7"/>
      <c r="OK423" s="6"/>
      <c r="OO423" s="6"/>
      <c r="OP423" s="7"/>
      <c r="OU423" s="6"/>
      <c r="PF423" s="6"/>
      <c r="PG423" s="7"/>
      <c r="PL423" s="6"/>
      <c r="PP423" s="6"/>
      <c r="PQ423" s="7"/>
      <c r="PV423" s="6"/>
      <c r="QG423" s="6"/>
      <c r="QH423" s="7"/>
      <c r="QM423" s="6"/>
      <c r="QQ423" s="6"/>
      <c r="QR423" s="7"/>
      <c r="QW423" s="6"/>
      <c r="RH423" s="6"/>
      <c r="RI423" s="7"/>
      <c r="RN423" s="6"/>
      <c r="RR423" s="6"/>
      <c r="RS423" s="7"/>
      <c r="RX423" s="6"/>
      <c r="SI423" s="6"/>
      <c r="SJ423" s="7"/>
      <c r="SO423" s="6"/>
      <c r="SS423" s="6"/>
      <c r="ST423" s="7"/>
      <c r="SY423" s="6"/>
    </row>
    <row r="424" spans="12:520" x14ac:dyDescent="0.3">
      <c r="O424" s="5"/>
      <c r="R424" s="5"/>
      <c r="S424" s="6"/>
      <c r="T424" s="6"/>
      <c r="U424" s="7"/>
      <c r="W424" s="6"/>
      <c r="X424" s="5"/>
      <c r="Z424" s="5"/>
      <c r="AA424" s="6"/>
      <c r="AB424" s="7"/>
      <c r="AG424" s="5"/>
      <c r="AH424" s="6"/>
      <c r="AS424" s="6"/>
      <c r="AT424" s="7"/>
      <c r="AW424" s="5"/>
      <c r="AY424" s="6"/>
      <c r="BC424" s="6"/>
      <c r="BD424" s="6"/>
      <c r="BI424" s="6"/>
      <c r="BT424" s="6"/>
      <c r="BU424" s="6"/>
      <c r="BZ424" s="6"/>
      <c r="CD424" s="6"/>
      <c r="CE424" s="6"/>
      <c r="CJ424" s="6"/>
      <c r="CO424" s="8"/>
      <c r="CP424" s="8"/>
      <c r="CQ424" s="8"/>
      <c r="CU424" s="6"/>
      <c r="CV424" s="6"/>
      <c r="DA424" s="6"/>
      <c r="DE424" s="6"/>
      <c r="DF424" s="6"/>
      <c r="DK424" s="6"/>
      <c r="DV424" s="6"/>
      <c r="DW424" s="6"/>
      <c r="EB424" s="6"/>
      <c r="EF424" s="6"/>
      <c r="EG424" s="6"/>
      <c r="EL424" s="6"/>
      <c r="EW424" s="6"/>
      <c r="EX424" s="6"/>
      <c r="FC424" s="6"/>
      <c r="FG424" s="6"/>
      <c r="FH424" s="6"/>
      <c r="FM424" s="6"/>
      <c r="FX424" s="6"/>
      <c r="FY424" s="6"/>
      <c r="GD424" s="6"/>
      <c r="GH424" s="6"/>
      <c r="GI424" s="6"/>
      <c r="GN424" s="6"/>
      <c r="GY424" s="6"/>
      <c r="GZ424" s="6"/>
      <c r="HE424" s="6"/>
      <c r="HI424" s="6"/>
      <c r="HJ424" s="6"/>
      <c r="HO424" s="6"/>
      <c r="HZ424" s="6"/>
      <c r="IA424" s="6"/>
      <c r="IF424" s="6"/>
      <c r="IJ424" s="6"/>
      <c r="IK424" s="6"/>
      <c r="IP424" s="6"/>
      <c r="JA424" s="6"/>
      <c r="JB424" s="6"/>
      <c r="JG424" s="6"/>
      <c r="JK424" s="6"/>
      <c r="JL424" s="6"/>
      <c r="JQ424" s="6"/>
      <c r="KB424" s="6"/>
      <c r="KC424" s="6"/>
      <c r="KH424" s="6"/>
      <c r="KL424" s="6"/>
      <c r="KM424" s="6"/>
      <c r="KR424" s="6"/>
      <c r="LC424" s="6"/>
      <c r="LD424" s="6"/>
      <c r="LI424" s="6"/>
      <c r="LM424" s="6"/>
      <c r="LN424" s="6"/>
      <c r="LS424" s="6"/>
      <c r="MD424" s="6"/>
      <c r="ME424" s="6"/>
      <c r="MJ424" s="6"/>
      <c r="MN424" s="6"/>
      <c r="MO424" s="6"/>
      <c r="MT424" s="6"/>
      <c r="NE424" s="6"/>
      <c r="NF424" s="6"/>
      <c r="NK424" s="6"/>
      <c r="NO424" s="6"/>
      <c r="NP424" s="6"/>
      <c r="NU424" s="6"/>
      <c r="OF424" s="6"/>
      <c r="OG424" s="6"/>
      <c r="OL424" s="6"/>
      <c r="OP424" s="6"/>
      <c r="OQ424" s="6"/>
      <c r="OV424" s="6"/>
      <c r="PG424" s="6"/>
      <c r="PH424" s="6"/>
      <c r="PM424" s="6"/>
      <c r="PQ424" s="6"/>
      <c r="PR424" s="6"/>
      <c r="PW424" s="6"/>
      <c r="QH424" s="6"/>
      <c r="QI424" s="6"/>
      <c r="QN424" s="6"/>
      <c r="QR424" s="6"/>
      <c r="QS424" s="6"/>
      <c r="QX424" s="6"/>
      <c r="RI424" s="6"/>
      <c r="RJ424" s="6"/>
      <c r="RO424" s="6"/>
      <c r="RS424" s="6"/>
      <c r="RT424" s="6"/>
      <c r="RY424" s="6"/>
      <c r="SJ424" s="6"/>
      <c r="SK424" s="6"/>
      <c r="SP424" s="6"/>
      <c r="ST424" s="6"/>
      <c r="SU424" s="6"/>
      <c r="SZ424" s="6"/>
    </row>
    <row r="425" spans="12:520" x14ac:dyDescent="0.3">
      <c r="R425" s="5"/>
      <c r="S425" s="6"/>
      <c r="T425" s="6"/>
      <c r="U425" s="7"/>
      <c r="W425" s="6"/>
      <c r="Z425" s="5"/>
      <c r="AA425" s="6"/>
      <c r="AB425" s="7"/>
      <c r="AG425" s="5"/>
      <c r="AH425" s="6"/>
      <c r="AM425" s="8"/>
      <c r="AN425" s="8"/>
      <c r="AO425" s="8"/>
      <c r="AS425" s="6"/>
      <c r="AT425" s="7"/>
      <c r="AW425" s="5"/>
      <c r="AY425" s="6"/>
      <c r="BC425" s="6"/>
      <c r="BD425" s="6"/>
      <c r="BI425" s="6"/>
      <c r="BT425" s="6"/>
      <c r="BU425" s="6"/>
      <c r="BZ425" s="6"/>
      <c r="CD425" s="6"/>
      <c r="CE425" s="6"/>
      <c r="CJ425" s="6"/>
      <c r="DV425" s="6"/>
      <c r="DW425" s="6"/>
      <c r="EB425" s="6"/>
      <c r="EF425" s="6"/>
      <c r="EG425" s="6"/>
      <c r="EL425" s="6"/>
      <c r="EW425" s="6"/>
      <c r="EX425" s="6"/>
      <c r="FC425" s="6"/>
      <c r="FG425" s="6"/>
      <c r="FH425" s="6"/>
      <c r="FM425" s="6"/>
      <c r="FX425" s="6"/>
      <c r="FY425" s="6"/>
      <c r="GD425" s="6"/>
      <c r="GH425" s="6"/>
      <c r="GI425" s="6"/>
      <c r="GN425" s="6"/>
      <c r="GY425" s="6"/>
      <c r="GZ425" s="6"/>
      <c r="HE425" s="6"/>
      <c r="HI425" s="6"/>
      <c r="HJ425" s="6"/>
      <c r="HO425" s="6"/>
      <c r="HZ425" s="6"/>
      <c r="IA425" s="6"/>
      <c r="IF425" s="6"/>
      <c r="IJ425" s="6"/>
      <c r="IK425" s="6"/>
      <c r="IP425" s="6"/>
      <c r="JA425" s="6"/>
      <c r="JB425" s="6"/>
      <c r="JG425" s="6"/>
      <c r="JK425" s="6"/>
      <c r="JL425" s="6"/>
      <c r="JQ425" s="6"/>
      <c r="KB425" s="6"/>
      <c r="KC425" s="6"/>
      <c r="KH425" s="6"/>
      <c r="KL425" s="6"/>
      <c r="KM425" s="6"/>
      <c r="KR425" s="6"/>
      <c r="LC425" s="6"/>
      <c r="LD425" s="6"/>
      <c r="LI425" s="6"/>
      <c r="LM425" s="6"/>
      <c r="LN425" s="6"/>
      <c r="LS425" s="6"/>
      <c r="MD425" s="6"/>
      <c r="ME425" s="6"/>
      <c r="MJ425" s="6"/>
      <c r="MN425" s="6"/>
      <c r="MO425" s="6"/>
      <c r="MT425" s="6"/>
      <c r="NE425" s="6"/>
      <c r="NF425" s="6"/>
      <c r="NK425" s="6"/>
      <c r="NO425" s="6"/>
      <c r="NP425" s="6"/>
      <c r="NU425" s="6"/>
      <c r="OF425" s="6"/>
      <c r="OG425" s="6"/>
      <c r="OL425" s="6"/>
      <c r="OP425" s="6"/>
      <c r="OQ425" s="6"/>
      <c r="OV425" s="6"/>
      <c r="PG425" s="6"/>
      <c r="PH425" s="6"/>
      <c r="PM425" s="6"/>
      <c r="PQ425" s="6"/>
      <c r="PR425" s="6"/>
      <c r="PW425" s="6"/>
      <c r="QH425" s="6"/>
      <c r="QI425" s="6"/>
      <c r="QN425" s="6"/>
      <c r="QR425" s="6"/>
      <c r="QS425" s="6"/>
      <c r="QX425" s="6"/>
      <c r="RI425" s="6"/>
      <c r="RJ425" s="6"/>
      <c r="RO425" s="6"/>
      <c r="RS425" s="6"/>
      <c r="RT425" s="6"/>
      <c r="RY425" s="6"/>
      <c r="SJ425" s="6"/>
      <c r="SK425" s="6"/>
      <c r="SP425" s="6"/>
      <c r="ST425" s="6"/>
      <c r="SU425" s="6"/>
      <c r="SZ425" s="6"/>
    </row>
    <row r="426" spans="12:520" x14ac:dyDescent="0.3">
      <c r="R426" s="5"/>
      <c r="S426" s="6"/>
      <c r="T426" s="6"/>
      <c r="U426" s="7"/>
      <c r="W426" s="7"/>
      <c r="Z426" s="5"/>
      <c r="AA426" s="6"/>
      <c r="AB426" s="7"/>
      <c r="AG426" s="5"/>
      <c r="AH426" s="7"/>
      <c r="AT426" s="7"/>
      <c r="AW426" s="5"/>
      <c r="AY426" s="6"/>
      <c r="BC426" s="6"/>
      <c r="BD426" s="6"/>
      <c r="BI426" s="6"/>
      <c r="BT426" s="6"/>
      <c r="BU426" s="6"/>
      <c r="BZ426" s="6"/>
      <c r="CD426" s="6"/>
      <c r="CE426" s="6"/>
      <c r="CJ426" s="6"/>
      <c r="DV426" s="6"/>
      <c r="DW426" s="6"/>
      <c r="EB426" s="6"/>
      <c r="EF426" s="6"/>
      <c r="EG426" s="6"/>
      <c r="EL426" s="6"/>
      <c r="EW426" s="6"/>
      <c r="EX426" s="6"/>
      <c r="FC426" s="6"/>
      <c r="FG426" s="6"/>
      <c r="FH426" s="6"/>
      <c r="FM426" s="6"/>
      <c r="FX426" s="6"/>
      <c r="FY426" s="6"/>
      <c r="GD426" s="6"/>
      <c r="GH426" s="6"/>
      <c r="GI426" s="6"/>
      <c r="GN426" s="6"/>
      <c r="GY426" s="6"/>
      <c r="GZ426" s="6"/>
      <c r="HE426" s="6"/>
      <c r="HI426" s="6"/>
      <c r="HJ426" s="6"/>
      <c r="HO426" s="6"/>
      <c r="HT426" s="8"/>
      <c r="HU426" s="8"/>
      <c r="HV426" s="8"/>
      <c r="HZ426" s="6"/>
      <c r="IA426" s="6"/>
      <c r="IF426" s="6"/>
      <c r="IJ426" s="6"/>
      <c r="IK426" s="6"/>
      <c r="IP426" s="6"/>
      <c r="JA426" s="6"/>
      <c r="JB426" s="6"/>
      <c r="JG426" s="6"/>
      <c r="JK426" s="6"/>
      <c r="JL426" s="6"/>
      <c r="JQ426" s="6"/>
      <c r="KB426" s="6"/>
      <c r="KC426" s="6"/>
      <c r="KH426" s="6"/>
      <c r="KL426" s="6"/>
      <c r="KM426" s="6"/>
      <c r="KR426" s="6"/>
      <c r="LC426" s="6"/>
      <c r="LD426" s="6"/>
      <c r="LI426" s="6"/>
      <c r="LM426" s="6"/>
      <c r="LN426" s="6"/>
      <c r="LS426" s="6"/>
      <c r="MD426" s="6"/>
      <c r="ME426" s="6"/>
      <c r="MJ426" s="6"/>
      <c r="MN426" s="6"/>
      <c r="MO426" s="6"/>
      <c r="MT426" s="6"/>
      <c r="NE426" s="6"/>
      <c r="NF426" s="6"/>
      <c r="NK426" s="6"/>
      <c r="NO426" s="6"/>
      <c r="NP426" s="6"/>
      <c r="NU426" s="6"/>
      <c r="OF426" s="6"/>
      <c r="OG426" s="6"/>
      <c r="OL426" s="6"/>
      <c r="OP426" s="6"/>
      <c r="OQ426" s="6"/>
      <c r="OV426" s="6"/>
      <c r="PG426" s="6"/>
      <c r="PH426" s="6"/>
      <c r="PM426" s="6"/>
      <c r="PQ426" s="6"/>
      <c r="PR426" s="6"/>
      <c r="PW426" s="6"/>
      <c r="QH426" s="6"/>
      <c r="QI426" s="6"/>
      <c r="QN426" s="6"/>
      <c r="QR426" s="6"/>
      <c r="QS426" s="6"/>
      <c r="QX426" s="6"/>
      <c r="RI426" s="6"/>
      <c r="RJ426" s="6"/>
      <c r="RO426" s="6"/>
      <c r="RS426" s="6"/>
      <c r="RT426" s="6"/>
      <c r="RY426" s="6"/>
      <c r="SJ426" s="6"/>
      <c r="SK426" s="6"/>
      <c r="SP426" s="6"/>
      <c r="ST426" s="6"/>
      <c r="SU426" s="6"/>
      <c r="SZ426" s="6"/>
    </row>
    <row r="427" spans="12:520" x14ac:dyDescent="0.3">
      <c r="R427" s="5"/>
      <c r="S427" s="6"/>
      <c r="T427" s="6"/>
      <c r="U427" s="7"/>
      <c r="W427" s="6"/>
      <c r="Z427" s="5"/>
      <c r="AA427" s="6"/>
      <c r="AB427" s="7"/>
      <c r="AG427" s="5"/>
      <c r="AH427" s="6"/>
      <c r="AR427" s="6"/>
      <c r="AS427" s="7"/>
      <c r="AT427" s="7"/>
      <c r="AW427" s="5"/>
      <c r="AY427" s="7"/>
      <c r="BC427" s="6"/>
      <c r="BD427" s="6"/>
      <c r="BI427" s="6"/>
      <c r="BT427" s="6"/>
      <c r="BU427" s="6"/>
      <c r="BZ427" s="6"/>
      <c r="CD427" s="6"/>
      <c r="CE427" s="6"/>
      <c r="CJ427" s="6"/>
      <c r="DV427" s="6"/>
      <c r="DW427" s="6"/>
      <c r="EB427" s="6"/>
      <c r="EF427" s="6"/>
      <c r="EG427" s="6"/>
      <c r="EL427" s="6"/>
      <c r="EW427" s="6"/>
      <c r="EX427" s="6"/>
      <c r="FC427" s="6"/>
      <c r="FG427" s="6"/>
      <c r="FH427" s="6"/>
      <c r="FM427" s="6"/>
      <c r="FX427" s="6"/>
      <c r="FY427" s="6"/>
      <c r="GD427" s="6"/>
      <c r="GH427" s="6"/>
      <c r="GI427" s="6"/>
      <c r="GN427" s="6"/>
      <c r="GY427" s="6"/>
      <c r="GZ427" s="6"/>
      <c r="HE427" s="6"/>
      <c r="HI427" s="6"/>
      <c r="HJ427" s="6"/>
      <c r="HO427" s="6"/>
      <c r="JA427" s="6"/>
      <c r="JB427" s="6"/>
      <c r="JG427" s="6"/>
      <c r="JK427" s="6"/>
      <c r="JL427" s="6"/>
      <c r="JQ427" s="6"/>
      <c r="KB427" s="6"/>
      <c r="KC427" s="6"/>
      <c r="KH427" s="6"/>
      <c r="KL427" s="6"/>
      <c r="KM427" s="6"/>
      <c r="KR427" s="6"/>
      <c r="LC427" s="6"/>
      <c r="LD427" s="6"/>
      <c r="LI427" s="6"/>
      <c r="LM427" s="6"/>
      <c r="LN427" s="6"/>
      <c r="LS427" s="6"/>
      <c r="MD427" s="6"/>
      <c r="ME427" s="6"/>
      <c r="MJ427" s="6"/>
      <c r="MN427" s="6"/>
      <c r="MO427" s="6"/>
      <c r="MT427" s="6"/>
      <c r="NE427" s="6"/>
      <c r="NF427" s="6"/>
      <c r="NK427" s="6"/>
      <c r="NO427" s="6"/>
      <c r="NP427" s="6"/>
      <c r="NU427" s="6"/>
      <c r="OF427" s="6"/>
      <c r="OG427" s="6"/>
      <c r="OL427" s="6"/>
      <c r="OP427" s="6"/>
      <c r="OQ427" s="6"/>
      <c r="OV427" s="6"/>
      <c r="PG427" s="6"/>
      <c r="PH427" s="6"/>
      <c r="PM427" s="6"/>
      <c r="PQ427" s="6"/>
      <c r="PR427" s="6"/>
      <c r="PW427" s="6"/>
      <c r="QH427" s="6"/>
      <c r="QI427" s="6"/>
      <c r="QN427" s="6"/>
      <c r="QR427" s="6"/>
      <c r="QS427" s="6"/>
      <c r="QX427" s="6"/>
      <c r="RI427" s="6"/>
      <c r="RJ427" s="6"/>
      <c r="RO427" s="6"/>
      <c r="RS427" s="6"/>
      <c r="RT427" s="6"/>
      <c r="RY427" s="6"/>
      <c r="SJ427" s="6"/>
      <c r="SK427" s="6"/>
      <c r="SP427" s="6"/>
      <c r="ST427" s="6"/>
      <c r="SU427" s="6"/>
      <c r="SZ427" s="6"/>
    </row>
    <row r="428" spans="12:520" x14ac:dyDescent="0.3">
      <c r="R428" s="5"/>
      <c r="S428" s="6"/>
      <c r="T428" s="6"/>
      <c r="U428" s="7"/>
      <c r="W428" s="6"/>
      <c r="Z428" s="5"/>
      <c r="AA428" s="6"/>
      <c r="AB428" s="7"/>
      <c r="AG428" s="5"/>
      <c r="AH428" s="6"/>
      <c r="AQ428" s="5"/>
      <c r="AR428" s="5"/>
      <c r="AS428" s="6"/>
      <c r="AT428" s="7"/>
      <c r="AW428" s="5"/>
      <c r="AY428" s="6"/>
      <c r="BC428" s="6"/>
      <c r="BD428" s="6"/>
      <c r="BI428" s="6"/>
      <c r="BT428" s="6"/>
      <c r="BU428" s="6"/>
      <c r="BZ428" s="6"/>
      <c r="CD428" s="6"/>
      <c r="CE428" s="6"/>
      <c r="CJ428" s="6"/>
      <c r="DV428" s="6"/>
      <c r="DW428" s="6"/>
      <c r="EB428" s="6"/>
      <c r="EF428" s="6"/>
      <c r="EG428" s="6"/>
      <c r="EL428" s="6"/>
      <c r="EW428" s="6"/>
      <c r="EX428" s="6"/>
      <c r="FC428" s="6"/>
      <c r="FG428" s="6"/>
      <c r="FH428" s="6"/>
      <c r="FM428" s="6"/>
      <c r="FX428" s="6"/>
      <c r="FY428" s="6"/>
      <c r="GD428" s="6"/>
      <c r="GH428" s="6"/>
      <c r="GI428" s="6"/>
      <c r="GN428" s="6"/>
      <c r="GY428" s="6"/>
      <c r="GZ428" s="6"/>
      <c r="HE428" s="6"/>
      <c r="HI428" s="6"/>
      <c r="HJ428" s="6"/>
      <c r="HO428" s="6"/>
      <c r="JA428" s="6"/>
      <c r="JB428" s="6"/>
      <c r="JG428" s="6"/>
      <c r="JK428" s="6"/>
      <c r="JL428" s="6"/>
      <c r="JQ428" s="6"/>
      <c r="KB428" s="6"/>
      <c r="KC428" s="6"/>
      <c r="KH428" s="6"/>
      <c r="KL428" s="6"/>
      <c r="KM428" s="6"/>
      <c r="KR428" s="6"/>
      <c r="LC428" s="6"/>
      <c r="LD428" s="6"/>
      <c r="LI428" s="6"/>
      <c r="LM428" s="6"/>
      <c r="LN428" s="6"/>
      <c r="LS428" s="6"/>
      <c r="MD428" s="6"/>
      <c r="ME428" s="6"/>
      <c r="MJ428" s="6"/>
      <c r="MN428" s="6"/>
      <c r="MO428" s="6"/>
      <c r="MT428" s="6"/>
      <c r="MY428" s="8"/>
      <c r="MZ428" s="8"/>
      <c r="NA428" s="8"/>
      <c r="NE428" s="6"/>
      <c r="NF428" s="6"/>
      <c r="NK428" s="6"/>
      <c r="NO428" s="6"/>
      <c r="NP428" s="6"/>
      <c r="NU428" s="6"/>
      <c r="OF428" s="6"/>
      <c r="OG428" s="6"/>
      <c r="OL428" s="6"/>
      <c r="OP428" s="6"/>
      <c r="OQ428" s="6"/>
      <c r="OV428" s="6"/>
      <c r="PG428" s="6"/>
      <c r="PH428" s="6"/>
      <c r="PM428" s="6"/>
      <c r="PQ428" s="6"/>
      <c r="PR428" s="6"/>
      <c r="PW428" s="6"/>
      <c r="QH428" s="6"/>
      <c r="QI428" s="6"/>
      <c r="QN428" s="6"/>
      <c r="QR428" s="6"/>
      <c r="QS428" s="6"/>
      <c r="QX428" s="6"/>
      <c r="RI428" s="6"/>
      <c r="RJ428" s="6"/>
      <c r="RO428" s="6"/>
      <c r="RS428" s="6"/>
      <c r="RT428" s="6"/>
      <c r="RY428" s="6"/>
      <c r="SJ428" s="6"/>
      <c r="SK428" s="6"/>
      <c r="SP428" s="6"/>
      <c r="ST428" s="6"/>
      <c r="SU428" s="6"/>
      <c r="SZ428" s="6"/>
    </row>
    <row r="429" spans="12:520" x14ac:dyDescent="0.3">
      <c r="R429" s="5"/>
      <c r="S429" s="6"/>
      <c r="T429" s="6"/>
      <c r="U429" s="7"/>
      <c r="W429" s="7"/>
      <c r="Z429" s="5"/>
      <c r="AA429" s="6"/>
      <c r="AB429" s="7"/>
      <c r="AG429" s="5"/>
      <c r="AH429" s="7"/>
      <c r="AQ429" s="5"/>
      <c r="AR429" s="5"/>
      <c r="AS429" s="6"/>
      <c r="AT429" s="7"/>
      <c r="AW429" s="5"/>
      <c r="AY429" s="6"/>
      <c r="BC429" s="6"/>
      <c r="BD429" s="6"/>
      <c r="BI429" s="6"/>
      <c r="BT429" s="6"/>
      <c r="BU429" s="6"/>
      <c r="BZ429" s="6"/>
      <c r="CD429" s="6"/>
      <c r="CE429" s="6"/>
      <c r="CJ429" s="6"/>
      <c r="DV429" s="6"/>
      <c r="DW429" s="6"/>
      <c r="EB429" s="6"/>
      <c r="EF429" s="6"/>
      <c r="EG429" s="6"/>
      <c r="EL429" s="6"/>
      <c r="EW429" s="6"/>
      <c r="EX429" s="6"/>
      <c r="FC429" s="6"/>
      <c r="FG429" s="6"/>
      <c r="FH429" s="6"/>
      <c r="FM429" s="6"/>
      <c r="FX429" s="6"/>
      <c r="FY429" s="6"/>
      <c r="GD429" s="6"/>
      <c r="GH429" s="6"/>
      <c r="GI429" s="6"/>
      <c r="GN429" s="6"/>
      <c r="GY429" s="6"/>
      <c r="GZ429" s="6"/>
      <c r="HE429" s="6"/>
      <c r="HI429" s="6"/>
      <c r="HJ429" s="6"/>
      <c r="HO429" s="6"/>
      <c r="JA429" s="6"/>
      <c r="JB429" s="6"/>
      <c r="JG429" s="6"/>
      <c r="JK429" s="6"/>
      <c r="JL429" s="6"/>
      <c r="JQ429" s="6"/>
      <c r="KB429" s="6"/>
      <c r="KC429" s="6"/>
      <c r="KH429" s="6"/>
      <c r="KL429" s="6"/>
      <c r="KM429" s="6"/>
      <c r="KR429" s="6"/>
      <c r="LC429" s="6"/>
      <c r="LD429" s="6"/>
      <c r="LI429" s="6"/>
      <c r="LM429" s="6"/>
      <c r="LN429" s="6"/>
      <c r="LS429" s="6"/>
      <c r="MD429" s="6"/>
      <c r="ME429" s="6"/>
      <c r="MJ429" s="6"/>
      <c r="MN429" s="6"/>
      <c r="MO429" s="6"/>
      <c r="MT429" s="6"/>
      <c r="OF429" s="6"/>
      <c r="OG429" s="6"/>
      <c r="OL429" s="6"/>
      <c r="OP429" s="6"/>
      <c r="OQ429" s="6"/>
      <c r="OV429" s="6"/>
      <c r="PG429" s="6"/>
      <c r="PH429" s="6"/>
      <c r="PM429" s="6"/>
      <c r="PQ429" s="6"/>
      <c r="PR429" s="6"/>
      <c r="PW429" s="6"/>
      <c r="QH429" s="6"/>
      <c r="QI429" s="6"/>
      <c r="QN429" s="6"/>
      <c r="QR429" s="6"/>
      <c r="QS429" s="6"/>
      <c r="QX429" s="6"/>
      <c r="RI429" s="6"/>
      <c r="RJ429" s="6"/>
      <c r="RO429" s="6"/>
      <c r="RS429" s="6"/>
      <c r="RT429" s="6"/>
      <c r="RY429" s="6"/>
      <c r="SJ429" s="6"/>
      <c r="SK429" s="6"/>
      <c r="SP429" s="6"/>
      <c r="ST429" s="6"/>
      <c r="SU429" s="6"/>
      <c r="SZ429" s="6"/>
    </row>
    <row r="430" spans="12:520" x14ac:dyDescent="0.3">
      <c r="R430" s="5"/>
      <c r="S430" s="6"/>
      <c r="T430" s="6"/>
      <c r="U430" s="7"/>
      <c r="W430" s="6"/>
      <c r="Z430" s="5"/>
      <c r="AA430" s="6"/>
      <c r="AB430" s="7"/>
      <c r="AG430" s="5"/>
      <c r="AH430" s="6"/>
      <c r="AQ430" s="5"/>
      <c r="AR430" s="5"/>
      <c r="AS430" s="6"/>
      <c r="AT430" s="7"/>
      <c r="AW430" s="5"/>
      <c r="AY430" s="7"/>
      <c r="BC430" s="6"/>
      <c r="BD430" s="6"/>
      <c r="BI430" s="6"/>
      <c r="BT430" s="6"/>
      <c r="BU430" s="6"/>
      <c r="BZ430" s="6"/>
      <c r="CD430" s="6"/>
      <c r="CE430" s="6"/>
      <c r="CJ430" s="6"/>
      <c r="DV430" s="6"/>
      <c r="DW430" s="6"/>
      <c r="EB430" s="6"/>
      <c r="EF430" s="6"/>
      <c r="EG430" s="6"/>
      <c r="EL430" s="6"/>
      <c r="EW430" s="6"/>
      <c r="EX430" s="6"/>
      <c r="FC430" s="6"/>
      <c r="FG430" s="6"/>
      <c r="FH430" s="6"/>
      <c r="FM430" s="6"/>
      <c r="FX430" s="6"/>
      <c r="FY430" s="6"/>
      <c r="GD430" s="6"/>
      <c r="GH430" s="6"/>
      <c r="GI430" s="6"/>
      <c r="GN430" s="6"/>
      <c r="GY430" s="6"/>
      <c r="GZ430" s="6"/>
      <c r="HE430" s="6"/>
      <c r="HI430" s="6"/>
      <c r="HJ430" s="6"/>
      <c r="HO430" s="6"/>
      <c r="JA430" s="6"/>
      <c r="JB430" s="6"/>
      <c r="JG430" s="6"/>
      <c r="JK430" s="6"/>
      <c r="JL430" s="6"/>
      <c r="JQ430" s="6"/>
      <c r="KB430" s="6"/>
      <c r="KC430" s="6"/>
      <c r="KH430" s="6"/>
      <c r="KL430" s="6"/>
      <c r="KM430" s="6"/>
      <c r="KR430" s="6"/>
      <c r="LC430" s="6"/>
      <c r="LD430" s="6"/>
      <c r="LI430" s="6"/>
      <c r="LM430" s="6"/>
      <c r="LN430" s="6"/>
      <c r="LS430" s="6"/>
      <c r="MD430" s="6"/>
      <c r="ME430" s="6"/>
      <c r="MJ430" s="6"/>
      <c r="MN430" s="6"/>
      <c r="MO430" s="6"/>
      <c r="MT430" s="6"/>
      <c r="OF430" s="6"/>
      <c r="OG430" s="6"/>
      <c r="OL430" s="6"/>
      <c r="OP430" s="6"/>
      <c r="OQ430" s="6"/>
      <c r="OV430" s="6"/>
      <c r="PG430" s="6"/>
      <c r="PH430" s="6"/>
      <c r="PM430" s="6"/>
      <c r="PQ430" s="6"/>
      <c r="PR430" s="6"/>
      <c r="PW430" s="6"/>
      <c r="QH430" s="6"/>
      <c r="QI430" s="6"/>
      <c r="QN430" s="6"/>
      <c r="QR430" s="6"/>
      <c r="QS430" s="6"/>
      <c r="QX430" s="6"/>
      <c r="RI430" s="6"/>
      <c r="RJ430" s="6"/>
      <c r="RO430" s="6"/>
      <c r="RS430" s="6"/>
      <c r="RT430" s="6"/>
      <c r="RY430" s="6"/>
      <c r="SJ430" s="6"/>
      <c r="SK430" s="6"/>
      <c r="SP430" s="6"/>
      <c r="ST430" s="6"/>
      <c r="SU430" s="6"/>
      <c r="SZ430" s="6"/>
    </row>
    <row r="431" spans="12:520" x14ac:dyDescent="0.3">
      <c r="R431" s="5"/>
      <c r="S431" s="6"/>
      <c r="T431" s="6"/>
      <c r="U431" s="7"/>
      <c r="W431" s="6"/>
      <c r="Z431" s="5"/>
      <c r="AA431" s="6"/>
      <c r="AB431" s="7"/>
      <c r="AG431" s="5"/>
      <c r="AH431" s="6"/>
      <c r="AQ431" s="5"/>
      <c r="AR431" s="5"/>
      <c r="AS431" s="6"/>
      <c r="AT431" s="7"/>
      <c r="AW431" s="5"/>
      <c r="AY431" s="6"/>
      <c r="BC431" s="6"/>
      <c r="BD431" s="6"/>
      <c r="BI431" s="6"/>
      <c r="BT431" s="6"/>
      <c r="BU431" s="6"/>
      <c r="BZ431" s="6"/>
      <c r="CD431" s="6"/>
      <c r="CE431" s="6"/>
      <c r="CJ431" s="6"/>
      <c r="DV431" s="6"/>
      <c r="DW431" s="6"/>
      <c r="EB431" s="6"/>
      <c r="EF431" s="6"/>
      <c r="EG431" s="6"/>
      <c r="EL431" s="6"/>
      <c r="EW431" s="6"/>
      <c r="EX431" s="6"/>
      <c r="FC431" s="6"/>
      <c r="FG431" s="6"/>
      <c r="FH431" s="6"/>
      <c r="FM431" s="6"/>
      <c r="FX431" s="6"/>
      <c r="FY431" s="6"/>
      <c r="GD431" s="6"/>
      <c r="GH431" s="6"/>
      <c r="GI431" s="6"/>
      <c r="GN431" s="6"/>
      <c r="GY431" s="6"/>
      <c r="GZ431" s="6"/>
      <c r="HE431" s="6"/>
      <c r="HI431" s="6"/>
      <c r="HJ431" s="6"/>
      <c r="HO431" s="6"/>
      <c r="JA431" s="6"/>
      <c r="JB431" s="6"/>
      <c r="JG431" s="6"/>
      <c r="JK431" s="6"/>
      <c r="JL431" s="6"/>
      <c r="JQ431" s="6"/>
      <c r="KB431" s="6"/>
      <c r="KC431" s="6"/>
      <c r="KH431" s="6"/>
      <c r="KL431" s="6"/>
      <c r="KM431" s="6"/>
      <c r="KR431" s="6"/>
      <c r="KW431" s="8"/>
      <c r="KX431" s="8"/>
      <c r="KY431" s="8"/>
      <c r="LC431" s="6"/>
      <c r="LD431" s="6"/>
      <c r="LI431" s="6"/>
      <c r="LM431" s="6"/>
      <c r="LN431" s="6"/>
      <c r="LS431" s="6"/>
      <c r="MD431" s="6"/>
      <c r="ME431" s="6"/>
      <c r="MJ431" s="6"/>
      <c r="MN431" s="6"/>
      <c r="MO431" s="6"/>
      <c r="MT431" s="6"/>
      <c r="OF431" s="6"/>
      <c r="OG431" s="6"/>
      <c r="OL431" s="6"/>
      <c r="OP431" s="6"/>
      <c r="OQ431" s="6"/>
      <c r="OV431" s="6"/>
      <c r="PG431" s="6"/>
      <c r="PH431" s="6"/>
      <c r="PM431" s="6"/>
      <c r="PQ431" s="6"/>
      <c r="PR431" s="6"/>
      <c r="PW431" s="6"/>
      <c r="QH431" s="6"/>
      <c r="QI431" s="6"/>
      <c r="QN431" s="6"/>
      <c r="QR431" s="6"/>
      <c r="QS431" s="6"/>
      <c r="QX431" s="6"/>
      <c r="RI431" s="6"/>
      <c r="RJ431" s="6"/>
      <c r="RO431" s="6"/>
      <c r="RS431" s="6"/>
      <c r="RT431" s="6"/>
      <c r="RY431" s="6"/>
      <c r="SJ431" s="6"/>
      <c r="SK431" s="6"/>
      <c r="SP431" s="6"/>
      <c r="ST431" s="6"/>
      <c r="SU431" s="6"/>
      <c r="SZ431" s="6"/>
    </row>
    <row r="432" spans="12:520" x14ac:dyDescent="0.3">
      <c r="R432" s="5"/>
      <c r="S432" s="6"/>
      <c r="T432" s="6"/>
      <c r="U432" s="7"/>
      <c r="W432" s="6"/>
      <c r="Z432" s="5"/>
      <c r="AA432" s="6"/>
      <c r="AB432" s="7"/>
      <c r="AG432" s="5"/>
      <c r="AH432" s="6"/>
      <c r="AQ432" s="5"/>
      <c r="AR432" s="5"/>
      <c r="AS432" s="6"/>
      <c r="AT432" s="7"/>
      <c r="AW432" s="5"/>
      <c r="AY432" s="6"/>
      <c r="BC432" s="6"/>
      <c r="BD432" s="6"/>
      <c r="BI432" s="6"/>
      <c r="BT432" s="6"/>
      <c r="BU432" s="6"/>
      <c r="BZ432" s="6"/>
      <c r="CD432" s="6"/>
      <c r="CE432" s="6"/>
      <c r="CJ432" s="6"/>
      <c r="DV432" s="6"/>
      <c r="DW432" s="6"/>
      <c r="EB432" s="6"/>
      <c r="EF432" s="6"/>
      <c r="EG432" s="6"/>
      <c r="EL432" s="6"/>
      <c r="EW432" s="6"/>
      <c r="EX432" s="6"/>
      <c r="FC432" s="6"/>
      <c r="FG432" s="6"/>
      <c r="FH432" s="6"/>
      <c r="FM432" s="6"/>
      <c r="FX432" s="6"/>
      <c r="FY432" s="6"/>
      <c r="GD432" s="6"/>
      <c r="GH432" s="6"/>
      <c r="GI432" s="6"/>
      <c r="GN432" s="6"/>
      <c r="GY432" s="6"/>
      <c r="GZ432" s="6"/>
      <c r="HE432" s="6"/>
      <c r="HI432" s="6"/>
      <c r="HJ432" s="6"/>
      <c r="HO432" s="6"/>
      <c r="JA432" s="6"/>
      <c r="JB432" s="6"/>
      <c r="JG432" s="6"/>
      <c r="JK432" s="6"/>
      <c r="JL432" s="6"/>
      <c r="JQ432" s="6"/>
      <c r="KB432" s="6"/>
      <c r="KC432" s="6"/>
      <c r="KH432" s="6"/>
      <c r="KL432" s="6"/>
      <c r="KM432" s="6"/>
      <c r="KR432" s="6"/>
      <c r="MD432" s="6"/>
      <c r="ME432" s="6"/>
      <c r="MJ432" s="6"/>
      <c r="MN432" s="6"/>
      <c r="MO432" s="6"/>
      <c r="MT432" s="6"/>
      <c r="OF432" s="6"/>
      <c r="OG432" s="6"/>
      <c r="OL432" s="6"/>
      <c r="OP432" s="6"/>
      <c r="OQ432" s="6"/>
      <c r="OV432" s="6"/>
      <c r="PG432" s="6"/>
      <c r="PH432" s="6"/>
      <c r="PM432" s="6"/>
      <c r="PQ432" s="6"/>
      <c r="PR432" s="6"/>
      <c r="PW432" s="6"/>
      <c r="QH432" s="6"/>
      <c r="QI432" s="6"/>
      <c r="QN432" s="6"/>
      <c r="QR432" s="6"/>
      <c r="QS432" s="6"/>
      <c r="QX432" s="6"/>
      <c r="RI432" s="6"/>
      <c r="RJ432" s="6"/>
      <c r="RO432" s="6"/>
      <c r="RS432" s="6"/>
      <c r="RT432" s="6"/>
      <c r="RY432" s="6"/>
      <c r="SJ432" s="6"/>
      <c r="SK432" s="6"/>
      <c r="SP432" s="6"/>
      <c r="ST432" s="6"/>
      <c r="SU432" s="6"/>
      <c r="SZ432" s="6"/>
    </row>
    <row r="433" spans="12:520" x14ac:dyDescent="0.3">
      <c r="R433" s="5"/>
      <c r="S433" s="6"/>
      <c r="T433" s="6"/>
      <c r="U433" s="7"/>
      <c r="W433" s="6"/>
      <c r="Z433" s="5"/>
      <c r="AA433" s="6"/>
      <c r="AB433" s="7"/>
      <c r="AG433" s="5"/>
      <c r="AH433" s="6"/>
      <c r="AQ433" s="5"/>
      <c r="AR433" s="5"/>
      <c r="AS433" s="6"/>
      <c r="AT433" s="7"/>
      <c r="AW433" s="5"/>
      <c r="AY433" s="6"/>
      <c r="BC433" s="6"/>
      <c r="BD433" s="6"/>
      <c r="BI433" s="6"/>
      <c r="BT433" s="6"/>
      <c r="BU433" s="6"/>
      <c r="BZ433" s="6"/>
      <c r="CD433" s="6"/>
      <c r="CE433" s="6"/>
      <c r="CJ433" s="6"/>
      <c r="DP433" s="8"/>
      <c r="DQ433" s="8"/>
      <c r="DR433" s="8"/>
      <c r="DV433" s="6"/>
      <c r="DW433" s="6"/>
      <c r="EB433" s="6"/>
      <c r="EF433" s="6"/>
      <c r="EG433" s="6"/>
      <c r="EL433" s="6"/>
      <c r="EW433" s="6"/>
      <c r="EX433" s="6"/>
      <c r="FC433" s="6"/>
      <c r="FG433" s="6"/>
      <c r="FH433" s="6"/>
      <c r="FM433" s="6"/>
      <c r="FX433" s="6"/>
      <c r="FY433" s="6"/>
      <c r="GD433" s="6"/>
      <c r="GH433" s="6"/>
      <c r="GI433" s="6"/>
      <c r="GN433" s="6"/>
      <c r="GY433" s="6"/>
      <c r="GZ433" s="6"/>
      <c r="HE433" s="6"/>
      <c r="HI433" s="6"/>
      <c r="HJ433" s="6"/>
      <c r="HO433" s="6"/>
      <c r="JA433" s="6"/>
      <c r="JB433" s="6"/>
      <c r="JG433" s="6"/>
      <c r="JK433" s="6"/>
      <c r="JL433" s="6"/>
      <c r="JQ433" s="6"/>
      <c r="KB433" s="6"/>
      <c r="KC433" s="6"/>
      <c r="KH433" s="6"/>
      <c r="KL433" s="6"/>
      <c r="KM433" s="6"/>
      <c r="KR433" s="6"/>
      <c r="MD433" s="6"/>
      <c r="ME433" s="6"/>
      <c r="MJ433" s="6"/>
      <c r="MN433" s="6"/>
      <c r="MO433" s="6"/>
      <c r="MT433" s="6"/>
      <c r="OF433" s="6"/>
      <c r="OG433" s="6"/>
      <c r="OL433" s="6"/>
      <c r="OP433" s="6"/>
      <c r="OQ433" s="6"/>
      <c r="OV433" s="6"/>
      <c r="PG433" s="6"/>
      <c r="PH433" s="6"/>
      <c r="PM433" s="6"/>
      <c r="PQ433" s="6"/>
      <c r="PR433" s="6"/>
      <c r="PW433" s="6"/>
      <c r="QH433" s="6"/>
      <c r="QI433" s="6"/>
      <c r="QN433" s="6"/>
      <c r="QR433" s="6"/>
      <c r="QS433" s="6"/>
      <c r="QX433" s="6"/>
      <c r="RI433" s="6"/>
      <c r="RJ433" s="6"/>
      <c r="RO433" s="6"/>
      <c r="RS433" s="6"/>
      <c r="RT433" s="6"/>
      <c r="RY433" s="6"/>
      <c r="SJ433" s="6"/>
      <c r="SK433" s="6"/>
      <c r="SP433" s="6"/>
      <c r="ST433" s="6"/>
      <c r="SU433" s="6"/>
      <c r="SZ433" s="6"/>
    </row>
    <row r="434" spans="12:520" x14ac:dyDescent="0.3">
      <c r="L434" s="8"/>
      <c r="M434" s="8"/>
      <c r="N434" s="8"/>
      <c r="R434" s="5"/>
      <c r="S434" s="6"/>
      <c r="T434" s="6"/>
      <c r="U434" s="7"/>
      <c r="W434" s="6"/>
      <c r="Z434" s="5"/>
      <c r="AA434" s="6"/>
      <c r="AB434" s="7"/>
      <c r="AG434" s="5"/>
      <c r="AH434" s="6"/>
      <c r="AQ434" s="5"/>
      <c r="AR434" s="5"/>
      <c r="AS434" s="6"/>
      <c r="AT434" s="7"/>
      <c r="AW434" s="5"/>
      <c r="AY434" s="6"/>
      <c r="BC434" s="6"/>
      <c r="BD434" s="6"/>
      <c r="BI434" s="6"/>
      <c r="BN434" s="8"/>
      <c r="BO434" s="8"/>
      <c r="BP434" s="8"/>
      <c r="BT434" s="6"/>
      <c r="BU434" s="6"/>
      <c r="BZ434" s="6"/>
      <c r="CD434" s="6"/>
      <c r="CE434" s="6"/>
      <c r="CJ434" s="6"/>
      <c r="EQ434" s="8"/>
      <c r="ER434" s="8"/>
      <c r="ES434" s="8"/>
      <c r="EW434" s="6"/>
      <c r="EX434" s="6"/>
      <c r="FC434" s="6"/>
      <c r="FG434" s="6"/>
      <c r="FH434" s="6"/>
      <c r="FM434" s="6"/>
      <c r="FR434" s="8"/>
      <c r="FS434" s="8"/>
      <c r="FT434" s="8"/>
      <c r="FX434" s="6"/>
      <c r="FY434" s="6"/>
      <c r="GD434" s="6"/>
      <c r="GH434" s="6"/>
      <c r="GI434" s="6"/>
      <c r="GN434" s="6"/>
      <c r="GS434" s="8"/>
      <c r="GT434" s="8"/>
      <c r="GU434" s="8"/>
      <c r="GY434" s="6"/>
      <c r="GZ434" s="6"/>
      <c r="HE434" s="6"/>
      <c r="HI434" s="6"/>
      <c r="HJ434" s="6"/>
      <c r="HO434" s="6"/>
      <c r="IU434" s="8"/>
      <c r="IV434" s="8"/>
      <c r="IW434" s="8"/>
      <c r="JA434" s="6"/>
      <c r="JB434" s="6"/>
      <c r="JG434" s="6"/>
      <c r="JK434" s="6"/>
      <c r="JL434" s="6"/>
      <c r="JQ434" s="6"/>
      <c r="JV434" s="8"/>
      <c r="JW434" s="8"/>
      <c r="JX434" s="8"/>
      <c r="KB434" s="6"/>
      <c r="KC434" s="6"/>
      <c r="KH434" s="6"/>
      <c r="KL434" s="6"/>
      <c r="KM434" s="6"/>
      <c r="KR434" s="6"/>
      <c r="LX434" s="8"/>
      <c r="LY434" s="8"/>
      <c r="LZ434" s="8"/>
      <c r="MD434" s="6"/>
      <c r="ME434" s="6"/>
      <c r="MJ434" s="6"/>
      <c r="MN434" s="6"/>
      <c r="MO434" s="6"/>
      <c r="MT434" s="6"/>
      <c r="NZ434" s="8"/>
      <c r="OA434" s="8"/>
      <c r="OB434" s="8"/>
      <c r="OF434" s="6"/>
      <c r="OG434" s="6"/>
      <c r="OL434" s="6"/>
      <c r="OP434" s="6"/>
      <c r="OQ434" s="6"/>
      <c r="OV434" s="6"/>
      <c r="PA434" s="8"/>
      <c r="PB434" s="8"/>
      <c r="PC434" s="8"/>
      <c r="PG434" s="6"/>
      <c r="PH434" s="6"/>
      <c r="PM434" s="6"/>
      <c r="PQ434" s="6"/>
      <c r="PR434" s="6"/>
      <c r="PW434" s="6"/>
      <c r="QB434" s="8"/>
      <c r="QC434" s="8"/>
      <c r="QD434" s="8"/>
      <c r="QH434" s="6"/>
      <c r="QI434" s="6"/>
      <c r="QN434" s="6"/>
      <c r="QR434" s="6"/>
      <c r="QS434" s="6"/>
      <c r="QX434" s="6"/>
      <c r="RC434" s="8"/>
      <c r="RD434" s="8"/>
      <c r="RE434" s="8"/>
      <c r="RI434" s="6"/>
      <c r="RJ434" s="6"/>
      <c r="RO434" s="6"/>
      <c r="RS434" s="6"/>
      <c r="RT434" s="6"/>
      <c r="RY434" s="6"/>
      <c r="SD434" s="8"/>
      <c r="SE434" s="8"/>
      <c r="SF434" s="8"/>
      <c r="SJ434" s="6"/>
      <c r="SK434" s="6"/>
      <c r="SP434" s="6"/>
      <c r="ST434" s="6"/>
      <c r="SU434" s="6"/>
      <c r="SZ434" s="6"/>
    </row>
    <row r="435" spans="12:520" x14ac:dyDescent="0.3">
      <c r="AQ435" s="5"/>
      <c r="AR435" s="5"/>
      <c r="AS435" s="6"/>
    </row>
    <row r="436" spans="12:520" x14ac:dyDescent="0.3">
      <c r="AQ436" s="5"/>
      <c r="AR436" s="5"/>
      <c r="AS436" s="6"/>
    </row>
    <row r="437" spans="12:520" x14ac:dyDescent="0.3">
      <c r="AQ437" s="5"/>
      <c r="AR437" s="5"/>
      <c r="AS437" s="6"/>
    </row>
    <row r="438" spans="12:520" x14ac:dyDescent="0.3">
      <c r="AM438" s="8"/>
      <c r="AN438" s="8"/>
      <c r="AO438" s="8"/>
      <c r="AQ438" s="5"/>
      <c r="AR438" s="5"/>
      <c r="AS438" s="6"/>
    </row>
    <row r="455" spans="18:520" x14ac:dyDescent="0.3">
      <c r="R455" s="6"/>
      <c r="S455" s="7"/>
      <c r="T455" s="7"/>
      <c r="Z455" s="6"/>
      <c r="AA455" s="7"/>
      <c r="AG455" s="6"/>
      <c r="AX455" s="6"/>
      <c r="BB455" s="6"/>
      <c r="BC455" s="7"/>
      <c r="BH455" s="6"/>
      <c r="BS455" s="6"/>
      <c r="BT455" s="7"/>
      <c r="BY455" s="6"/>
      <c r="CC455" s="6"/>
      <c r="CD455" s="7"/>
      <c r="CI455" s="6"/>
      <c r="CT455" s="6"/>
      <c r="CU455" s="7"/>
      <c r="CZ455" s="6"/>
      <c r="DD455" s="6"/>
      <c r="DE455" s="7"/>
      <c r="DJ455" s="6"/>
      <c r="DU455" s="6"/>
      <c r="DV455" s="7"/>
      <c r="EA455" s="6"/>
      <c r="EE455" s="6"/>
      <c r="EF455" s="7"/>
      <c r="EK455" s="6"/>
      <c r="EV455" s="6"/>
      <c r="EW455" s="7"/>
      <c r="FB455" s="6"/>
      <c r="FF455" s="6"/>
      <c r="FG455" s="7"/>
      <c r="FL455" s="6"/>
      <c r="FW455" s="6"/>
      <c r="FX455" s="7"/>
      <c r="GC455" s="6"/>
      <c r="GG455" s="6"/>
      <c r="GH455" s="7"/>
      <c r="GM455" s="6"/>
      <c r="GX455" s="6"/>
      <c r="GY455" s="7"/>
      <c r="HD455" s="6"/>
      <c r="HH455" s="6"/>
      <c r="HI455" s="7"/>
      <c r="HN455" s="6"/>
      <c r="HY455" s="6"/>
      <c r="HZ455" s="7"/>
      <c r="IE455" s="6"/>
      <c r="II455" s="6"/>
      <c r="IJ455" s="7"/>
      <c r="IO455" s="6"/>
      <c r="IZ455" s="6"/>
      <c r="JA455" s="7"/>
      <c r="JF455" s="6"/>
      <c r="JJ455" s="6"/>
      <c r="JK455" s="7"/>
      <c r="JP455" s="6"/>
      <c r="KA455" s="6"/>
      <c r="KB455" s="7"/>
      <c r="KG455" s="6"/>
      <c r="KK455" s="6"/>
      <c r="KL455" s="7"/>
      <c r="KQ455" s="6"/>
      <c r="LB455" s="6"/>
      <c r="LC455" s="7"/>
      <c r="LH455" s="6"/>
      <c r="LL455" s="6"/>
      <c r="LM455" s="7"/>
      <c r="LR455" s="6"/>
      <c r="MC455" s="6"/>
      <c r="MD455" s="7"/>
      <c r="MI455" s="6"/>
      <c r="MM455" s="6"/>
      <c r="MN455" s="7"/>
      <c r="MS455" s="6"/>
      <c r="ND455" s="6"/>
      <c r="NE455" s="7"/>
      <c r="NJ455" s="6"/>
      <c r="NN455" s="6"/>
      <c r="NO455" s="7"/>
      <c r="NT455" s="6"/>
      <c r="OE455" s="6"/>
      <c r="OF455" s="7"/>
      <c r="OK455" s="6"/>
      <c r="OO455" s="6"/>
      <c r="OP455" s="7"/>
      <c r="OU455" s="6"/>
      <c r="PF455" s="6"/>
      <c r="PG455" s="7"/>
      <c r="PL455" s="6"/>
      <c r="PP455" s="6"/>
      <c r="PQ455" s="7"/>
      <c r="PV455" s="6"/>
      <c r="QG455" s="6"/>
      <c r="QH455" s="7"/>
      <c r="QM455" s="6"/>
      <c r="QQ455" s="6"/>
      <c r="QR455" s="7"/>
      <c r="QW455" s="6"/>
      <c r="RH455" s="6"/>
      <c r="RI455" s="7"/>
      <c r="RN455" s="6"/>
      <c r="RR455" s="6"/>
      <c r="RS455" s="7"/>
      <c r="RX455" s="6"/>
      <c r="SI455" s="6"/>
      <c r="SJ455" s="7"/>
      <c r="SO455" s="6"/>
      <c r="SS455" s="6"/>
      <c r="ST455" s="7"/>
      <c r="SY455" s="6"/>
    </row>
    <row r="456" spans="18:520" x14ac:dyDescent="0.3">
      <c r="S456" s="6"/>
      <c r="T456" s="6"/>
      <c r="U456" s="6"/>
      <c r="W456" s="6"/>
      <c r="AA456" s="6"/>
      <c r="AB456" s="6"/>
      <c r="AH456" s="6"/>
      <c r="AT456" s="6"/>
      <c r="AY456" s="6"/>
      <c r="BC456" s="6"/>
      <c r="BD456" s="6"/>
      <c r="BI456" s="6"/>
      <c r="BT456" s="6"/>
      <c r="BU456" s="6"/>
      <c r="BZ456" s="6"/>
      <c r="CD456" s="6"/>
      <c r="CE456" s="6"/>
      <c r="CJ456" s="6"/>
      <c r="CU456" s="6"/>
      <c r="CV456" s="6"/>
      <c r="DA456" s="6"/>
      <c r="DE456" s="6"/>
      <c r="DF456" s="6"/>
      <c r="DK456" s="6"/>
      <c r="DV456" s="6"/>
      <c r="DW456" s="6"/>
      <c r="EB456" s="6"/>
      <c r="EF456" s="6"/>
      <c r="EG456" s="6"/>
      <c r="EL456" s="6"/>
      <c r="EW456" s="6"/>
      <c r="EX456" s="6"/>
      <c r="FC456" s="6"/>
      <c r="FG456" s="6"/>
      <c r="FH456" s="6"/>
      <c r="FM456" s="6"/>
      <c r="FX456" s="6"/>
      <c r="FY456" s="6"/>
      <c r="GD456" s="6"/>
      <c r="GH456" s="6"/>
      <c r="GI456" s="6"/>
      <c r="GN456" s="6"/>
      <c r="GY456" s="6"/>
      <c r="GZ456" s="6"/>
      <c r="HE456" s="6"/>
      <c r="HI456" s="6"/>
      <c r="HJ456" s="6"/>
      <c r="HO456" s="6"/>
      <c r="HZ456" s="6"/>
      <c r="IA456" s="6"/>
      <c r="IF456" s="6"/>
      <c r="IJ456" s="6"/>
      <c r="IK456" s="6"/>
      <c r="IP456" s="6"/>
      <c r="JA456" s="6"/>
      <c r="JB456" s="6"/>
      <c r="JG456" s="6"/>
      <c r="JK456" s="6"/>
      <c r="JL456" s="6"/>
      <c r="JQ456" s="6"/>
      <c r="KB456" s="6"/>
      <c r="KC456" s="6"/>
      <c r="KH456" s="6"/>
      <c r="KL456" s="6"/>
      <c r="KM456" s="6"/>
      <c r="KR456" s="6"/>
      <c r="LC456" s="6"/>
      <c r="LD456" s="6"/>
      <c r="LI456" s="6"/>
      <c r="LM456" s="6"/>
      <c r="LN456" s="6"/>
      <c r="LS456" s="6"/>
      <c r="MD456" s="6"/>
      <c r="ME456" s="6"/>
      <c r="MJ456" s="6"/>
      <c r="MN456" s="6"/>
      <c r="MO456" s="6"/>
      <c r="MT456" s="6"/>
      <c r="NE456" s="6"/>
      <c r="NF456" s="6"/>
      <c r="NK456" s="6"/>
      <c r="NO456" s="6"/>
      <c r="NP456" s="6"/>
      <c r="NU456" s="6"/>
      <c r="OF456" s="6"/>
      <c r="OG456" s="6"/>
      <c r="OL456" s="6"/>
      <c r="OP456" s="6"/>
      <c r="OQ456" s="6"/>
      <c r="OV456" s="6"/>
      <c r="PG456" s="6"/>
      <c r="PH456" s="6"/>
      <c r="PM456" s="6"/>
      <c r="PQ456" s="6"/>
      <c r="PR456" s="6"/>
      <c r="PW456" s="6"/>
      <c r="QH456" s="6"/>
      <c r="QI456" s="6"/>
      <c r="QN456" s="6"/>
      <c r="QR456" s="6"/>
      <c r="QS456" s="6"/>
      <c r="QX456" s="6"/>
      <c r="RI456" s="6"/>
      <c r="RJ456" s="6"/>
      <c r="RO456" s="6"/>
      <c r="RS456" s="6"/>
      <c r="RT456" s="6"/>
      <c r="RY456" s="6"/>
      <c r="SJ456" s="6"/>
      <c r="SK456" s="6"/>
      <c r="SP456" s="6"/>
      <c r="ST456" s="6"/>
      <c r="SU456" s="6"/>
      <c r="SZ456" s="6"/>
    </row>
    <row r="457" spans="18:520" x14ac:dyDescent="0.3">
      <c r="S457" s="6"/>
      <c r="T457" s="6"/>
      <c r="U457" s="6"/>
      <c r="W457" s="6"/>
      <c r="AA457" s="6"/>
      <c r="AB457" s="6"/>
      <c r="AH457" s="6"/>
      <c r="AT457" s="6"/>
      <c r="AY457" s="6"/>
      <c r="BC457" s="6"/>
      <c r="BD457" s="6"/>
      <c r="BI457" s="6"/>
      <c r="BT457" s="6"/>
      <c r="BU457" s="6"/>
      <c r="BZ457" s="6"/>
      <c r="CD457" s="6"/>
      <c r="CE457" s="6"/>
      <c r="CJ457" s="6"/>
      <c r="CU457" s="6"/>
      <c r="CV457" s="6"/>
      <c r="DA457" s="6"/>
      <c r="DE457" s="6"/>
      <c r="DF457" s="6"/>
      <c r="DK457" s="6"/>
      <c r="DV457" s="6"/>
      <c r="DW457" s="6"/>
      <c r="EB457" s="6"/>
      <c r="EF457" s="6"/>
      <c r="EG457" s="6"/>
      <c r="EL457" s="6"/>
      <c r="EW457" s="6"/>
      <c r="EX457" s="6"/>
      <c r="FC457" s="6"/>
      <c r="FG457" s="6"/>
      <c r="FH457" s="6"/>
      <c r="FM457" s="6"/>
      <c r="FX457" s="6"/>
      <c r="FY457" s="6"/>
      <c r="GD457" s="6"/>
      <c r="GH457" s="6"/>
      <c r="GI457" s="6"/>
      <c r="GN457" s="6"/>
      <c r="GY457" s="6"/>
      <c r="GZ457" s="6"/>
      <c r="HE457" s="6"/>
      <c r="HI457" s="6"/>
      <c r="HJ457" s="6"/>
      <c r="HO457" s="6"/>
      <c r="HZ457" s="6"/>
      <c r="IA457" s="6"/>
      <c r="IF457" s="6"/>
      <c r="IJ457" s="6"/>
      <c r="IK457" s="6"/>
      <c r="IP457" s="6"/>
      <c r="JA457" s="6"/>
      <c r="JB457" s="6"/>
      <c r="JG457" s="6"/>
      <c r="JK457" s="6"/>
      <c r="JL457" s="6"/>
      <c r="JQ457" s="6"/>
      <c r="KB457" s="6"/>
      <c r="KC457" s="6"/>
      <c r="KH457" s="6"/>
      <c r="KL457" s="6"/>
      <c r="KM457" s="6"/>
      <c r="KR457" s="6"/>
      <c r="LC457" s="6"/>
      <c r="LD457" s="6"/>
      <c r="LI457" s="6"/>
      <c r="LM457" s="6"/>
      <c r="LN457" s="6"/>
      <c r="LS457" s="6"/>
      <c r="MD457" s="6"/>
      <c r="ME457" s="6"/>
      <c r="MJ457" s="6"/>
      <c r="MN457" s="6"/>
      <c r="MO457" s="6"/>
      <c r="MT457" s="6"/>
      <c r="NE457" s="6"/>
      <c r="NF457" s="6"/>
      <c r="NK457" s="6"/>
      <c r="NO457" s="6"/>
      <c r="NP457" s="6"/>
      <c r="NU457" s="6"/>
      <c r="OF457" s="6"/>
      <c r="OG457" s="6"/>
      <c r="OL457" s="6"/>
      <c r="OP457" s="6"/>
      <c r="OQ457" s="6"/>
      <c r="OV457" s="6"/>
      <c r="PG457" s="6"/>
      <c r="PH457" s="6"/>
      <c r="PM457" s="6"/>
      <c r="PQ457" s="6"/>
      <c r="PR457" s="6"/>
      <c r="PW457" s="6"/>
      <c r="QH457" s="6"/>
      <c r="QI457" s="6"/>
      <c r="QN457" s="6"/>
      <c r="QR457" s="6"/>
      <c r="QS457" s="6"/>
      <c r="QX457" s="6"/>
      <c r="RI457" s="6"/>
      <c r="RJ457" s="6"/>
      <c r="RO457" s="6"/>
      <c r="RS457" s="6"/>
      <c r="RT457" s="6"/>
      <c r="RY457" s="6"/>
      <c r="SD457" s="8"/>
      <c r="SE457" s="8"/>
      <c r="SF457" s="8"/>
      <c r="SJ457" s="6"/>
      <c r="SK457" s="6"/>
      <c r="SP457" s="6"/>
      <c r="ST457" s="6"/>
      <c r="SU457" s="6"/>
      <c r="SZ457" s="6"/>
    </row>
    <row r="458" spans="18:520" x14ac:dyDescent="0.3">
      <c r="S458" s="6"/>
      <c r="T458" s="6"/>
      <c r="U458" s="6"/>
      <c r="W458" s="6"/>
      <c r="AA458" s="6"/>
      <c r="AB458" s="6"/>
      <c r="AH458" s="6"/>
      <c r="AT458" s="6"/>
      <c r="AY458" s="6"/>
      <c r="BC458" s="6"/>
      <c r="BD458" s="6"/>
      <c r="BI458" s="6"/>
      <c r="BT458" s="6"/>
      <c r="BU458" s="6"/>
      <c r="BZ458" s="6"/>
      <c r="CD458" s="6"/>
      <c r="CE458" s="6"/>
      <c r="CJ458" s="6"/>
      <c r="CU458" s="6"/>
      <c r="CV458" s="6"/>
      <c r="DA458" s="6"/>
      <c r="DE458" s="6"/>
      <c r="DF458" s="6"/>
      <c r="DK458" s="6"/>
      <c r="DV458" s="6"/>
      <c r="DW458" s="6"/>
      <c r="EB458" s="6"/>
      <c r="EF458" s="6"/>
      <c r="EG458" s="6"/>
      <c r="EL458" s="6"/>
      <c r="EW458" s="6"/>
      <c r="EX458" s="6"/>
      <c r="FC458" s="6"/>
      <c r="FG458" s="6"/>
      <c r="FH458" s="6"/>
      <c r="FM458" s="6"/>
      <c r="FX458" s="6"/>
      <c r="FY458" s="6"/>
      <c r="GD458" s="6"/>
      <c r="GH458" s="6"/>
      <c r="GI458" s="6"/>
      <c r="GN458" s="6"/>
      <c r="GY458" s="6"/>
      <c r="GZ458" s="6"/>
      <c r="HE458" s="6"/>
      <c r="HI458" s="6"/>
      <c r="HJ458" s="6"/>
      <c r="HO458" s="6"/>
      <c r="HZ458" s="6"/>
      <c r="IA458" s="6"/>
      <c r="IF458" s="6"/>
      <c r="IJ458" s="6"/>
      <c r="IK458" s="6"/>
      <c r="IP458" s="6"/>
      <c r="JA458" s="6"/>
      <c r="JB458" s="6"/>
      <c r="JG458" s="6"/>
      <c r="JK458" s="6"/>
      <c r="JL458" s="6"/>
      <c r="JQ458" s="6"/>
      <c r="KB458" s="6"/>
      <c r="KC458" s="6"/>
      <c r="KH458" s="6"/>
      <c r="KL458" s="6"/>
      <c r="KM458" s="6"/>
      <c r="KR458" s="6"/>
      <c r="LC458" s="6"/>
      <c r="LD458" s="6"/>
      <c r="LI458" s="6"/>
      <c r="LM458" s="6"/>
      <c r="LN458" s="6"/>
      <c r="LS458" s="6"/>
      <c r="MD458" s="6"/>
      <c r="ME458" s="6"/>
      <c r="MJ458" s="6"/>
      <c r="MN458" s="6"/>
      <c r="MO458" s="6"/>
      <c r="MT458" s="6"/>
      <c r="NE458" s="6"/>
      <c r="NF458" s="6"/>
      <c r="NK458" s="6"/>
      <c r="NO458" s="6"/>
      <c r="NP458" s="6"/>
      <c r="NU458" s="6"/>
      <c r="OF458" s="6"/>
      <c r="OG458" s="6"/>
      <c r="OL458" s="6"/>
      <c r="OP458" s="6"/>
      <c r="OQ458" s="6"/>
      <c r="OV458" s="6"/>
      <c r="PG458" s="6"/>
      <c r="PH458" s="6"/>
      <c r="PM458" s="6"/>
      <c r="PQ458" s="6"/>
      <c r="PR458" s="6"/>
      <c r="PW458" s="6"/>
      <c r="QH458" s="6"/>
      <c r="QI458" s="6"/>
      <c r="QN458" s="6"/>
      <c r="QR458" s="6"/>
      <c r="QS458" s="6"/>
      <c r="QX458" s="6"/>
      <c r="RI458" s="6"/>
      <c r="RJ458" s="6"/>
      <c r="RO458" s="6"/>
      <c r="RS458" s="6"/>
      <c r="RT458" s="6"/>
      <c r="RY458" s="6"/>
    </row>
    <row r="459" spans="18:520" x14ac:dyDescent="0.3">
      <c r="S459" s="6"/>
      <c r="T459" s="6"/>
      <c r="U459" s="6"/>
      <c r="W459" s="6"/>
      <c r="AA459" s="6"/>
      <c r="AB459" s="6"/>
      <c r="AH459" s="6"/>
      <c r="AR459" s="6"/>
      <c r="AS459" s="7"/>
      <c r="AT459" s="6"/>
      <c r="AY459" s="6"/>
      <c r="BC459" s="6"/>
      <c r="BD459" s="6"/>
      <c r="BI459" s="6"/>
      <c r="BT459" s="6"/>
      <c r="BU459" s="6"/>
      <c r="BZ459" s="6"/>
      <c r="CD459" s="6"/>
      <c r="CE459" s="6"/>
      <c r="CJ459" s="6"/>
      <c r="CU459" s="6"/>
      <c r="CV459" s="6"/>
      <c r="DA459" s="6"/>
      <c r="DE459" s="6"/>
      <c r="DF459" s="6"/>
      <c r="DK459" s="6"/>
      <c r="DV459" s="6"/>
      <c r="DW459" s="6"/>
      <c r="EB459" s="6"/>
      <c r="EF459" s="6"/>
      <c r="EG459" s="6"/>
      <c r="EL459" s="6"/>
      <c r="EW459" s="6"/>
      <c r="EX459" s="6"/>
      <c r="FC459" s="6"/>
      <c r="FG459" s="6"/>
      <c r="FH459" s="6"/>
      <c r="FM459" s="6"/>
      <c r="FX459" s="6"/>
      <c r="FY459" s="6"/>
      <c r="GD459" s="6"/>
      <c r="GH459" s="6"/>
      <c r="GI459" s="6"/>
      <c r="GN459" s="6"/>
      <c r="GY459" s="6"/>
      <c r="GZ459" s="6"/>
      <c r="HE459" s="6"/>
      <c r="HI459" s="6"/>
      <c r="HJ459" s="6"/>
      <c r="HO459" s="6"/>
      <c r="HZ459" s="6"/>
      <c r="IA459" s="6"/>
      <c r="IF459" s="6"/>
      <c r="IJ459" s="6"/>
      <c r="IK459" s="6"/>
      <c r="IP459" s="6"/>
      <c r="JA459" s="6"/>
      <c r="JB459" s="6"/>
      <c r="JG459" s="6"/>
      <c r="JK459" s="6"/>
      <c r="JL459" s="6"/>
      <c r="JQ459" s="6"/>
      <c r="KB459" s="6"/>
      <c r="KC459" s="6"/>
      <c r="KH459" s="6"/>
      <c r="KL459" s="6"/>
      <c r="KM459" s="6"/>
      <c r="KR459" s="6"/>
      <c r="LC459" s="6"/>
      <c r="LD459" s="6"/>
      <c r="LI459" s="6"/>
      <c r="LM459" s="6"/>
      <c r="LN459" s="6"/>
      <c r="LS459" s="6"/>
      <c r="MD459" s="6"/>
      <c r="ME459" s="6"/>
      <c r="MJ459" s="6"/>
      <c r="MN459" s="6"/>
      <c r="MO459" s="6"/>
      <c r="MT459" s="6"/>
      <c r="NE459" s="6"/>
      <c r="NF459" s="6"/>
      <c r="NK459" s="6"/>
      <c r="NO459" s="6"/>
      <c r="NP459" s="6"/>
      <c r="NU459" s="6"/>
      <c r="OF459" s="6"/>
      <c r="OG459" s="6"/>
      <c r="OL459" s="6"/>
      <c r="OP459" s="6"/>
      <c r="OQ459" s="6"/>
      <c r="OV459" s="6"/>
      <c r="PG459" s="6"/>
      <c r="PH459" s="6"/>
      <c r="PM459" s="6"/>
      <c r="PQ459" s="6"/>
      <c r="PR459" s="6"/>
      <c r="PW459" s="6"/>
      <c r="QB459" s="8"/>
      <c r="QC459" s="8"/>
      <c r="QD459" s="8"/>
      <c r="QH459" s="6"/>
      <c r="QI459" s="6"/>
      <c r="QN459" s="6"/>
      <c r="QR459" s="6"/>
      <c r="QS459" s="6"/>
      <c r="QX459" s="6"/>
      <c r="RI459" s="6"/>
      <c r="RJ459" s="6"/>
      <c r="RO459" s="6"/>
      <c r="RS459" s="6"/>
      <c r="RT459" s="6"/>
      <c r="RY459" s="6"/>
    </row>
    <row r="460" spans="18:520" x14ac:dyDescent="0.3">
      <c r="S460" s="6"/>
      <c r="T460" s="6"/>
      <c r="U460" s="6"/>
      <c r="W460" s="6"/>
      <c r="AA460" s="6"/>
      <c r="AB460" s="6"/>
      <c r="AH460" s="6"/>
      <c r="AS460" s="6"/>
      <c r="AT460" s="6"/>
      <c r="AY460" s="6"/>
      <c r="BC460" s="6"/>
      <c r="BD460" s="6"/>
      <c r="BI460" s="6"/>
      <c r="BT460" s="6"/>
      <c r="BU460" s="6"/>
      <c r="BZ460" s="6"/>
      <c r="CD460" s="6"/>
      <c r="CE460" s="6"/>
      <c r="CJ460" s="6"/>
      <c r="CU460" s="6"/>
      <c r="CV460" s="6"/>
      <c r="DA460" s="6"/>
      <c r="DE460" s="6"/>
      <c r="DF460" s="6"/>
      <c r="DK460" s="6"/>
      <c r="DV460" s="6"/>
      <c r="DW460" s="6"/>
      <c r="EB460" s="6"/>
      <c r="EF460" s="6"/>
      <c r="EG460" s="6"/>
      <c r="EL460" s="6"/>
      <c r="EW460" s="6"/>
      <c r="EX460" s="6"/>
      <c r="FC460" s="6"/>
      <c r="FG460" s="6"/>
      <c r="FH460" s="6"/>
      <c r="FM460" s="6"/>
      <c r="FR460" s="8"/>
      <c r="FS460" s="8"/>
      <c r="FT460" s="8"/>
      <c r="FX460" s="6"/>
      <c r="FY460" s="6"/>
      <c r="GD460" s="6"/>
      <c r="GH460" s="6"/>
      <c r="GI460" s="6"/>
      <c r="GN460" s="6"/>
      <c r="GY460" s="6"/>
      <c r="GZ460" s="6"/>
      <c r="HE460" s="6"/>
      <c r="HI460" s="6"/>
      <c r="HJ460" s="6"/>
      <c r="HO460" s="6"/>
      <c r="HZ460" s="6"/>
      <c r="IA460" s="6"/>
      <c r="IF460" s="6"/>
      <c r="IJ460" s="6"/>
      <c r="IK460" s="6"/>
      <c r="IP460" s="6"/>
      <c r="JA460" s="6"/>
      <c r="JB460" s="6"/>
      <c r="JG460" s="6"/>
      <c r="JK460" s="6"/>
      <c r="JL460" s="6"/>
      <c r="JQ460" s="6"/>
      <c r="KB460" s="6"/>
      <c r="KC460" s="6"/>
      <c r="KH460" s="6"/>
      <c r="KL460" s="6"/>
      <c r="KM460" s="6"/>
      <c r="KR460" s="6"/>
      <c r="LC460" s="6"/>
      <c r="LD460" s="6"/>
      <c r="LI460" s="6"/>
      <c r="LM460" s="6"/>
      <c r="LN460" s="6"/>
      <c r="LS460" s="6"/>
      <c r="MD460" s="6"/>
      <c r="ME460" s="6"/>
      <c r="MJ460" s="6"/>
      <c r="MN460" s="6"/>
      <c r="MO460" s="6"/>
      <c r="MT460" s="6"/>
      <c r="NE460" s="6"/>
      <c r="NF460" s="6"/>
      <c r="NK460" s="6"/>
      <c r="NO460" s="6"/>
      <c r="NP460" s="6"/>
      <c r="NU460" s="6"/>
      <c r="OF460" s="6"/>
      <c r="OG460" s="6"/>
      <c r="OL460" s="6"/>
      <c r="OP460" s="6"/>
      <c r="OQ460" s="6"/>
      <c r="OV460" s="6"/>
      <c r="PG460" s="6"/>
      <c r="PH460" s="6"/>
      <c r="PM460" s="6"/>
      <c r="PQ460" s="6"/>
      <c r="PR460" s="6"/>
      <c r="PW460" s="6"/>
      <c r="RI460" s="6"/>
      <c r="RJ460" s="6"/>
      <c r="RO460" s="6"/>
      <c r="RS460" s="6"/>
      <c r="RT460" s="6"/>
      <c r="RY460" s="6"/>
    </row>
    <row r="461" spans="18:520" x14ac:dyDescent="0.3">
      <c r="S461" s="6"/>
      <c r="T461" s="6"/>
      <c r="U461" s="6"/>
      <c r="W461" s="6"/>
      <c r="AA461" s="6"/>
      <c r="AB461" s="6"/>
      <c r="AH461" s="6"/>
      <c r="AS461" s="6"/>
      <c r="AT461" s="6"/>
      <c r="AY461" s="6"/>
      <c r="BC461" s="6"/>
      <c r="BD461" s="6"/>
      <c r="BI461" s="6"/>
      <c r="BT461" s="6"/>
      <c r="BU461" s="6"/>
      <c r="BZ461" s="6"/>
      <c r="CD461" s="6"/>
      <c r="CE461" s="6"/>
      <c r="CJ461" s="6"/>
      <c r="CU461" s="6"/>
      <c r="CV461" s="6"/>
      <c r="DA461" s="6"/>
      <c r="DE461" s="6"/>
      <c r="DF461" s="6"/>
      <c r="DK461" s="6"/>
      <c r="DV461" s="6"/>
      <c r="DW461" s="6"/>
      <c r="EB461" s="6"/>
      <c r="EF461" s="6"/>
      <c r="EG461" s="6"/>
      <c r="EL461" s="6"/>
      <c r="EW461" s="6"/>
      <c r="EX461" s="6"/>
      <c r="FC461" s="6"/>
      <c r="FG461" s="6"/>
      <c r="FH461" s="6"/>
      <c r="FM461" s="6"/>
      <c r="GY461" s="6"/>
      <c r="GZ461" s="6"/>
      <c r="HE461" s="6"/>
      <c r="HI461" s="6"/>
      <c r="HJ461" s="6"/>
      <c r="HO461" s="6"/>
      <c r="HZ461" s="6"/>
      <c r="IA461" s="6"/>
      <c r="IF461" s="6"/>
      <c r="IJ461" s="6"/>
      <c r="IK461" s="6"/>
      <c r="IP461" s="6"/>
      <c r="JA461" s="6"/>
      <c r="JB461" s="6"/>
      <c r="JG461" s="6"/>
      <c r="JK461" s="6"/>
      <c r="JL461" s="6"/>
      <c r="JQ461" s="6"/>
      <c r="KB461" s="6"/>
      <c r="KC461" s="6"/>
      <c r="KH461" s="6"/>
      <c r="KL461" s="6"/>
      <c r="KM461" s="6"/>
      <c r="KR461" s="6"/>
      <c r="LC461" s="6"/>
      <c r="LD461" s="6"/>
      <c r="LI461" s="6"/>
      <c r="LM461" s="6"/>
      <c r="LN461" s="6"/>
      <c r="LS461" s="6"/>
      <c r="MD461" s="6"/>
      <c r="ME461" s="6"/>
      <c r="MJ461" s="6"/>
      <c r="MN461" s="6"/>
      <c r="MO461" s="6"/>
      <c r="MT461" s="6"/>
      <c r="NE461" s="6"/>
      <c r="NF461" s="6"/>
      <c r="NK461" s="6"/>
      <c r="NO461" s="6"/>
      <c r="NP461" s="6"/>
      <c r="NU461" s="6"/>
      <c r="OF461" s="6"/>
      <c r="OG461" s="6"/>
      <c r="OL461" s="6"/>
      <c r="OP461" s="6"/>
      <c r="OQ461" s="6"/>
      <c r="OV461" s="6"/>
      <c r="PG461" s="6"/>
      <c r="PH461" s="6"/>
      <c r="PM461" s="6"/>
      <c r="PQ461" s="6"/>
      <c r="PR461" s="6"/>
      <c r="PW461" s="6"/>
      <c r="RI461" s="6"/>
      <c r="RJ461" s="6"/>
      <c r="RO461" s="6"/>
      <c r="RS461" s="6"/>
      <c r="RT461" s="6"/>
      <c r="RY461" s="6"/>
    </row>
    <row r="462" spans="18:520" x14ac:dyDescent="0.3">
      <c r="S462" s="6"/>
      <c r="T462" s="6"/>
      <c r="U462" s="6"/>
      <c r="W462" s="6"/>
      <c r="AA462" s="6"/>
      <c r="AB462" s="6"/>
      <c r="AH462" s="6"/>
      <c r="AS462" s="6"/>
      <c r="AT462" s="6"/>
      <c r="AY462" s="6"/>
      <c r="BC462" s="6"/>
      <c r="BD462" s="6"/>
      <c r="BI462" s="6"/>
      <c r="BT462" s="6"/>
      <c r="BU462" s="6"/>
      <c r="BZ462" s="6"/>
      <c r="CD462" s="6"/>
      <c r="CE462" s="6"/>
      <c r="CJ462" s="6"/>
      <c r="CU462" s="6"/>
      <c r="CV462" s="6"/>
      <c r="DA462" s="6"/>
      <c r="DE462" s="6"/>
      <c r="DF462" s="6"/>
      <c r="DK462" s="6"/>
      <c r="DV462" s="6"/>
      <c r="DW462" s="6"/>
      <c r="EB462" s="6"/>
      <c r="EF462" s="6"/>
      <c r="EG462" s="6"/>
      <c r="EL462" s="6"/>
      <c r="EW462" s="6"/>
      <c r="EX462" s="6"/>
      <c r="FC462" s="6"/>
      <c r="FG462" s="6"/>
      <c r="FH462" s="6"/>
      <c r="FM462" s="6"/>
      <c r="GY462" s="6"/>
      <c r="GZ462" s="6"/>
      <c r="HE462" s="6"/>
      <c r="HI462" s="6"/>
      <c r="HJ462" s="6"/>
      <c r="HO462" s="6"/>
      <c r="HZ462" s="6"/>
      <c r="IA462" s="6"/>
      <c r="IF462" s="6"/>
      <c r="IJ462" s="6"/>
      <c r="IK462" s="6"/>
      <c r="IP462" s="6"/>
      <c r="JA462" s="6"/>
      <c r="JB462" s="6"/>
      <c r="JG462" s="6"/>
      <c r="JK462" s="6"/>
      <c r="JL462" s="6"/>
      <c r="JQ462" s="6"/>
      <c r="KB462" s="6"/>
      <c r="KC462" s="6"/>
      <c r="KH462" s="6"/>
      <c r="KL462" s="6"/>
      <c r="KM462" s="6"/>
      <c r="KR462" s="6"/>
      <c r="LC462" s="6"/>
      <c r="LD462" s="6"/>
      <c r="LI462" s="6"/>
      <c r="LM462" s="6"/>
      <c r="LN462" s="6"/>
      <c r="LS462" s="6"/>
      <c r="LX462" s="8"/>
      <c r="LY462" s="8"/>
      <c r="LZ462" s="8"/>
      <c r="MD462" s="6"/>
      <c r="ME462" s="6"/>
      <c r="MJ462" s="6"/>
      <c r="MN462" s="6"/>
      <c r="MO462" s="6"/>
      <c r="MT462" s="6"/>
      <c r="NE462" s="6"/>
      <c r="NF462" s="6"/>
      <c r="NK462" s="6"/>
      <c r="NO462" s="6"/>
      <c r="NP462" s="6"/>
      <c r="NU462" s="6"/>
      <c r="OF462" s="6"/>
      <c r="OG462" s="6"/>
      <c r="OL462" s="6"/>
      <c r="OP462" s="6"/>
      <c r="OQ462" s="6"/>
      <c r="OV462" s="6"/>
      <c r="PG462" s="6"/>
      <c r="PH462" s="6"/>
      <c r="PM462" s="6"/>
      <c r="PQ462" s="6"/>
      <c r="PR462" s="6"/>
      <c r="PW462" s="6"/>
      <c r="RI462" s="6"/>
      <c r="RJ462" s="6"/>
      <c r="RO462" s="6"/>
      <c r="RS462" s="6"/>
      <c r="RT462" s="6"/>
      <c r="RY462" s="6"/>
    </row>
    <row r="463" spans="18:520" x14ac:dyDescent="0.3">
      <c r="S463" s="6"/>
      <c r="T463" s="6"/>
      <c r="U463" s="6"/>
      <c r="W463" s="6"/>
      <c r="AA463" s="6"/>
      <c r="AB463" s="6"/>
      <c r="AH463" s="6"/>
      <c r="AS463" s="6"/>
      <c r="AT463" s="6"/>
      <c r="AY463" s="6"/>
      <c r="BC463" s="6"/>
      <c r="BD463" s="6"/>
      <c r="BI463" s="6"/>
      <c r="BT463" s="6"/>
      <c r="BU463" s="6"/>
      <c r="BZ463" s="6"/>
      <c r="CD463" s="6"/>
      <c r="CE463" s="6"/>
      <c r="CJ463" s="6"/>
      <c r="CU463" s="6"/>
      <c r="CV463" s="6"/>
      <c r="DA463" s="6"/>
      <c r="DE463" s="6"/>
      <c r="DF463" s="6"/>
      <c r="DK463" s="6"/>
      <c r="DV463" s="6"/>
      <c r="DW463" s="6"/>
      <c r="EB463" s="6"/>
      <c r="EF463" s="6"/>
      <c r="EG463" s="6"/>
      <c r="EL463" s="6"/>
      <c r="EW463" s="6"/>
      <c r="EX463" s="6"/>
      <c r="FC463" s="6"/>
      <c r="FG463" s="6"/>
      <c r="FH463" s="6"/>
      <c r="FM463" s="6"/>
      <c r="GY463" s="6"/>
      <c r="GZ463" s="6"/>
      <c r="HE463" s="6"/>
      <c r="HI463" s="6"/>
      <c r="HJ463" s="6"/>
      <c r="HO463" s="6"/>
      <c r="HZ463" s="6"/>
      <c r="IA463" s="6"/>
      <c r="IF463" s="6"/>
      <c r="IJ463" s="6"/>
      <c r="IK463" s="6"/>
      <c r="IP463" s="6"/>
      <c r="JA463" s="6"/>
      <c r="JB463" s="6"/>
      <c r="JG463" s="6"/>
      <c r="JK463" s="6"/>
      <c r="JL463" s="6"/>
      <c r="JQ463" s="6"/>
      <c r="KB463" s="6"/>
      <c r="KC463" s="6"/>
      <c r="KH463" s="6"/>
      <c r="KL463" s="6"/>
      <c r="KM463" s="6"/>
      <c r="KR463" s="6"/>
      <c r="LC463" s="6"/>
      <c r="LD463" s="6"/>
      <c r="LI463" s="6"/>
      <c r="LM463" s="6"/>
      <c r="LN463" s="6"/>
      <c r="LS463" s="6"/>
      <c r="NE463" s="6"/>
      <c r="NF463" s="6"/>
      <c r="NK463" s="6"/>
      <c r="NO463" s="6"/>
      <c r="NP463" s="6"/>
      <c r="NU463" s="6"/>
      <c r="OF463" s="6"/>
      <c r="OG463" s="6"/>
      <c r="OL463" s="6"/>
      <c r="OP463" s="6"/>
      <c r="OQ463" s="6"/>
      <c r="OV463" s="6"/>
      <c r="PG463" s="6"/>
      <c r="PH463" s="6"/>
      <c r="PM463" s="6"/>
      <c r="PQ463" s="6"/>
      <c r="PR463" s="6"/>
      <c r="PW463" s="6"/>
      <c r="RI463" s="6"/>
      <c r="RJ463" s="6"/>
      <c r="RO463" s="6"/>
      <c r="RS463" s="6"/>
      <c r="RT463" s="6"/>
      <c r="RY463" s="6"/>
    </row>
    <row r="464" spans="18:520" x14ac:dyDescent="0.3">
      <c r="S464" s="6"/>
      <c r="T464" s="6"/>
      <c r="U464" s="6"/>
      <c r="W464" s="6"/>
      <c r="AA464" s="6"/>
      <c r="AB464" s="6"/>
      <c r="AH464" s="6"/>
      <c r="AS464" s="6"/>
      <c r="AT464" s="6"/>
      <c r="AY464" s="6"/>
      <c r="BC464" s="6"/>
      <c r="BD464" s="6"/>
      <c r="BI464" s="6"/>
      <c r="BT464" s="6"/>
      <c r="BU464" s="6"/>
      <c r="BZ464" s="6"/>
      <c r="CD464" s="6"/>
      <c r="CE464" s="6"/>
      <c r="CJ464" s="6"/>
      <c r="CO464" s="8"/>
      <c r="CP464" s="8"/>
      <c r="CQ464" s="8"/>
      <c r="CU464" s="6"/>
      <c r="CV464" s="6"/>
      <c r="DA464" s="6"/>
      <c r="DE464" s="6"/>
      <c r="DF464" s="6"/>
      <c r="DK464" s="6"/>
      <c r="DV464" s="6"/>
      <c r="DW464" s="6"/>
      <c r="EB464" s="6"/>
      <c r="EF464" s="6"/>
      <c r="EG464" s="6"/>
      <c r="EL464" s="6"/>
      <c r="EW464" s="6"/>
      <c r="EX464" s="6"/>
      <c r="FC464" s="6"/>
      <c r="FG464" s="6"/>
      <c r="FH464" s="6"/>
      <c r="FM464" s="6"/>
      <c r="GY464" s="6"/>
      <c r="GZ464" s="6"/>
      <c r="HE464" s="6"/>
      <c r="HI464" s="6"/>
      <c r="HJ464" s="6"/>
      <c r="HO464" s="6"/>
      <c r="HZ464" s="6"/>
      <c r="IA464" s="6"/>
      <c r="IF464" s="6"/>
      <c r="IJ464" s="6"/>
      <c r="IK464" s="6"/>
      <c r="IP464" s="6"/>
      <c r="JA464" s="6"/>
      <c r="JB464" s="6"/>
      <c r="JG464" s="6"/>
      <c r="JK464" s="6"/>
      <c r="JL464" s="6"/>
      <c r="JQ464" s="6"/>
      <c r="KB464" s="6"/>
      <c r="KC464" s="6"/>
      <c r="KH464" s="6"/>
      <c r="KL464" s="6"/>
      <c r="KM464" s="6"/>
      <c r="KR464" s="6"/>
      <c r="LC464" s="6"/>
      <c r="LD464" s="6"/>
      <c r="LI464" s="6"/>
      <c r="LM464" s="6"/>
      <c r="LN464" s="6"/>
      <c r="LS464" s="6"/>
      <c r="NE464" s="6"/>
      <c r="NF464" s="6"/>
      <c r="NK464" s="6"/>
      <c r="NO464" s="6"/>
      <c r="NP464" s="6"/>
      <c r="NU464" s="6"/>
      <c r="OF464" s="6"/>
      <c r="OG464" s="6"/>
      <c r="OL464" s="6"/>
      <c r="OP464" s="6"/>
      <c r="OQ464" s="6"/>
      <c r="OV464" s="6"/>
      <c r="PG464" s="6"/>
      <c r="PH464" s="6"/>
      <c r="PM464" s="6"/>
      <c r="PQ464" s="6"/>
      <c r="PR464" s="6"/>
      <c r="PW464" s="6"/>
      <c r="RI464" s="6"/>
      <c r="RJ464" s="6"/>
      <c r="RO464" s="6"/>
      <c r="RS464" s="6"/>
      <c r="RT464" s="6"/>
      <c r="RY464" s="6"/>
    </row>
    <row r="465" spans="12:520" x14ac:dyDescent="0.3">
      <c r="S465" s="6"/>
      <c r="T465" s="6"/>
      <c r="U465" s="6"/>
      <c r="W465" s="6"/>
      <c r="AA465" s="6"/>
      <c r="AB465" s="6"/>
      <c r="AH465" s="6"/>
      <c r="AS465" s="6"/>
      <c r="AT465" s="6"/>
      <c r="AY465" s="6"/>
      <c r="BC465" s="6"/>
      <c r="BD465" s="6"/>
      <c r="BI465" s="6"/>
      <c r="BT465" s="6"/>
      <c r="BU465" s="6"/>
      <c r="BZ465" s="6"/>
      <c r="CD465" s="6"/>
      <c r="CE465" s="6"/>
      <c r="CJ465" s="6"/>
      <c r="DV465" s="6"/>
      <c r="DW465" s="6"/>
      <c r="EB465" s="6"/>
      <c r="EF465" s="6"/>
      <c r="EG465" s="6"/>
      <c r="EL465" s="6"/>
      <c r="EW465" s="6"/>
      <c r="EX465" s="6"/>
      <c r="FC465" s="6"/>
      <c r="FG465" s="6"/>
      <c r="FH465" s="6"/>
      <c r="FM465" s="6"/>
      <c r="GY465" s="6"/>
      <c r="GZ465" s="6"/>
      <c r="HE465" s="6"/>
      <c r="HI465" s="6"/>
      <c r="HJ465" s="6"/>
      <c r="HO465" s="6"/>
      <c r="HZ465" s="6"/>
      <c r="IA465" s="6"/>
      <c r="IF465" s="6"/>
      <c r="IJ465" s="6"/>
      <c r="IK465" s="6"/>
      <c r="IP465" s="6"/>
      <c r="JA465" s="6"/>
      <c r="JB465" s="6"/>
      <c r="JG465" s="6"/>
      <c r="JK465" s="6"/>
      <c r="JL465" s="6"/>
      <c r="JQ465" s="6"/>
      <c r="KB465" s="6"/>
      <c r="KC465" s="6"/>
      <c r="KH465" s="6"/>
      <c r="KL465" s="6"/>
      <c r="KM465" s="6"/>
      <c r="KR465" s="6"/>
      <c r="LC465" s="6"/>
      <c r="LD465" s="6"/>
      <c r="LI465" s="6"/>
      <c r="LM465" s="6"/>
      <c r="LN465" s="6"/>
      <c r="LS465" s="6"/>
      <c r="NE465" s="6"/>
      <c r="NF465" s="6"/>
      <c r="NK465" s="6"/>
      <c r="NO465" s="6"/>
      <c r="NP465" s="6"/>
      <c r="NU465" s="6"/>
      <c r="OF465" s="6"/>
      <c r="OG465" s="6"/>
      <c r="OL465" s="6"/>
      <c r="OP465" s="6"/>
      <c r="OQ465" s="6"/>
      <c r="OV465" s="6"/>
      <c r="PG465" s="6"/>
      <c r="PH465" s="6"/>
      <c r="PM465" s="6"/>
      <c r="PQ465" s="6"/>
      <c r="PR465" s="6"/>
      <c r="PW465" s="6"/>
      <c r="RI465" s="6"/>
      <c r="RJ465" s="6"/>
      <c r="RO465" s="6"/>
      <c r="RS465" s="6"/>
      <c r="RT465" s="6"/>
      <c r="RY465" s="6"/>
    </row>
    <row r="466" spans="12:520" x14ac:dyDescent="0.3">
      <c r="L466" s="8"/>
      <c r="M466" s="8"/>
      <c r="N466" s="8"/>
      <c r="S466" s="6"/>
      <c r="T466" s="6"/>
      <c r="U466" s="6"/>
      <c r="W466" s="6"/>
      <c r="AA466" s="6"/>
      <c r="AB466" s="6"/>
      <c r="AH466" s="6"/>
      <c r="AS466" s="6"/>
      <c r="AT466" s="6"/>
      <c r="AY466" s="6"/>
      <c r="BC466" s="6"/>
      <c r="BD466" s="6"/>
      <c r="BI466" s="6"/>
      <c r="BN466" s="8"/>
      <c r="BO466" s="8"/>
      <c r="BP466" s="8"/>
      <c r="BT466" s="6"/>
      <c r="BU466" s="6"/>
      <c r="BZ466" s="6"/>
      <c r="CD466" s="6"/>
      <c r="CE466" s="6"/>
      <c r="CJ466" s="6"/>
      <c r="DP466" s="8"/>
      <c r="DQ466" s="8"/>
      <c r="DR466" s="8"/>
      <c r="DV466" s="6"/>
      <c r="DW466" s="6"/>
      <c r="EB466" s="6"/>
      <c r="EF466" s="6"/>
      <c r="EG466" s="6"/>
      <c r="EL466" s="6"/>
      <c r="EQ466" s="8"/>
      <c r="ER466" s="8"/>
      <c r="ES466" s="8"/>
      <c r="EW466" s="6"/>
      <c r="EX466" s="6"/>
      <c r="FC466" s="6"/>
      <c r="FG466" s="6"/>
      <c r="FH466" s="6"/>
      <c r="FM466" s="6"/>
      <c r="GS466" s="8"/>
      <c r="GT466" s="8"/>
      <c r="GU466" s="8"/>
      <c r="GY466" s="6"/>
      <c r="GZ466" s="6"/>
      <c r="HE466" s="6"/>
      <c r="HI466" s="6"/>
      <c r="HJ466" s="6"/>
      <c r="HO466" s="6"/>
      <c r="HT466" s="8"/>
      <c r="HU466" s="8"/>
      <c r="HV466" s="8"/>
      <c r="HZ466" s="6"/>
      <c r="IA466" s="6"/>
      <c r="IF466" s="6"/>
      <c r="IJ466" s="6"/>
      <c r="IK466" s="6"/>
      <c r="IP466" s="6"/>
      <c r="IU466" s="8"/>
      <c r="IV466" s="8"/>
      <c r="IW466" s="8"/>
      <c r="JA466" s="6"/>
      <c r="JB466" s="6"/>
      <c r="JG466" s="6"/>
      <c r="JK466" s="6"/>
      <c r="JL466" s="6"/>
      <c r="JQ466" s="6"/>
      <c r="JV466" s="8"/>
      <c r="JW466" s="8"/>
      <c r="JX466" s="8"/>
      <c r="KB466" s="6"/>
      <c r="KC466" s="6"/>
      <c r="KH466" s="6"/>
      <c r="KL466" s="6"/>
      <c r="KM466" s="6"/>
      <c r="KR466" s="6"/>
      <c r="KW466" s="8"/>
      <c r="KX466" s="8"/>
      <c r="KY466" s="8"/>
      <c r="LC466" s="6"/>
      <c r="LD466" s="6"/>
      <c r="LI466" s="6"/>
      <c r="LM466" s="6"/>
      <c r="LN466" s="6"/>
      <c r="LS466" s="6"/>
      <c r="MY466" s="8"/>
      <c r="MZ466" s="8"/>
      <c r="NA466" s="8"/>
      <c r="NE466" s="6"/>
      <c r="NF466" s="6"/>
      <c r="NK466" s="6"/>
      <c r="NO466" s="6"/>
      <c r="NP466" s="6"/>
      <c r="NU466" s="6"/>
      <c r="NZ466" s="8"/>
      <c r="OA466" s="8"/>
      <c r="OB466" s="8"/>
      <c r="OF466" s="6"/>
      <c r="OG466" s="6"/>
      <c r="OL466" s="6"/>
      <c r="OP466" s="6"/>
      <c r="OQ466" s="6"/>
      <c r="OV466" s="6"/>
      <c r="PA466" s="8"/>
      <c r="PB466" s="8"/>
      <c r="PC466" s="8"/>
      <c r="PG466" s="6"/>
      <c r="PH466" s="6"/>
      <c r="PM466" s="6"/>
      <c r="PQ466" s="6"/>
      <c r="PR466" s="6"/>
      <c r="PW466" s="6"/>
      <c r="RC466" s="8"/>
      <c r="RD466" s="8"/>
      <c r="RE466" s="8"/>
      <c r="RI466" s="6"/>
      <c r="RJ466" s="6"/>
      <c r="RO466" s="6"/>
      <c r="RS466" s="6"/>
      <c r="RT466" s="6"/>
      <c r="RY466" s="6"/>
    </row>
    <row r="467" spans="12:520" x14ac:dyDescent="0.3">
      <c r="AS467" s="6"/>
    </row>
    <row r="468" spans="12:520" x14ac:dyDescent="0.3">
      <c r="R468" s="6"/>
      <c r="S468" s="7"/>
      <c r="T468" s="7"/>
      <c r="Z468" s="6"/>
      <c r="AA468" s="7"/>
      <c r="AG468" s="6"/>
      <c r="AS468" s="6"/>
      <c r="AX468" s="6"/>
      <c r="BB468" s="6"/>
      <c r="BC468" s="7"/>
      <c r="BH468" s="6"/>
      <c r="BS468" s="6"/>
      <c r="BT468" s="7"/>
      <c r="BY468" s="6"/>
      <c r="CC468" s="6"/>
      <c r="CD468" s="7"/>
      <c r="CI468" s="6"/>
      <c r="CT468" s="6"/>
      <c r="CU468" s="7"/>
      <c r="CZ468" s="6"/>
      <c r="DD468" s="6"/>
      <c r="DE468" s="7"/>
      <c r="DJ468" s="6"/>
      <c r="DU468" s="6"/>
      <c r="DV468" s="7"/>
      <c r="EA468" s="6"/>
      <c r="EE468" s="6"/>
      <c r="EF468" s="7"/>
      <c r="EK468" s="6"/>
      <c r="EV468" s="6"/>
      <c r="EW468" s="7"/>
      <c r="FB468" s="6"/>
      <c r="FF468" s="6"/>
      <c r="FG468" s="7"/>
      <c r="FL468" s="6"/>
      <c r="FW468" s="6"/>
      <c r="FX468" s="7"/>
      <c r="GC468" s="6"/>
      <c r="GG468" s="6"/>
      <c r="GH468" s="7"/>
      <c r="GM468" s="6"/>
      <c r="GX468" s="6"/>
      <c r="GY468" s="7"/>
      <c r="HD468" s="6"/>
      <c r="HH468" s="6"/>
      <c r="HI468" s="7"/>
      <c r="HN468" s="6"/>
      <c r="HY468" s="6"/>
      <c r="HZ468" s="7"/>
      <c r="IE468" s="6"/>
      <c r="II468" s="6"/>
      <c r="IJ468" s="7"/>
      <c r="IO468" s="6"/>
      <c r="IZ468" s="6"/>
      <c r="JA468" s="7"/>
      <c r="JF468" s="6"/>
      <c r="JJ468" s="6"/>
      <c r="JK468" s="7"/>
      <c r="JP468" s="6"/>
      <c r="KA468" s="6"/>
      <c r="KB468" s="7"/>
      <c r="KG468" s="6"/>
      <c r="KK468" s="6"/>
      <c r="KL468" s="7"/>
      <c r="KQ468" s="6"/>
      <c r="LB468" s="6"/>
      <c r="LC468" s="7"/>
      <c r="LH468" s="6"/>
      <c r="LL468" s="6"/>
      <c r="LM468" s="7"/>
      <c r="LR468" s="6"/>
      <c r="MC468" s="6"/>
      <c r="MD468" s="7"/>
      <c r="MI468" s="6"/>
      <c r="MM468" s="6"/>
      <c r="MN468" s="7"/>
      <c r="MS468" s="6"/>
      <c r="ND468" s="6"/>
      <c r="NE468" s="7"/>
      <c r="NJ468" s="6"/>
      <c r="NN468" s="6"/>
      <c r="NO468" s="7"/>
      <c r="NT468" s="6"/>
      <c r="OE468" s="6"/>
      <c r="OF468" s="7"/>
      <c r="OK468" s="6"/>
      <c r="OO468" s="6"/>
      <c r="OP468" s="7"/>
      <c r="OU468" s="6"/>
      <c r="PF468" s="6"/>
      <c r="PG468" s="7"/>
      <c r="PL468" s="6"/>
      <c r="PP468" s="6"/>
      <c r="PQ468" s="7"/>
      <c r="PV468" s="6"/>
      <c r="QG468" s="6"/>
      <c r="QH468" s="7"/>
      <c r="QM468" s="6"/>
      <c r="QQ468" s="6"/>
      <c r="QR468" s="7"/>
      <c r="QW468" s="6"/>
      <c r="RH468" s="6"/>
      <c r="RI468" s="7"/>
      <c r="RN468" s="6"/>
      <c r="RR468" s="6"/>
      <c r="RS468" s="7"/>
      <c r="RX468" s="6"/>
      <c r="SI468" s="6"/>
      <c r="SJ468" s="7"/>
      <c r="SO468" s="6"/>
      <c r="SS468" s="6"/>
      <c r="ST468" s="7"/>
      <c r="SY468" s="6"/>
    </row>
    <row r="469" spans="12:520" x14ac:dyDescent="0.3">
      <c r="O469" s="5"/>
      <c r="R469" s="5"/>
      <c r="S469" s="6"/>
      <c r="T469" s="6"/>
      <c r="U469" s="7"/>
      <c r="W469" s="6"/>
      <c r="X469" s="5"/>
      <c r="Z469" s="5"/>
      <c r="AA469" s="6"/>
      <c r="AB469" s="7"/>
      <c r="AG469" s="5"/>
      <c r="AH469" s="6"/>
      <c r="AS469" s="6"/>
      <c r="AT469" s="7"/>
      <c r="AW469" s="5"/>
      <c r="AY469" s="6"/>
      <c r="BC469" s="6"/>
      <c r="BD469" s="6"/>
      <c r="BI469" s="6"/>
      <c r="BT469" s="6"/>
      <c r="BU469" s="6"/>
      <c r="BZ469" s="6"/>
      <c r="CD469" s="6"/>
      <c r="CE469" s="6"/>
      <c r="CJ469" s="6"/>
      <c r="CU469" s="6"/>
      <c r="CV469" s="6"/>
      <c r="DA469" s="6"/>
      <c r="DE469" s="6"/>
      <c r="DF469" s="6"/>
      <c r="DK469" s="6"/>
      <c r="DV469" s="6"/>
      <c r="DW469" s="6"/>
      <c r="EB469" s="6"/>
      <c r="EF469" s="6"/>
      <c r="EG469" s="6"/>
      <c r="EL469" s="6"/>
      <c r="EW469" s="6"/>
      <c r="EX469" s="6"/>
      <c r="FC469" s="6"/>
      <c r="FG469" s="6"/>
      <c r="FH469" s="6"/>
      <c r="FM469" s="6"/>
      <c r="FX469" s="6"/>
      <c r="FY469" s="6"/>
      <c r="GD469" s="6"/>
      <c r="GH469" s="6"/>
      <c r="GI469" s="6"/>
      <c r="GN469" s="6"/>
      <c r="GY469" s="6"/>
      <c r="GZ469" s="6"/>
      <c r="HE469" s="6"/>
      <c r="HI469" s="6"/>
      <c r="HJ469" s="6"/>
      <c r="HO469" s="6"/>
      <c r="HZ469" s="6"/>
      <c r="IA469" s="6"/>
      <c r="IF469" s="6"/>
      <c r="IJ469" s="6"/>
      <c r="IK469" s="6"/>
      <c r="IP469" s="6"/>
      <c r="JA469" s="6"/>
      <c r="JB469" s="6"/>
      <c r="JG469" s="6"/>
      <c r="JK469" s="6"/>
      <c r="JL469" s="6"/>
      <c r="JQ469" s="6"/>
      <c r="KB469" s="6"/>
      <c r="KC469" s="6"/>
      <c r="KH469" s="6"/>
      <c r="KL469" s="6"/>
      <c r="KM469" s="6"/>
      <c r="KR469" s="6"/>
      <c r="LC469" s="6"/>
      <c r="LD469" s="6"/>
      <c r="LI469" s="6"/>
      <c r="LM469" s="6"/>
      <c r="LN469" s="6"/>
      <c r="LS469" s="6"/>
      <c r="MD469" s="6"/>
      <c r="ME469" s="6"/>
      <c r="MJ469" s="6"/>
      <c r="MN469" s="6"/>
      <c r="MO469" s="6"/>
      <c r="MT469" s="6"/>
      <c r="NE469" s="6"/>
      <c r="NF469" s="6"/>
      <c r="NK469" s="6"/>
      <c r="NO469" s="6"/>
      <c r="NP469" s="6"/>
      <c r="NU469" s="6"/>
      <c r="OF469" s="6"/>
      <c r="OG469" s="6"/>
      <c r="OL469" s="6"/>
      <c r="OP469" s="6"/>
      <c r="OQ469" s="6"/>
      <c r="OV469" s="6"/>
      <c r="PG469" s="6"/>
      <c r="PH469" s="6"/>
      <c r="PM469" s="6"/>
      <c r="PQ469" s="6"/>
      <c r="PR469" s="6"/>
      <c r="PW469" s="6"/>
      <c r="QH469" s="6"/>
      <c r="QI469" s="6"/>
      <c r="QN469" s="6"/>
      <c r="QR469" s="6"/>
      <c r="QS469" s="6"/>
      <c r="QX469" s="6"/>
      <c r="RI469" s="6"/>
      <c r="RJ469" s="6"/>
      <c r="RO469" s="6"/>
      <c r="RS469" s="6"/>
      <c r="RT469" s="6"/>
      <c r="RY469" s="6"/>
      <c r="SJ469" s="6"/>
      <c r="SK469" s="6"/>
      <c r="SP469" s="6"/>
      <c r="ST469" s="6"/>
      <c r="SU469" s="6"/>
      <c r="SZ469" s="6"/>
    </row>
    <row r="470" spans="12:520" x14ac:dyDescent="0.3">
      <c r="O470" s="5"/>
      <c r="R470" s="5"/>
      <c r="S470" s="6"/>
      <c r="T470" s="6"/>
      <c r="U470" s="7"/>
      <c r="W470" s="6"/>
      <c r="X470" s="5"/>
      <c r="Z470" s="5"/>
      <c r="AA470" s="6"/>
      <c r="AB470" s="7"/>
      <c r="AG470" s="5"/>
      <c r="AH470" s="6"/>
      <c r="AM470" s="8"/>
      <c r="AN470" s="8"/>
      <c r="AO470" s="8"/>
      <c r="AS470" s="6"/>
      <c r="AT470" s="7"/>
      <c r="AW470" s="5"/>
      <c r="AY470" s="6"/>
      <c r="BC470" s="6"/>
      <c r="BD470" s="6"/>
      <c r="BI470" s="6"/>
      <c r="BT470" s="6"/>
      <c r="BU470" s="6"/>
      <c r="BZ470" s="6"/>
      <c r="CD470" s="6"/>
      <c r="CE470" s="6"/>
      <c r="CJ470" s="6"/>
      <c r="CU470" s="6"/>
      <c r="CV470" s="6"/>
      <c r="DA470" s="6"/>
      <c r="DE470" s="6"/>
      <c r="DF470" s="6"/>
      <c r="DK470" s="6"/>
      <c r="DV470" s="6"/>
      <c r="DW470" s="6"/>
      <c r="EB470" s="6"/>
      <c r="EF470" s="6"/>
      <c r="EG470" s="6"/>
      <c r="EL470" s="6"/>
      <c r="EW470" s="6"/>
      <c r="EX470" s="6"/>
      <c r="FC470" s="6"/>
      <c r="FG470" s="6"/>
      <c r="FH470" s="6"/>
      <c r="FM470" s="6"/>
      <c r="FX470" s="6"/>
      <c r="FY470" s="6"/>
      <c r="GD470" s="6"/>
      <c r="GH470" s="6"/>
      <c r="GI470" s="6"/>
      <c r="GN470" s="6"/>
      <c r="GY470" s="6"/>
      <c r="GZ470" s="6"/>
      <c r="HE470" s="6"/>
      <c r="HI470" s="6"/>
      <c r="HJ470" s="6"/>
      <c r="HO470" s="6"/>
      <c r="HZ470" s="6"/>
      <c r="IA470" s="6"/>
      <c r="IF470" s="6"/>
      <c r="IJ470" s="6"/>
      <c r="IK470" s="6"/>
      <c r="IP470" s="6"/>
      <c r="JA470" s="6"/>
      <c r="JB470" s="6"/>
      <c r="JG470" s="6"/>
      <c r="JK470" s="6"/>
      <c r="JL470" s="6"/>
      <c r="JQ470" s="6"/>
      <c r="KB470" s="6"/>
      <c r="KC470" s="6"/>
      <c r="KH470" s="6"/>
      <c r="KL470" s="6"/>
      <c r="KM470" s="6"/>
      <c r="KR470" s="6"/>
      <c r="LC470" s="6"/>
      <c r="LD470" s="6"/>
      <c r="LI470" s="6"/>
      <c r="LM470" s="6"/>
      <c r="LN470" s="6"/>
      <c r="LS470" s="6"/>
      <c r="MD470" s="6"/>
      <c r="ME470" s="6"/>
      <c r="MJ470" s="6"/>
      <c r="MN470" s="6"/>
      <c r="MO470" s="6"/>
      <c r="MT470" s="6"/>
      <c r="NE470" s="6"/>
      <c r="NF470" s="6"/>
      <c r="NK470" s="6"/>
      <c r="NO470" s="6"/>
      <c r="NP470" s="6"/>
      <c r="NU470" s="6"/>
      <c r="OF470" s="6"/>
      <c r="OG470" s="6"/>
      <c r="OL470" s="6"/>
      <c r="OP470" s="6"/>
      <c r="OQ470" s="6"/>
      <c r="OV470" s="6"/>
      <c r="PG470" s="6"/>
      <c r="PH470" s="6"/>
      <c r="PM470" s="6"/>
      <c r="PQ470" s="6"/>
      <c r="PR470" s="6"/>
      <c r="PW470" s="6"/>
      <c r="QH470" s="6"/>
      <c r="QI470" s="6"/>
      <c r="QN470" s="6"/>
      <c r="QR470" s="6"/>
      <c r="QS470" s="6"/>
      <c r="QX470" s="6"/>
      <c r="RI470" s="6"/>
      <c r="RJ470" s="6"/>
      <c r="RO470" s="6"/>
      <c r="RS470" s="6"/>
      <c r="RT470" s="6"/>
      <c r="RY470" s="6"/>
      <c r="SD470" s="8"/>
      <c r="SE470" s="8"/>
      <c r="SF470" s="8"/>
      <c r="SJ470" s="6"/>
      <c r="SK470" s="6"/>
      <c r="SP470" s="6"/>
      <c r="ST470" s="6"/>
      <c r="SU470" s="6"/>
      <c r="SZ470" s="6"/>
    </row>
    <row r="471" spans="12:520" x14ac:dyDescent="0.3">
      <c r="O471" s="5"/>
      <c r="R471" s="5"/>
      <c r="S471" s="6"/>
      <c r="T471" s="6"/>
      <c r="U471" s="7"/>
      <c r="W471" s="6"/>
      <c r="X471" s="5"/>
      <c r="Z471" s="5"/>
      <c r="AA471" s="6"/>
      <c r="AB471" s="7"/>
      <c r="AG471" s="5"/>
      <c r="AH471" s="6"/>
      <c r="AT471" s="7"/>
      <c r="AW471" s="5"/>
      <c r="AY471" s="6"/>
      <c r="BC471" s="6"/>
      <c r="BD471" s="6"/>
      <c r="BI471" s="6"/>
      <c r="BT471" s="6"/>
      <c r="BU471" s="6"/>
      <c r="BZ471" s="6"/>
      <c r="CD471" s="6"/>
      <c r="CE471" s="6"/>
      <c r="CJ471" s="6"/>
      <c r="CU471" s="6"/>
      <c r="CV471" s="6"/>
      <c r="DA471" s="6"/>
      <c r="DE471" s="6"/>
      <c r="DF471" s="6"/>
      <c r="DK471" s="6"/>
      <c r="DV471" s="6"/>
      <c r="DW471" s="6"/>
      <c r="EB471" s="6"/>
      <c r="EF471" s="6"/>
      <c r="EG471" s="6"/>
      <c r="EL471" s="6"/>
      <c r="EW471" s="6"/>
      <c r="EX471" s="6"/>
      <c r="FC471" s="6"/>
      <c r="FG471" s="6"/>
      <c r="FH471" s="6"/>
      <c r="FM471" s="6"/>
      <c r="FX471" s="6"/>
      <c r="FY471" s="6"/>
      <c r="GD471" s="6"/>
      <c r="GH471" s="6"/>
      <c r="GI471" s="6"/>
      <c r="GN471" s="6"/>
      <c r="GY471" s="6"/>
      <c r="GZ471" s="6"/>
      <c r="HE471" s="6"/>
      <c r="HI471" s="6"/>
      <c r="HJ471" s="6"/>
      <c r="HO471" s="6"/>
      <c r="HZ471" s="6"/>
      <c r="IA471" s="6"/>
      <c r="IF471" s="6"/>
      <c r="IJ471" s="6"/>
      <c r="IK471" s="6"/>
      <c r="IP471" s="6"/>
      <c r="JA471" s="6"/>
      <c r="JB471" s="6"/>
      <c r="JG471" s="6"/>
      <c r="JK471" s="6"/>
      <c r="JL471" s="6"/>
      <c r="JQ471" s="6"/>
      <c r="KB471" s="6"/>
      <c r="KC471" s="6"/>
      <c r="KH471" s="6"/>
      <c r="KL471" s="6"/>
      <c r="KM471" s="6"/>
      <c r="KR471" s="6"/>
      <c r="LC471" s="6"/>
      <c r="LD471" s="6"/>
      <c r="LI471" s="6"/>
      <c r="LM471" s="6"/>
      <c r="LN471" s="6"/>
      <c r="LS471" s="6"/>
      <c r="MD471" s="6"/>
      <c r="ME471" s="6"/>
      <c r="MJ471" s="6"/>
      <c r="MN471" s="6"/>
      <c r="MO471" s="6"/>
      <c r="MT471" s="6"/>
      <c r="NE471" s="6"/>
      <c r="NF471" s="6"/>
      <c r="NK471" s="6"/>
      <c r="NO471" s="6"/>
      <c r="NP471" s="6"/>
      <c r="NU471" s="6"/>
      <c r="OF471" s="6"/>
      <c r="OG471" s="6"/>
      <c r="OL471" s="6"/>
      <c r="OP471" s="6"/>
      <c r="OQ471" s="6"/>
      <c r="OV471" s="6"/>
      <c r="PG471" s="6"/>
      <c r="PH471" s="6"/>
      <c r="PM471" s="6"/>
      <c r="PQ471" s="6"/>
      <c r="PR471" s="6"/>
      <c r="PW471" s="6"/>
      <c r="QH471" s="6"/>
      <c r="QI471" s="6"/>
      <c r="QN471" s="6"/>
      <c r="QR471" s="6"/>
      <c r="QS471" s="6"/>
      <c r="QX471" s="6"/>
      <c r="RI471" s="6"/>
      <c r="RJ471" s="6"/>
      <c r="RO471" s="6"/>
      <c r="RS471" s="6"/>
      <c r="RT471" s="6"/>
      <c r="RY471" s="6"/>
    </row>
    <row r="472" spans="12:520" x14ac:dyDescent="0.3">
      <c r="O472" s="5"/>
      <c r="R472" s="5"/>
      <c r="S472" s="6"/>
      <c r="T472" s="6"/>
      <c r="U472" s="7"/>
      <c r="W472" s="6"/>
      <c r="X472" s="5"/>
      <c r="Z472" s="5"/>
      <c r="AA472" s="6"/>
      <c r="AB472" s="7"/>
      <c r="AG472" s="5"/>
      <c r="AH472" s="6"/>
      <c r="AR472" s="6"/>
      <c r="AS472" s="7"/>
      <c r="AT472" s="7"/>
      <c r="AW472" s="5"/>
      <c r="AY472" s="6"/>
      <c r="BC472" s="6"/>
      <c r="BD472" s="6"/>
      <c r="BI472" s="6"/>
      <c r="BT472" s="6"/>
      <c r="BU472" s="6"/>
      <c r="BZ472" s="6"/>
      <c r="CD472" s="6"/>
      <c r="CE472" s="6"/>
      <c r="CJ472" s="6"/>
      <c r="CU472" s="6"/>
      <c r="CV472" s="6"/>
      <c r="DA472" s="6"/>
      <c r="DE472" s="6"/>
      <c r="DF472" s="6"/>
      <c r="DK472" s="6"/>
      <c r="DV472" s="6"/>
      <c r="DW472" s="6"/>
      <c r="EB472" s="6"/>
      <c r="EF472" s="6"/>
      <c r="EG472" s="6"/>
      <c r="EL472" s="6"/>
      <c r="EW472" s="6"/>
      <c r="EX472" s="6"/>
      <c r="FC472" s="6"/>
      <c r="FG472" s="6"/>
      <c r="FH472" s="6"/>
      <c r="FM472" s="6"/>
      <c r="FX472" s="6"/>
      <c r="FY472" s="6"/>
      <c r="GD472" s="6"/>
      <c r="GH472" s="6"/>
      <c r="GI472" s="6"/>
      <c r="GN472" s="6"/>
      <c r="GY472" s="6"/>
      <c r="GZ472" s="6"/>
      <c r="HE472" s="6"/>
      <c r="HI472" s="6"/>
      <c r="HJ472" s="6"/>
      <c r="HO472" s="6"/>
      <c r="HZ472" s="6"/>
      <c r="IA472" s="6"/>
      <c r="IF472" s="6"/>
      <c r="IJ472" s="6"/>
      <c r="IK472" s="6"/>
      <c r="IP472" s="6"/>
      <c r="JA472" s="6"/>
      <c r="JB472" s="6"/>
      <c r="JG472" s="6"/>
      <c r="JK472" s="6"/>
      <c r="JL472" s="6"/>
      <c r="JQ472" s="6"/>
      <c r="KB472" s="6"/>
      <c r="KC472" s="6"/>
      <c r="KH472" s="6"/>
      <c r="KL472" s="6"/>
      <c r="KM472" s="6"/>
      <c r="KR472" s="6"/>
      <c r="LC472" s="6"/>
      <c r="LD472" s="6"/>
      <c r="LI472" s="6"/>
      <c r="LM472" s="6"/>
      <c r="LN472" s="6"/>
      <c r="LS472" s="6"/>
      <c r="MD472" s="6"/>
      <c r="ME472" s="6"/>
      <c r="MJ472" s="6"/>
      <c r="MN472" s="6"/>
      <c r="MO472" s="6"/>
      <c r="MT472" s="6"/>
      <c r="NE472" s="6"/>
      <c r="NF472" s="6"/>
      <c r="NK472" s="6"/>
      <c r="NO472" s="6"/>
      <c r="NP472" s="6"/>
      <c r="NU472" s="6"/>
      <c r="OF472" s="6"/>
      <c r="OG472" s="6"/>
      <c r="OL472" s="6"/>
      <c r="OP472" s="6"/>
      <c r="OQ472" s="6"/>
      <c r="OV472" s="6"/>
      <c r="PG472" s="6"/>
      <c r="PH472" s="6"/>
      <c r="PM472" s="6"/>
      <c r="PQ472" s="6"/>
      <c r="PR472" s="6"/>
      <c r="PW472" s="6"/>
      <c r="QB472" s="8"/>
      <c r="QC472" s="8"/>
      <c r="QD472" s="8"/>
      <c r="QH472" s="6"/>
      <c r="QI472" s="6"/>
      <c r="QN472" s="6"/>
      <c r="QR472" s="6"/>
      <c r="QS472" s="6"/>
      <c r="QX472" s="6"/>
      <c r="RI472" s="6"/>
      <c r="RJ472" s="6"/>
      <c r="RO472" s="6"/>
      <c r="RS472" s="6"/>
      <c r="RT472" s="6"/>
      <c r="RY472" s="6"/>
    </row>
    <row r="473" spans="12:520" x14ac:dyDescent="0.3">
      <c r="O473" s="5"/>
      <c r="R473" s="5"/>
      <c r="S473" s="6"/>
      <c r="T473" s="6"/>
      <c r="U473" s="7"/>
      <c r="W473" s="6"/>
      <c r="X473" s="5"/>
      <c r="Z473" s="5"/>
      <c r="AA473" s="6"/>
      <c r="AB473" s="7"/>
      <c r="AG473" s="5"/>
      <c r="AH473" s="6"/>
      <c r="AQ473" s="5"/>
      <c r="AR473" s="5"/>
      <c r="AS473" s="6"/>
      <c r="AT473" s="7"/>
      <c r="AW473" s="5"/>
      <c r="AY473" s="6"/>
      <c r="BC473" s="6"/>
      <c r="BD473" s="6"/>
      <c r="BI473" s="6"/>
      <c r="BT473" s="6"/>
      <c r="BU473" s="6"/>
      <c r="BZ473" s="6"/>
      <c r="CD473" s="6"/>
      <c r="CE473" s="6"/>
      <c r="CJ473" s="6"/>
      <c r="CU473" s="6"/>
      <c r="CV473" s="6"/>
      <c r="DA473" s="6"/>
      <c r="DE473" s="6"/>
      <c r="DF473" s="6"/>
      <c r="DK473" s="6"/>
      <c r="DV473" s="6"/>
      <c r="DW473" s="6"/>
      <c r="EB473" s="6"/>
      <c r="EF473" s="6"/>
      <c r="EG473" s="6"/>
      <c r="EL473" s="6"/>
      <c r="EW473" s="6"/>
      <c r="EX473" s="6"/>
      <c r="FC473" s="6"/>
      <c r="FG473" s="6"/>
      <c r="FH473" s="6"/>
      <c r="FM473" s="6"/>
      <c r="FR473" s="8"/>
      <c r="FS473" s="8"/>
      <c r="FT473" s="8"/>
      <c r="FX473" s="6"/>
      <c r="FY473" s="6"/>
      <c r="GD473" s="6"/>
      <c r="GH473" s="6"/>
      <c r="GI473" s="6"/>
      <c r="GN473" s="6"/>
      <c r="GY473" s="6"/>
      <c r="GZ473" s="6"/>
      <c r="HE473" s="6"/>
      <c r="HI473" s="6"/>
      <c r="HJ473" s="6"/>
      <c r="HO473" s="6"/>
      <c r="HZ473" s="6"/>
      <c r="IA473" s="6"/>
      <c r="IF473" s="6"/>
      <c r="IJ473" s="6"/>
      <c r="IK473" s="6"/>
      <c r="IP473" s="6"/>
      <c r="JA473" s="6"/>
      <c r="JB473" s="6"/>
      <c r="JG473" s="6"/>
      <c r="JK473" s="6"/>
      <c r="JL473" s="6"/>
      <c r="JQ473" s="6"/>
      <c r="KB473" s="6"/>
      <c r="KC473" s="6"/>
      <c r="KH473" s="6"/>
      <c r="KL473" s="6"/>
      <c r="KM473" s="6"/>
      <c r="KR473" s="6"/>
      <c r="LC473" s="6"/>
      <c r="LD473" s="6"/>
      <c r="LI473" s="6"/>
      <c r="LM473" s="6"/>
      <c r="LN473" s="6"/>
      <c r="LS473" s="6"/>
      <c r="MD473" s="6"/>
      <c r="ME473" s="6"/>
      <c r="MJ473" s="6"/>
      <c r="MN473" s="6"/>
      <c r="MO473" s="6"/>
      <c r="MT473" s="6"/>
      <c r="NE473" s="6"/>
      <c r="NF473" s="6"/>
      <c r="NK473" s="6"/>
      <c r="NO473" s="6"/>
      <c r="NP473" s="6"/>
      <c r="NU473" s="6"/>
      <c r="OF473" s="6"/>
      <c r="OG473" s="6"/>
      <c r="OL473" s="6"/>
      <c r="OP473" s="6"/>
      <c r="OQ473" s="6"/>
      <c r="OV473" s="6"/>
      <c r="PG473" s="6"/>
      <c r="PH473" s="6"/>
      <c r="PM473" s="6"/>
      <c r="PQ473" s="6"/>
      <c r="PR473" s="6"/>
      <c r="PW473" s="6"/>
      <c r="RI473" s="6"/>
      <c r="RJ473" s="6"/>
      <c r="RO473" s="6"/>
      <c r="RS473" s="6"/>
      <c r="RT473" s="6"/>
      <c r="RY473" s="6"/>
    </row>
    <row r="474" spans="12:520" x14ac:dyDescent="0.3">
      <c r="R474" s="5"/>
      <c r="S474" s="6"/>
      <c r="T474" s="6"/>
      <c r="U474" s="7"/>
      <c r="W474" s="6"/>
      <c r="Z474" s="5"/>
      <c r="AA474" s="6"/>
      <c r="AB474" s="7"/>
      <c r="AG474" s="5"/>
      <c r="AH474" s="6"/>
      <c r="AQ474" s="5"/>
      <c r="AR474" s="5"/>
      <c r="AS474" s="6"/>
      <c r="AT474" s="7"/>
      <c r="AW474" s="5"/>
      <c r="AY474" s="6"/>
      <c r="BC474" s="6"/>
      <c r="BD474" s="6"/>
      <c r="BI474" s="6"/>
      <c r="BT474" s="6"/>
      <c r="BU474" s="6"/>
      <c r="BZ474" s="6"/>
      <c r="CD474" s="6"/>
      <c r="CE474" s="6"/>
      <c r="CJ474" s="6"/>
      <c r="CU474" s="6"/>
      <c r="CV474" s="6"/>
      <c r="DA474" s="6"/>
      <c r="DE474" s="6"/>
      <c r="DF474" s="6"/>
      <c r="DK474" s="6"/>
      <c r="DV474" s="6"/>
      <c r="DW474" s="6"/>
      <c r="EB474" s="6"/>
      <c r="EF474" s="6"/>
      <c r="EG474" s="6"/>
      <c r="EL474" s="6"/>
      <c r="EW474" s="6"/>
      <c r="EX474" s="6"/>
      <c r="FC474" s="6"/>
      <c r="FG474" s="6"/>
      <c r="FH474" s="6"/>
      <c r="FM474" s="6"/>
      <c r="GY474" s="6"/>
      <c r="GZ474" s="6"/>
      <c r="HE474" s="6"/>
      <c r="HI474" s="6"/>
      <c r="HJ474" s="6"/>
      <c r="HO474" s="6"/>
      <c r="HZ474" s="6"/>
      <c r="IA474" s="6"/>
      <c r="IF474" s="6"/>
      <c r="IJ474" s="6"/>
      <c r="IK474" s="6"/>
      <c r="IP474" s="6"/>
      <c r="JA474" s="6"/>
      <c r="JB474" s="6"/>
      <c r="JG474" s="6"/>
      <c r="JK474" s="6"/>
      <c r="JL474" s="6"/>
      <c r="JQ474" s="6"/>
      <c r="KB474" s="6"/>
      <c r="KC474" s="6"/>
      <c r="KH474" s="6"/>
      <c r="KL474" s="6"/>
      <c r="KM474" s="6"/>
      <c r="KR474" s="6"/>
      <c r="LC474" s="6"/>
      <c r="LD474" s="6"/>
      <c r="LI474" s="6"/>
      <c r="LM474" s="6"/>
      <c r="LN474" s="6"/>
      <c r="LS474" s="6"/>
      <c r="MD474" s="6"/>
      <c r="ME474" s="6"/>
      <c r="MJ474" s="6"/>
      <c r="MN474" s="6"/>
      <c r="MO474" s="6"/>
      <c r="MT474" s="6"/>
      <c r="NE474" s="6"/>
      <c r="NF474" s="6"/>
      <c r="NK474" s="6"/>
      <c r="NO474" s="6"/>
      <c r="NP474" s="6"/>
      <c r="NU474" s="6"/>
      <c r="OF474" s="6"/>
      <c r="OG474" s="6"/>
      <c r="OL474" s="6"/>
      <c r="OP474" s="6"/>
      <c r="OQ474" s="6"/>
      <c r="OV474" s="6"/>
      <c r="PG474" s="6"/>
      <c r="PH474" s="6"/>
      <c r="PM474" s="6"/>
      <c r="PQ474" s="6"/>
      <c r="PR474" s="6"/>
      <c r="PW474" s="6"/>
      <c r="RI474" s="6"/>
      <c r="RJ474" s="6"/>
      <c r="RO474" s="6"/>
      <c r="RS474" s="6"/>
      <c r="RT474" s="6"/>
      <c r="RY474" s="6"/>
    </row>
    <row r="475" spans="12:520" x14ac:dyDescent="0.3">
      <c r="O475" s="5"/>
      <c r="R475" s="5"/>
      <c r="S475" s="6"/>
      <c r="T475" s="6"/>
      <c r="U475" s="7"/>
      <c r="W475" s="6"/>
      <c r="X475" s="5"/>
      <c r="Z475" s="5"/>
      <c r="AA475" s="6"/>
      <c r="AB475" s="7"/>
      <c r="AG475" s="5"/>
      <c r="AH475" s="6"/>
      <c r="AQ475" s="5"/>
      <c r="AR475" s="5"/>
      <c r="AS475" s="6"/>
      <c r="AT475" s="7"/>
      <c r="AW475" s="5"/>
      <c r="AY475" s="6"/>
      <c r="BC475" s="6"/>
      <c r="BD475" s="6"/>
      <c r="BI475" s="6"/>
      <c r="BT475" s="6"/>
      <c r="BU475" s="6"/>
      <c r="BZ475" s="6"/>
      <c r="CD475" s="6"/>
      <c r="CE475" s="6"/>
      <c r="CJ475" s="6"/>
      <c r="CU475" s="6"/>
      <c r="CV475" s="6"/>
      <c r="DA475" s="6"/>
      <c r="DE475" s="6"/>
      <c r="DF475" s="6"/>
      <c r="DK475" s="6"/>
      <c r="DV475" s="6"/>
      <c r="DW475" s="6"/>
      <c r="EB475" s="6"/>
      <c r="EF475" s="6"/>
      <c r="EG475" s="6"/>
      <c r="EL475" s="6"/>
      <c r="EW475" s="6"/>
      <c r="EX475" s="6"/>
      <c r="FC475" s="6"/>
      <c r="FG475" s="6"/>
      <c r="FH475" s="6"/>
      <c r="FM475" s="6"/>
      <c r="GY475" s="6"/>
      <c r="GZ475" s="6"/>
      <c r="HE475" s="6"/>
      <c r="HI475" s="6"/>
      <c r="HJ475" s="6"/>
      <c r="HO475" s="6"/>
      <c r="HZ475" s="6"/>
      <c r="IA475" s="6"/>
      <c r="IF475" s="6"/>
      <c r="IJ475" s="6"/>
      <c r="IK475" s="6"/>
      <c r="IP475" s="6"/>
      <c r="JA475" s="6"/>
      <c r="JB475" s="6"/>
      <c r="JG475" s="6"/>
      <c r="JK475" s="6"/>
      <c r="JL475" s="6"/>
      <c r="JQ475" s="6"/>
      <c r="KB475" s="6"/>
      <c r="KC475" s="6"/>
      <c r="KH475" s="6"/>
      <c r="KL475" s="6"/>
      <c r="KM475" s="6"/>
      <c r="KR475" s="6"/>
      <c r="LC475" s="6"/>
      <c r="LD475" s="6"/>
      <c r="LI475" s="6"/>
      <c r="LM475" s="6"/>
      <c r="LN475" s="6"/>
      <c r="LS475" s="6"/>
      <c r="LX475" s="8"/>
      <c r="LY475" s="8"/>
      <c r="LZ475" s="8"/>
      <c r="MD475" s="6"/>
      <c r="ME475" s="6"/>
      <c r="MJ475" s="6"/>
      <c r="MN475" s="6"/>
      <c r="MO475" s="6"/>
      <c r="MT475" s="6"/>
      <c r="NE475" s="6"/>
      <c r="NF475" s="6"/>
      <c r="NK475" s="6"/>
      <c r="NO475" s="6"/>
      <c r="NP475" s="6"/>
      <c r="NU475" s="6"/>
      <c r="OF475" s="6"/>
      <c r="OG475" s="6"/>
      <c r="OL475" s="6"/>
      <c r="OP475" s="6"/>
      <c r="OQ475" s="6"/>
      <c r="OV475" s="6"/>
      <c r="PG475" s="6"/>
      <c r="PH475" s="6"/>
      <c r="PM475" s="6"/>
      <c r="PQ475" s="6"/>
      <c r="PR475" s="6"/>
      <c r="PW475" s="6"/>
      <c r="RI475" s="6"/>
      <c r="RJ475" s="6"/>
      <c r="RO475" s="6"/>
      <c r="RS475" s="6"/>
      <c r="RT475" s="6"/>
      <c r="RY475" s="6"/>
    </row>
    <row r="476" spans="12:520" x14ac:dyDescent="0.3">
      <c r="O476" s="5"/>
      <c r="R476" s="5"/>
      <c r="S476" s="6"/>
      <c r="T476" s="6"/>
      <c r="U476" s="7"/>
      <c r="W476" s="6"/>
      <c r="X476" s="5"/>
      <c r="Z476" s="5"/>
      <c r="AA476" s="6"/>
      <c r="AB476" s="7"/>
      <c r="AG476" s="5"/>
      <c r="AH476" s="6"/>
      <c r="AQ476" s="5"/>
      <c r="AR476" s="5"/>
      <c r="AS476" s="6"/>
      <c r="AT476" s="7"/>
      <c r="AW476" s="5"/>
      <c r="AY476" s="6"/>
      <c r="BC476" s="6"/>
      <c r="BD476" s="6"/>
      <c r="BI476" s="6"/>
      <c r="BT476" s="6"/>
      <c r="BU476" s="6"/>
      <c r="BZ476" s="6"/>
      <c r="CD476" s="6"/>
      <c r="CE476" s="6"/>
      <c r="CJ476" s="6"/>
      <c r="CU476" s="6"/>
      <c r="CV476" s="6"/>
      <c r="DA476" s="6"/>
      <c r="DE476" s="6"/>
      <c r="DF476" s="6"/>
      <c r="DK476" s="6"/>
      <c r="DV476" s="6"/>
      <c r="DW476" s="6"/>
      <c r="EB476" s="6"/>
      <c r="EF476" s="6"/>
      <c r="EG476" s="6"/>
      <c r="EL476" s="6"/>
      <c r="EW476" s="6"/>
      <c r="EX476" s="6"/>
      <c r="FC476" s="6"/>
      <c r="FG476" s="6"/>
      <c r="FH476" s="6"/>
      <c r="FM476" s="6"/>
      <c r="GY476" s="6"/>
      <c r="GZ476" s="6"/>
      <c r="HE476" s="6"/>
      <c r="HI476" s="6"/>
      <c r="HJ476" s="6"/>
      <c r="HO476" s="6"/>
      <c r="HZ476" s="6"/>
      <c r="IA476" s="6"/>
      <c r="IF476" s="6"/>
      <c r="IJ476" s="6"/>
      <c r="IK476" s="6"/>
      <c r="IP476" s="6"/>
      <c r="JA476" s="6"/>
      <c r="JB476" s="6"/>
      <c r="JG476" s="6"/>
      <c r="JK476" s="6"/>
      <c r="JL476" s="6"/>
      <c r="JQ476" s="6"/>
      <c r="KB476" s="6"/>
      <c r="KC476" s="6"/>
      <c r="KH476" s="6"/>
      <c r="KL476" s="6"/>
      <c r="KM476" s="6"/>
      <c r="KR476" s="6"/>
      <c r="LC476" s="6"/>
      <c r="LD476" s="6"/>
      <c r="LI476" s="6"/>
      <c r="LM476" s="6"/>
      <c r="LN476" s="6"/>
      <c r="LS476" s="6"/>
      <c r="NE476" s="6"/>
      <c r="NF476" s="6"/>
      <c r="NK476" s="6"/>
      <c r="NO476" s="6"/>
      <c r="NP476" s="6"/>
      <c r="NU476" s="6"/>
      <c r="OF476" s="6"/>
      <c r="OG476" s="6"/>
      <c r="OL476" s="6"/>
      <c r="OP476" s="6"/>
      <c r="OQ476" s="6"/>
      <c r="OV476" s="6"/>
      <c r="PG476" s="6"/>
      <c r="PH476" s="6"/>
      <c r="PM476" s="6"/>
      <c r="PQ476" s="6"/>
      <c r="PR476" s="6"/>
      <c r="PW476" s="6"/>
      <c r="RI476" s="6"/>
      <c r="RJ476" s="6"/>
      <c r="RO476" s="6"/>
      <c r="RS476" s="6"/>
      <c r="RT476" s="6"/>
      <c r="RY476" s="6"/>
    </row>
    <row r="477" spans="12:520" x14ac:dyDescent="0.3">
      <c r="O477" s="5"/>
      <c r="R477" s="5"/>
      <c r="S477" s="6"/>
      <c r="T477" s="6"/>
      <c r="U477" s="7"/>
      <c r="W477" s="6"/>
      <c r="X477" s="5"/>
      <c r="Z477" s="5"/>
      <c r="AA477" s="6"/>
      <c r="AB477" s="7"/>
      <c r="AG477" s="5"/>
      <c r="AH477" s="6"/>
      <c r="AQ477" s="5"/>
      <c r="AR477" s="5"/>
      <c r="AS477" s="6"/>
      <c r="AT477" s="7"/>
      <c r="AW477" s="5"/>
      <c r="AY477" s="6"/>
      <c r="BC477" s="6"/>
      <c r="BD477" s="6"/>
      <c r="BI477" s="6"/>
      <c r="BT477" s="6"/>
      <c r="BU477" s="6"/>
      <c r="BZ477" s="6"/>
      <c r="CD477" s="6"/>
      <c r="CE477" s="6"/>
      <c r="CJ477" s="6"/>
      <c r="CO477" s="8"/>
      <c r="CP477" s="8"/>
      <c r="CQ477" s="8"/>
      <c r="CU477" s="6"/>
      <c r="CV477" s="6"/>
      <c r="DA477" s="6"/>
      <c r="DE477" s="6"/>
      <c r="DF477" s="6"/>
      <c r="DK477" s="6"/>
      <c r="DV477" s="6"/>
      <c r="DW477" s="6"/>
      <c r="EB477" s="6"/>
      <c r="EF477" s="6"/>
      <c r="EG477" s="6"/>
      <c r="EL477" s="6"/>
      <c r="EW477" s="6"/>
      <c r="EX477" s="6"/>
      <c r="FC477" s="6"/>
      <c r="FG477" s="6"/>
      <c r="FH477" s="6"/>
      <c r="FM477" s="6"/>
      <c r="GY477" s="6"/>
      <c r="GZ477" s="6"/>
      <c r="HE477" s="6"/>
      <c r="HI477" s="6"/>
      <c r="HJ477" s="6"/>
      <c r="HO477" s="6"/>
      <c r="HZ477" s="6"/>
      <c r="IA477" s="6"/>
      <c r="IF477" s="6"/>
      <c r="IJ477" s="6"/>
      <c r="IK477" s="6"/>
      <c r="IP477" s="6"/>
      <c r="JA477" s="6"/>
      <c r="JB477" s="6"/>
      <c r="JG477" s="6"/>
      <c r="JK477" s="6"/>
      <c r="JL477" s="6"/>
      <c r="JQ477" s="6"/>
      <c r="KB477" s="6"/>
      <c r="KC477" s="6"/>
      <c r="KH477" s="6"/>
      <c r="KL477" s="6"/>
      <c r="KM477" s="6"/>
      <c r="KR477" s="6"/>
      <c r="LC477" s="6"/>
      <c r="LD477" s="6"/>
      <c r="LI477" s="6"/>
      <c r="LM477" s="6"/>
      <c r="LN477" s="6"/>
      <c r="LS477" s="6"/>
      <c r="NE477" s="6"/>
      <c r="NF477" s="6"/>
      <c r="NK477" s="6"/>
      <c r="NO477" s="6"/>
      <c r="NP477" s="6"/>
      <c r="NU477" s="6"/>
      <c r="OF477" s="6"/>
      <c r="OG477" s="6"/>
      <c r="OL477" s="6"/>
      <c r="OP477" s="6"/>
      <c r="OQ477" s="6"/>
      <c r="OV477" s="6"/>
      <c r="PG477" s="6"/>
      <c r="PH477" s="6"/>
      <c r="PM477" s="6"/>
      <c r="PQ477" s="6"/>
      <c r="PR477" s="6"/>
      <c r="PW477" s="6"/>
      <c r="RI477" s="6"/>
      <c r="RJ477" s="6"/>
      <c r="RO477" s="6"/>
      <c r="RS477" s="6"/>
      <c r="RT477" s="6"/>
      <c r="RY477" s="6"/>
    </row>
    <row r="478" spans="12:520" x14ac:dyDescent="0.3">
      <c r="O478" s="5"/>
      <c r="R478" s="5"/>
      <c r="S478" s="6"/>
      <c r="T478" s="6"/>
      <c r="U478" s="7"/>
      <c r="W478" s="6"/>
      <c r="X478" s="5"/>
      <c r="Z478" s="5"/>
      <c r="AA478" s="6"/>
      <c r="AB478" s="7"/>
      <c r="AG478" s="5"/>
      <c r="AH478" s="6"/>
      <c r="AQ478" s="5"/>
      <c r="AR478" s="5"/>
      <c r="AS478" s="6"/>
      <c r="AT478" s="7"/>
      <c r="AW478" s="5"/>
      <c r="AY478" s="6"/>
      <c r="BC478" s="6"/>
      <c r="BD478" s="6"/>
      <c r="BI478" s="6"/>
      <c r="BT478" s="6"/>
      <c r="BU478" s="6"/>
      <c r="BZ478" s="6"/>
      <c r="CD478" s="6"/>
      <c r="CE478" s="6"/>
      <c r="CJ478" s="6"/>
      <c r="DV478" s="6"/>
      <c r="DW478" s="6"/>
      <c r="EB478" s="6"/>
      <c r="EF478" s="6"/>
      <c r="EG478" s="6"/>
      <c r="EL478" s="6"/>
      <c r="EW478" s="6"/>
      <c r="EX478" s="6"/>
      <c r="FC478" s="6"/>
      <c r="FG478" s="6"/>
      <c r="FH478" s="6"/>
      <c r="FM478" s="6"/>
      <c r="GY478" s="6"/>
      <c r="GZ478" s="6"/>
      <c r="HE478" s="6"/>
      <c r="HI478" s="6"/>
      <c r="HJ478" s="6"/>
      <c r="HO478" s="6"/>
      <c r="HZ478" s="6"/>
      <c r="IA478" s="6"/>
      <c r="IF478" s="6"/>
      <c r="IJ478" s="6"/>
      <c r="IK478" s="6"/>
      <c r="IP478" s="6"/>
      <c r="JA478" s="6"/>
      <c r="JB478" s="6"/>
      <c r="JG478" s="6"/>
      <c r="JK478" s="6"/>
      <c r="JL478" s="6"/>
      <c r="JQ478" s="6"/>
      <c r="KB478" s="6"/>
      <c r="KC478" s="6"/>
      <c r="KH478" s="6"/>
      <c r="KL478" s="6"/>
      <c r="KM478" s="6"/>
      <c r="KR478" s="6"/>
      <c r="LC478" s="6"/>
      <c r="LD478" s="6"/>
      <c r="LI478" s="6"/>
      <c r="LM478" s="6"/>
      <c r="LN478" s="6"/>
      <c r="LS478" s="6"/>
      <c r="NE478" s="6"/>
      <c r="NF478" s="6"/>
      <c r="NK478" s="6"/>
      <c r="NO478" s="6"/>
      <c r="NP478" s="6"/>
      <c r="NU478" s="6"/>
      <c r="OF478" s="6"/>
      <c r="OG478" s="6"/>
      <c r="OL478" s="6"/>
      <c r="OP478" s="6"/>
      <c r="OQ478" s="6"/>
      <c r="OV478" s="6"/>
      <c r="PG478" s="6"/>
      <c r="PH478" s="6"/>
      <c r="PM478" s="6"/>
      <c r="PQ478" s="6"/>
      <c r="PR478" s="6"/>
      <c r="PW478" s="6"/>
      <c r="RI478" s="6"/>
      <c r="RJ478" s="6"/>
      <c r="RO478" s="6"/>
      <c r="RS478" s="6"/>
      <c r="RT478" s="6"/>
      <c r="RY478" s="6"/>
    </row>
    <row r="479" spans="12:520" x14ac:dyDescent="0.3">
      <c r="L479" s="8"/>
      <c r="M479" s="8"/>
      <c r="N479" s="8"/>
      <c r="O479" s="5"/>
      <c r="R479" s="5"/>
      <c r="S479" s="6"/>
      <c r="T479" s="6"/>
      <c r="U479" s="7"/>
      <c r="W479" s="6"/>
      <c r="X479" s="5"/>
      <c r="Z479" s="5"/>
      <c r="AA479" s="6"/>
      <c r="AB479" s="7"/>
      <c r="AG479" s="5"/>
      <c r="AH479" s="6"/>
      <c r="AQ479" s="5"/>
      <c r="AR479" s="5"/>
      <c r="AS479" s="6"/>
      <c r="AT479" s="7"/>
      <c r="AW479" s="5"/>
      <c r="AY479" s="6"/>
      <c r="BC479" s="6"/>
      <c r="BD479" s="6"/>
      <c r="BI479" s="6"/>
      <c r="BN479" s="8"/>
      <c r="BO479" s="8"/>
      <c r="BP479" s="8"/>
      <c r="BT479" s="6"/>
      <c r="BU479" s="6"/>
      <c r="BZ479" s="6"/>
      <c r="CD479" s="6"/>
      <c r="CE479" s="6"/>
      <c r="CJ479" s="6"/>
      <c r="DP479" s="8"/>
      <c r="DQ479" s="8"/>
      <c r="DR479" s="8"/>
      <c r="DV479" s="6"/>
      <c r="DW479" s="6"/>
      <c r="EB479" s="6"/>
      <c r="EF479" s="6"/>
      <c r="EG479" s="6"/>
      <c r="EL479" s="6"/>
      <c r="EQ479" s="8"/>
      <c r="ER479" s="8"/>
      <c r="ES479" s="8"/>
      <c r="EW479" s="6"/>
      <c r="EX479" s="6"/>
      <c r="FC479" s="6"/>
      <c r="FG479" s="6"/>
      <c r="FH479" s="6"/>
      <c r="FM479" s="6"/>
      <c r="GS479" s="8"/>
      <c r="GT479" s="8"/>
      <c r="GU479" s="8"/>
      <c r="GY479" s="6"/>
      <c r="GZ479" s="6"/>
      <c r="HE479" s="6"/>
      <c r="HI479" s="6"/>
      <c r="HJ479" s="6"/>
      <c r="HO479" s="6"/>
      <c r="HT479" s="8"/>
      <c r="HU479" s="8"/>
      <c r="HV479" s="8"/>
      <c r="HZ479" s="6"/>
      <c r="IA479" s="6"/>
      <c r="IF479" s="6"/>
      <c r="IJ479" s="6"/>
      <c r="IK479" s="6"/>
      <c r="IP479" s="6"/>
      <c r="IU479" s="8"/>
      <c r="IV479" s="8"/>
      <c r="IW479" s="8"/>
      <c r="JA479" s="6"/>
      <c r="JB479" s="6"/>
      <c r="JG479" s="6"/>
      <c r="JK479" s="6"/>
      <c r="JL479" s="6"/>
      <c r="JQ479" s="6"/>
      <c r="JV479" s="8"/>
      <c r="JW479" s="8"/>
      <c r="JX479" s="8"/>
      <c r="KB479" s="6"/>
      <c r="KC479" s="6"/>
      <c r="KH479" s="6"/>
      <c r="KL479" s="6"/>
      <c r="KM479" s="6"/>
      <c r="KR479" s="6"/>
      <c r="KW479" s="8"/>
      <c r="KX479" s="8"/>
      <c r="KY479" s="8"/>
      <c r="LC479" s="6"/>
      <c r="LD479" s="6"/>
      <c r="LI479" s="6"/>
      <c r="LM479" s="6"/>
      <c r="LN479" s="6"/>
      <c r="LS479" s="6"/>
      <c r="MY479" s="8"/>
      <c r="MZ479" s="8"/>
      <c r="NA479" s="8"/>
      <c r="NE479" s="6"/>
      <c r="NF479" s="6"/>
      <c r="NK479" s="6"/>
      <c r="NO479" s="6"/>
      <c r="NP479" s="6"/>
      <c r="NU479" s="6"/>
      <c r="NZ479" s="8"/>
      <c r="OA479" s="8"/>
      <c r="OB479" s="8"/>
      <c r="OF479" s="6"/>
      <c r="OG479" s="6"/>
      <c r="OL479" s="6"/>
      <c r="OP479" s="6"/>
      <c r="OQ479" s="6"/>
      <c r="OV479" s="6"/>
      <c r="PA479" s="8"/>
      <c r="PB479" s="8"/>
      <c r="PC479" s="8"/>
      <c r="PG479" s="6"/>
      <c r="PH479" s="6"/>
      <c r="PM479" s="6"/>
      <c r="PQ479" s="6"/>
      <c r="PR479" s="6"/>
      <c r="PW479" s="6"/>
      <c r="RC479" s="8"/>
      <c r="RD479" s="8"/>
      <c r="RE479" s="8"/>
      <c r="RI479" s="6"/>
      <c r="RJ479" s="6"/>
      <c r="RO479" s="6"/>
      <c r="RS479" s="6"/>
      <c r="RT479" s="6"/>
      <c r="RY479" s="6"/>
    </row>
    <row r="480" spans="12:520" x14ac:dyDescent="0.3">
      <c r="AQ480" s="5"/>
      <c r="AR480" s="5"/>
      <c r="AS480" s="6"/>
    </row>
    <row r="481" spans="39:45" x14ac:dyDescent="0.3">
      <c r="AQ481" s="5"/>
      <c r="AR481" s="5"/>
      <c r="AS481" s="6"/>
    </row>
    <row r="482" spans="39:45" x14ac:dyDescent="0.3">
      <c r="AQ482" s="5"/>
      <c r="AR482" s="5"/>
      <c r="AS482" s="6"/>
    </row>
    <row r="483" spans="39:45" x14ac:dyDescent="0.3">
      <c r="AM483" s="8"/>
      <c r="AN483" s="8"/>
      <c r="AO483" s="8"/>
      <c r="AQ483" s="5"/>
      <c r="AR483" s="5"/>
      <c r="AS483" s="6"/>
    </row>
    <row r="500" spans="12:520" x14ac:dyDescent="0.3">
      <c r="R500" s="6"/>
      <c r="S500" s="7"/>
      <c r="T500" s="7"/>
      <c r="Z500" s="6"/>
      <c r="AA500" s="7"/>
      <c r="AG500" s="6"/>
      <c r="AX500" s="6"/>
      <c r="BB500" s="6"/>
      <c r="BC500" s="7"/>
      <c r="BH500" s="6"/>
      <c r="BS500" s="6"/>
      <c r="BT500" s="7"/>
      <c r="BY500" s="6"/>
      <c r="CC500" s="6"/>
      <c r="CD500" s="7"/>
      <c r="CI500" s="6"/>
      <c r="CT500" s="6"/>
      <c r="CU500" s="7"/>
      <c r="CZ500" s="6"/>
      <c r="DD500" s="6"/>
      <c r="DE500" s="7"/>
      <c r="DJ500" s="6"/>
      <c r="DU500" s="6"/>
      <c r="DV500" s="7"/>
      <c r="EA500" s="6"/>
      <c r="EE500" s="6"/>
      <c r="EF500" s="7"/>
      <c r="EK500" s="6"/>
      <c r="EV500" s="6"/>
      <c r="EW500" s="7"/>
      <c r="FB500" s="6"/>
      <c r="FF500" s="6"/>
      <c r="FG500" s="7"/>
      <c r="FL500" s="6"/>
      <c r="FW500" s="6"/>
      <c r="FX500" s="7"/>
      <c r="GC500" s="6"/>
      <c r="GG500" s="6"/>
      <c r="GH500" s="7"/>
      <c r="GM500" s="6"/>
      <c r="GX500" s="6"/>
      <c r="GY500" s="7"/>
      <c r="HD500" s="6"/>
      <c r="HH500" s="6"/>
      <c r="HI500" s="7"/>
      <c r="HN500" s="6"/>
      <c r="HY500" s="6"/>
      <c r="HZ500" s="7"/>
      <c r="IE500" s="6"/>
      <c r="II500" s="6"/>
      <c r="IJ500" s="7"/>
      <c r="IO500" s="6"/>
      <c r="IZ500" s="6"/>
      <c r="JA500" s="7"/>
      <c r="JF500" s="6"/>
      <c r="JJ500" s="6"/>
      <c r="JK500" s="7"/>
      <c r="JP500" s="6"/>
      <c r="KA500" s="6"/>
      <c r="KB500" s="7"/>
      <c r="KG500" s="6"/>
      <c r="KK500" s="6"/>
      <c r="KL500" s="7"/>
      <c r="KQ500" s="6"/>
      <c r="LB500" s="6"/>
      <c r="LC500" s="7"/>
      <c r="LH500" s="6"/>
      <c r="LL500" s="6"/>
      <c r="LM500" s="7"/>
      <c r="LR500" s="6"/>
      <c r="MC500" s="6"/>
      <c r="MD500" s="7"/>
      <c r="MI500" s="6"/>
      <c r="MM500" s="6"/>
      <c r="MN500" s="7"/>
      <c r="MS500" s="6"/>
      <c r="ND500" s="6"/>
      <c r="NE500" s="7"/>
      <c r="NJ500" s="6"/>
      <c r="NN500" s="6"/>
      <c r="NO500" s="7"/>
      <c r="NT500" s="6"/>
      <c r="OE500" s="6"/>
      <c r="OF500" s="7"/>
      <c r="OK500" s="6"/>
      <c r="OO500" s="6"/>
      <c r="OP500" s="7"/>
      <c r="OU500" s="6"/>
      <c r="PF500" s="6"/>
      <c r="PG500" s="7"/>
      <c r="PL500" s="6"/>
      <c r="PP500" s="6"/>
      <c r="PQ500" s="7"/>
      <c r="PV500" s="6"/>
      <c r="QG500" s="6"/>
      <c r="QH500" s="7"/>
      <c r="QM500" s="6"/>
      <c r="QQ500" s="6"/>
      <c r="QR500" s="7"/>
      <c r="QW500" s="6"/>
      <c r="RH500" s="6"/>
      <c r="RI500" s="7"/>
      <c r="RN500" s="6"/>
      <c r="RR500" s="6"/>
      <c r="RS500" s="7"/>
      <c r="RX500" s="6"/>
      <c r="SI500" s="6"/>
      <c r="SJ500" s="7"/>
      <c r="SO500" s="6"/>
      <c r="SS500" s="6"/>
      <c r="ST500" s="7"/>
      <c r="SY500" s="6"/>
    </row>
    <row r="501" spans="12:520" x14ac:dyDescent="0.3">
      <c r="S501" s="6"/>
      <c r="T501" s="6"/>
      <c r="U501" s="6"/>
      <c r="W501" s="6"/>
      <c r="AA501" s="6"/>
      <c r="AB501" s="6"/>
      <c r="AH501" s="6"/>
      <c r="AT501" s="6"/>
      <c r="AY501" s="6"/>
      <c r="BC501" s="6"/>
      <c r="BD501" s="6"/>
      <c r="BI501" s="6"/>
      <c r="BT501" s="6"/>
      <c r="BU501" s="6"/>
      <c r="BZ501" s="6"/>
      <c r="CD501" s="6"/>
      <c r="CE501" s="6"/>
      <c r="CJ501" s="6"/>
      <c r="CU501" s="6"/>
      <c r="CV501" s="6"/>
      <c r="DA501" s="6"/>
      <c r="DE501" s="6"/>
      <c r="DF501" s="6"/>
      <c r="DK501" s="6"/>
      <c r="DV501" s="6"/>
      <c r="DW501" s="6"/>
      <c r="EB501" s="6"/>
      <c r="EF501" s="6"/>
      <c r="EG501" s="6"/>
      <c r="EL501" s="6"/>
      <c r="EW501" s="6"/>
      <c r="EX501" s="6"/>
      <c r="FC501" s="6"/>
      <c r="FG501" s="6"/>
      <c r="FH501" s="6"/>
      <c r="FM501" s="6"/>
      <c r="FX501" s="6"/>
      <c r="FY501" s="6"/>
      <c r="GD501" s="6"/>
      <c r="GH501" s="6"/>
      <c r="GI501" s="6"/>
      <c r="GN501" s="6"/>
      <c r="GY501" s="6"/>
      <c r="GZ501" s="6"/>
      <c r="HE501" s="6"/>
      <c r="HI501" s="6"/>
      <c r="HJ501" s="6"/>
      <c r="HO501" s="6"/>
      <c r="HZ501" s="6"/>
      <c r="IA501" s="6"/>
      <c r="IF501" s="6"/>
      <c r="IJ501" s="6"/>
      <c r="IK501" s="6"/>
      <c r="IP501" s="6"/>
      <c r="JA501" s="6"/>
      <c r="JB501" s="6"/>
      <c r="JG501" s="6"/>
      <c r="JK501" s="6"/>
      <c r="JL501" s="6"/>
      <c r="JQ501" s="6"/>
      <c r="KB501" s="6"/>
      <c r="KC501" s="6"/>
      <c r="KH501" s="6"/>
      <c r="KL501" s="6"/>
      <c r="KM501" s="6"/>
      <c r="KR501" s="6"/>
      <c r="LC501" s="6"/>
      <c r="LD501" s="6"/>
      <c r="LI501" s="6"/>
      <c r="LM501" s="6"/>
      <c r="LN501" s="6"/>
      <c r="LS501" s="6"/>
      <c r="MD501" s="6"/>
      <c r="ME501" s="6"/>
      <c r="MJ501" s="6"/>
      <c r="MN501" s="6"/>
      <c r="MO501" s="6"/>
      <c r="MT501" s="6"/>
      <c r="NE501" s="6"/>
      <c r="NF501" s="6"/>
      <c r="NK501" s="6"/>
      <c r="NO501" s="6"/>
      <c r="NP501" s="6"/>
      <c r="NU501" s="6"/>
      <c r="OF501" s="6"/>
      <c r="OG501" s="6"/>
      <c r="OL501" s="6"/>
      <c r="OP501" s="6"/>
      <c r="OQ501" s="6"/>
      <c r="OV501" s="6"/>
      <c r="PG501" s="6"/>
      <c r="PH501" s="6"/>
      <c r="PM501" s="6"/>
      <c r="PQ501" s="6"/>
      <c r="PR501" s="6"/>
      <c r="PW501" s="6"/>
      <c r="QH501" s="6"/>
      <c r="QI501" s="6"/>
      <c r="QN501" s="6"/>
      <c r="QR501" s="6"/>
      <c r="QS501" s="6"/>
      <c r="QX501" s="6"/>
      <c r="RI501" s="6"/>
      <c r="RJ501" s="6"/>
      <c r="RO501" s="6"/>
      <c r="RS501" s="6"/>
      <c r="RT501" s="6"/>
      <c r="RY501" s="6"/>
      <c r="SJ501" s="6"/>
      <c r="SK501" s="6"/>
      <c r="SP501" s="6"/>
      <c r="ST501" s="6"/>
      <c r="SU501" s="6"/>
      <c r="SZ501" s="6"/>
    </row>
    <row r="502" spans="12:520" x14ac:dyDescent="0.3">
      <c r="S502" s="6"/>
      <c r="T502" s="6"/>
      <c r="U502" s="6"/>
      <c r="W502" s="6"/>
      <c r="AA502" s="6"/>
      <c r="AB502" s="6"/>
      <c r="AH502" s="6"/>
      <c r="AT502" s="6"/>
      <c r="AY502" s="6"/>
      <c r="BC502" s="6"/>
      <c r="BD502" s="6"/>
      <c r="BI502" s="6"/>
      <c r="BT502" s="6"/>
      <c r="BU502" s="6"/>
      <c r="BZ502" s="6"/>
      <c r="CD502" s="6"/>
      <c r="CE502" s="6"/>
      <c r="CJ502" s="6"/>
      <c r="CU502" s="6"/>
      <c r="CV502" s="6"/>
      <c r="DA502" s="6"/>
      <c r="DE502" s="6"/>
      <c r="DF502" s="6"/>
      <c r="DK502" s="6"/>
      <c r="DV502" s="6"/>
      <c r="DW502" s="6"/>
      <c r="EB502" s="6"/>
      <c r="EF502" s="6"/>
      <c r="EG502" s="6"/>
      <c r="EL502" s="6"/>
      <c r="EW502" s="6"/>
      <c r="EX502" s="6"/>
      <c r="FC502" s="6"/>
      <c r="FG502" s="6"/>
      <c r="FH502" s="6"/>
      <c r="FM502" s="6"/>
      <c r="FX502" s="6"/>
      <c r="FY502" s="6"/>
      <c r="GD502" s="6"/>
      <c r="GH502" s="6"/>
      <c r="GI502" s="6"/>
      <c r="GN502" s="6"/>
      <c r="GY502" s="6"/>
      <c r="GZ502" s="6"/>
      <c r="HE502" s="6"/>
      <c r="HI502" s="6"/>
      <c r="HJ502" s="6"/>
      <c r="HO502" s="6"/>
      <c r="HZ502" s="6"/>
      <c r="IA502" s="6"/>
      <c r="IF502" s="6"/>
      <c r="IJ502" s="6"/>
      <c r="IK502" s="6"/>
      <c r="IP502" s="6"/>
      <c r="JA502" s="6"/>
      <c r="JB502" s="6"/>
      <c r="JG502" s="6"/>
      <c r="JK502" s="6"/>
      <c r="JL502" s="6"/>
      <c r="JQ502" s="6"/>
      <c r="KB502" s="6"/>
      <c r="KC502" s="6"/>
      <c r="KH502" s="6"/>
      <c r="KL502" s="6"/>
      <c r="KM502" s="6"/>
      <c r="KR502" s="6"/>
      <c r="LC502" s="6"/>
      <c r="LD502" s="6"/>
      <c r="LI502" s="6"/>
      <c r="LM502" s="6"/>
      <c r="LN502" s="6"/>
      <c r="LS502" s="6"/>
      <c r="MD502" s="6"/>
      <c r="ME502" s="6"/>
      <c r="MJ502" s="6"/>
      <c r="MN502" s="6"/>
      <c r="MO502" s="6"/>
      <c r="MT502" s="6"/>
      <c r="MY502" s="8"/>
      <c r="MZ502" s="8"/>
      <c r="NA502" s="8"/>
      <c r="NE502" s="6"/>
      <c r="NF502" s="6"/>
      <c r="NK502" s="6"/>
      <c r="NO502" s="6"/>
      <c r="NP502" s="6"/>
      <c r="NU502" s="6"/>
      <c r="OF502" s="6"/>
      <c r="OG502" s="6"/>
      <c r="OL502" s="6"/>
      <c r="OP502" s="6"/>
      <c r="OQ502" s="6"/>
      <c r="OV502" s="6"/>
      <c r="PG502" s="6"/>
      <c r="PH502" s="6"/>
      <c r="PM502" s="6"/>
      <c r="PQ502" s="6"/>
      <c r="PR502" s="6"/>
      <c r="PW502" s="6"/>
      <c r="QH502" s="6"/>
      <c r="QI502" s="6"/>
      <c r="QN502" s="6"/>
      <c r="QR502" s="6"/>
      <c r="QS502" s="6"/>
      <c r="QX502" s="6"/>
      <c r="RI502" s="6"/>
      <c r="RJ502" s="6"/>
      <c r="RO502" s="6"/>
      <c r="RS502" s="6"/>
      <c r="RT502" s="6"/>
      <c r="RY502" s="6"/>
      <c r="SJ502" s="6"/>
      <c r="SK502" s="6"/>
      <c r="SP502" s="6"/>
      <c r="ST502" s="6"/>
      <c r="SU502" s="6"/>
      <c r="SZ502" s="6"/>
    </row>
    <row r="503" spans="12:520" x14ac:dyDescent="0.3">
      <c r="S503" s="6"/>
      <c r="T503" s="6"/>
      <c r="U503" s="6"/>
      <c r="W503" s="6"/>
      <c r="AA503" s="6"/>
      <c r="AB503" s="6"/>
      <c r="AH503" s="6"/>
      <c r="AT503" s="6"/>
      <c r="AY503" s="6"/>
      <c r="BC503" s="6"/>
      <c r="BD503" s="6"/>
      <c r="BI503" s="6"/>
      <c r="BT503" s="6"/>
      <c r="BU503" s="6"/>
      <c r="BZ503" s="6"/>
      <c r="CD503" s="6"/>
      <c r="CE503" s="6"/>
      <c r="CJ503" s="6"/>
      <c r="CU503" s="6"/>
      <c r="CV503" s="6"/>
      <c r="DA503" s="6"/>
      <c r="DE503" s="6"/>
      <c r="DF503" s="6"/>
      <c r="DK503" s="6"/>
      <c r="DV503" s="6"/>
      <c r="DW503" s="6"/>
      <c r="EB503" s="6"/>
      <c r="EF503" s="6"/>
      <c r="EG503" s="6"/>
      <c r="EL503" s="6"/>
      <c r="EW503" s="6"/>
      <c r="EX503" s="6"/>
      <c r="FC503" s="6"/>
      <c r="FG503" s="6"/>
      <c r="FH503" s="6"/>
      <c r="FM503" s="6"/>
      <c r="FX503" s="6"/>
      <c r="FY503" s="6"/>
      <c r="GD503" s="6"/>
      <c r="GH503" s="6"/>
      <c r="GI503" s="6"/>
      <c r="GN503" s="6"/>
      <c r="GY503" s="6"/>
      <c r="GZ503" s="6"/>
      <c r="HE503" s="6"/>
      <c r="HI503" s="6"/>
      <c r="HJ503" s="6"/>
      <c r="HO503" s="6"/>
      <c r="HZ503" s="6"/>
      <c r="IA503" s="6"/>
      <c r="IF503" s="6"/>
      <c r="IJ503" s="6"/>
      <c r="IK503" s="6"/>
      <c r="IP503" s="6"/>
      <c r="JA503" s="6"/>
      <c r="JB503" s="6"/>
      <c r="JG503" s="6"/>
      <c r="JK503" s="6"/>
      <c r="JL503" s="6"/>
      <c r="JQ503" s="6"/>
      <c r="KB503" s="6"/>
      <c r="KC503" s="6"/>
      <c r="KH503" s="6"/>
      <c r="KL503" s="6"/>
      <c r="KM503" s="6"/>
      <c r="KR503" s="6"/>
      <c r="LC503" s="6"/>
      <c r="LD503" s="6"/>
      <c r="LI503" s="6"/>
      <c r="LM503" s="6"/>
      <c r="LN503" s="6"/>
      <c r="LS503" s="6"/>
      <c r="MD503" s="6"/>
      <c r="ME503" s="6"/>
      <c r="MJ503" s="6"/>
      <c r="MN503" s="6"/>
      <c r="MO503" s="6"/>
      <c r="MT503" s="6"/>
      <c r="OF503" s="6"/>
      <c r="OG503" s="6"/>
      <c r="OL503" s="6"/>
      <c r="OP503" s="6"/>
      <c r="OQ503" s="6"/>
      <c r="OV503" s="6"/>
      <c r="PG503" s="6"/>
      <c r="PH503" s="6"/>
      <c r="PM503" s="6"/>
      <c r="PQ503" s="6"/>
      <c r="PR503" s="6"/>
      <c r="PW503" s="6"/>
      <c r="QH503" s="6"/>
      <c r="QI503" s="6"/>
      <c r="QN503" s="6"/>
      <c r="QR503" s="6"/>
      <c r="QS503" s="6"/>
      <c r="QX503" s="6"/>
      <c r="RI503" s="6"/>
      <c r="RJ503" s="6"/>
      <c r="RO503" s="6"/>
      <c r="RS503" s="6"/>
      <c r="RT503" s="6"/>
      <c r="RY503" s="6"/>
      <c r="SJ503" s="6"/>
      <c r="SK503" s="6"/>
      <c r="SP503" s="6"/>
      <c r="ST503" s="6"/>
      <c r="SU503" s="6"/>
      <c r="SZ503" s="6"/>
    </row>
    <row r="504" spans="12:520" x14ac:dyDescent="0.3">
      <c r="S504" s="6"/>
      <c r="T504" s="6"/>
      <c r="U504" s="6"/>
      <c r="W504" s="6"/>
      <c r="AA504" s="6"/>
      <c r="AB504" s="6"/>
      <c r="AH504" s="6"/>
      <c r="AR504" s="6"/>
      <c r="AS504" s="7"/>
      <c r="AT504" s="6"/>
      <c r="AY504" s="6"/>
      <c r="BC504" s="6"/>
      <c r="BD504" s="6"/>
      <c r="BI504" s="6"/>
      <c r="BT504" s="6"/>
      <c r="BU504" s="6"/>
      <c r="BZ504" s="6"/>
      <c r="CD504" s="6"/>
      <c r="CE504" s="6"/>
      <c r="CJ504" s="6"/>
      <c r="CU504" s="6"/>
      <c r="CV504" s="6"/>
      <c r="DA504" s="6"/>
      <c r="DE504" s="6"/>
      <c r="DF504" s="6"/>
      <c r="DK504" s="6"/>
      <c r="DV504" s="6"/>
      <c r="DW504" s="6"/>
      <c r="EB504" s="6"/>
      <c r="EF504" s="6"/>
      <c r="EG504" s="6"/>
      <c r="EL504" s="6"/>
      <c r="EW504" s="6"/>
      <c r="EX504" s="6"/>
      <c r="FC504" s="6"/>
      <c r="FG504" s="6"/>
      <c r="FH504" s="6"/>
      <c r="FM504" s="6"/>
      <c r="FX504" s="6"/>
      <c r="FY504" s="6"/>
      <c r="GD504" s="6"/>
      <c r="GH504" s="6"/>
      <c r="GI504" s="6"/>
      <c r="GN504" s="6"/>
      <c r="GY504" s="6"/>
      <c r="GZ504" s="6"/>
      <c r="HE504" s="6"/>
      <c r="HI504" s="6"/>
      <c r="HJ504" s="6"/>
      <c r="HO504" s="6"/>
      <c r="HZ504" s="6"/>
      <c r="IA504" s="6"/>
      <c r="IF504" s="6"/>
      <c r="IJ504" s="6"/>
      <c r="IK504" s="6"/>
      <c r="IP504" s="6"/>
      <c r="IU504" s="8"/>
      <c r="IV504" s="8"/>
      <c r="IW504" s="8"/>
      <c r="JA504" s="6"/>
      <c r="JB504" s="6"/>
      <c r="JG504" s="6"/>
      <c r="JK504" s="6"/>
      <c r="JL504" s="6"/>
      <c r="JQ504" s="6"/>
      <c r="KB504" s="6"/>
      <c r="KC504" s="6"/>
      <c r="KH504" s="6"/>
      <c r="KL504" s="6"/>
      <c r="KM504" s="6"/>
      <c r="KR504" s="6"/>
      <c r="LC504" s="6"/>
      <c r="LD504" s="6"/>
      <c r="LI504" s="6"/>
      <c r="LM504" s="6"/>
      <c r="LN504" s="6"/>
      <c r="LS504" s="6"/>
      <c r="MD504" s="6"/>
      <c r="ME504" s="6"/>
      <c r="MJ504" s="6"/>
      <c r="MN504" s="6"/>
      <c r="MO504" s="6"/>
      <c r="MT504" s="6"/>
      <c r="OF504" s="6"/>
      <c r="OG504" s="6"/>
      <c r="OL504" s="6"/>
      <c r="OP504" s="6"/>
      <c r="OQ504" s="6"/>
      <c r="OV504" s="6"/>
      <c r="PG504" s="6"/>
      <c r="PH504" s="6"/>
      <c r="PM504" s="6"/>
      <c r="PQ504" s="6"/>
      <c r="PR504" s="6"/>
      <c r="PW504" s="6"/>
      <c r="QH504" s="6"/>
      <c r="QI504" s="6"/>
      <c r="QN504" s="6"/>
      <c r="QR504" s="6"/>
      <c r="QS504" s="6"/>
      <c r="QX504" s="6"/>
      <c r="RI504" s="6"/>
      <c r="RJ504" s="6"/>
      <c r="RO504" s="6"/>
      <c r="RS504" s="6"/>
      <c r="RT504" s="6"/>
      <c r="RY504" s="6"/>
      <c r="SJ504" s="6"/>
      <c r="SK504" s="6"/>
      <c r="SP504" s="6"/>
      <c r="ST504" s="6"/>
      <c r="SU504" s="6"/>
      <c r="SZ504" s="6"/>
    </row>
    <row r="505" spans="12:520" x14ac:dyDescent="0.3">
      <c r="S505" s="6"/>
      <c r="T505" s="6"/>
      <c r="U505" s="6"/>
      <c r="W505" s="6"/>
      <c r="AA505" s="6"/>
      <c r="AB505" s="6"/>
      <c r="AH505" s="6"/>
      <c r="AS505" s="6"/>
      <c r="AT505" s="6"/>
      <c r="AY505" s="6"/>
      <c r="BC505" s="6"/>
      <c r="BD505" s="6"/>
      <c r="BI505" s="6"/>
      <c r="BT505" s="6"/>
      <c r="BU505" s="6"/>
      <c r="BZ505" s="6"/>
      <c r="CD505" s="6"/>
      <c r="CE505" s="6"/>
      <c r="CJ505" s="6"/>
      <c r="CU505" s="6"/>
      <c r="CV505" s="6"/>
      <c r="DA505" s="6"/>
      <c r="DE505" s="6"/>
      <c r="DF505" s="6"/>
      <c r="DK505" s="6"/>
      <c r="DV505" s="6"/>
      <c r="DW505" s="6"/>
      <c r="EB505" s="6"/>
      <c r="EF505" s="6"/>
      <c r="EG505" s="6"/>
      <c r="EL505" s="6"/>
      <c r="EW505" s="6"/>
      <c r="EX505" s="6"/>
      <c r="FC505" s="6"/>
      <c r="FG505" s="6"/>
      <c r="FH505" s="6"/>
      <c r="FM505" s="6"/>
      <c r="FX505" s="6"/>
      <c r="FY505" s="6"/>
      <c r="GD505" s="6"/>
      <c r="GH505" s="6"/>
      <c r="GI505" s="6"/>
      <c r="GN505" s="6"/>
      <c r="GY505" s="6"/>
      <c r="GZ505" s="6"/>
      <c r="HE505" s="6"/>
      <c r="HI505" s="6"/>
      <c r="HJ505" s="6"/>
      <c r="HO505" s="6"/>
      <c r="HZ505" s="6"/>
      <c r="IA505" s="6"/>
      <c r="IF505" s="6"/>
      <c r="IJ505" s="6"/>
      <c r="IK505" s="6"/>
      <c r="IP505" s="6"/>
      <c r="KB505" s="6"/>
      <c r="KC505" s="6"/>
      <c r="KH505" s="6"/>
      <c r="KL505" s="6"/>
      <c r="KM505" s="6"/>
      <c r="KR505" s="6"/>
      <c r="LC505" s="6"/>
      <c r="LD505" s="6"/>
      <c r="LI505" s="6"/>
      <c r="LM505" s="6"/>
      <c r="LN505" s="6"/>
      <c r="LS505" s="6"/>
      <c r="MD505" s="6"/>
      <c r="ME505" s="6"/>
      <c r="MJ505" s="6"/>
      <c r="MN505" s="6"/>
      <c r="MO505" s="6"/>
      <c r="MT505" s="6"/>
      <c r="OF505" s="6"/>
      <c r="OG505" s="6"/>
      <c r="OL505" s="6"/>
      <c r="OP505" s="6"/>
      <c r="OQ505" s="6"/>
      <c r="OV505" s="6"/>
      <c r="PG505" s="6"/>
      <c r="PH505" s="6"/>
      <c r="PM505" s="6"/>
      <c r="PQ505" s="6"/>
      <c r="PR505" s="6"/>
      <c r="PW505" s="6"/>
      <c r="QH505" s="6"/>
      <c r="QI505" s="6"/>
      <c r="QN505" s="6"/>
      <c r="QR505" s="6"/>
      <c r="QS505" s="6"/>
      <c r="QX505" s="6"/>
      <c r="RI505" s="6"/>
      <c r="RJ505" s="6"/>
      <c r="RO505" s="6"/>
      <c r="RS505" s="6"/>
      <c r="RT505" s="6"/>
      <c r="RY505" s="6"/>
      <c r="SJ505" s="6"/>
      <c r="SK505" s="6"/>
      <c r="SP505" s="6"/>
      <c r="ST505" s="6"/>
      <c r="SU505" s="6"/>
      <c r="SZ505" s="6"/>
    </row>
    <row r="506" spans="12:520" x14ac:dyDescent="0.3">
      <c r="S506" s="6"/>
      <c r="T506" s="6"/>
      <c r="U506" s="6"/>
      <c r="W506" s="6"/>
      <c r="AA506" s="6"/>
      <c r="AB506" s="6"/>
      <c r="AH506" s="6"/>
      <c r="AS506" s="6"/>
      <c r="AT506" s="6"/>
      <c r="AY506" s="6"/>
      <c r="BC506" s="6"/>
      <c r="BD506" s="6"/>
      <c r="BI506" s="6"/>
      <c r="BT506" s="6"/>
      <c r="BU506" s="6"/>
      <c r="BZ506" s="6"/>
      <c r="CD506" s="6"/>
      <c r="CE506" s="6"/>
      <c r="CJ506" s="6"/>
      <c r="CU506" s="6"/>
      <c r="CV506" s="6"/>
      <c r="DA506" s="6"/>
      <c r="DE506" s="6"/>
      <c r="DF506" s="6"/>
      <c r="DK506" s="6"/>
      <c r="DV506" s="6"/>
      <c r="DW506" s="6"/>
      <c r="EB506" s="6"/>
      <c r="EF506" s="6"/>
      <c r="EG506" s="6"/>
      <c r="EL506" s="6"/>
      <c r="EW506" s="6"/>
      <c r="EX506" s="6"/>
      <c r="FC506" s="6"/>
      <c r="FG506" s="6"/>
      <c r="FH506" s="6"/>
      <c r="FM506" s="6"/>
      <c r="FX506" s="6"/>
      <c r="FY506" s="6"/>
      <c r="GD506" s="6"/>
      <c r="GH506" s="6"/>
      <c r="GI506" s="6"/>
      <c r="GN506" s="6"/>
      <c r="GY506" s="6"/>
      <c r="GZ506" s="6"/>
      <c r="HE506" s="6"/>
      <c r="HI506" s="6"/>
      <c r="HJ506" s="6"/>
      <c r="HO506" s="6"/>
      <c r="HZ506" s="6"/>
      <c r="IA506" s="6"/>
      <c r="IF506" s="6"/>
      <c r="IJ506" s="6"/>
      <c r="IK506" s="6"/>
      <c r="IP506" s="6"/>
      <c r="KB506" s="6"/>
      <c r="KC506" s="6"/>
      <c r="KH506" s="6"/>
      <c r="KL506" s="6"/>
      <c r="KM506" s="6"/>
      <c r="KR506" s="6"/>
      <c r="LC506" s="6"/>
      <c r="LD506" s="6"/>
      <c r="LI506" s="6"/>
      <c r="LM506" s="6"/>
      <c r="LN506" s="6"/>
      <c r="LS506" s="6"/>
      <c r="MD506" s="6"/>
      <c r="ME506" s="6"/>
      <c r="MJ506" s="6"/>
      <c r="MN506" s="6"/>
      <c r="MO506" s="6"/>
      <c r="MT506" s="6"/>
      <c r="NZ506" s="8"/>
      <c r="OA506" s="8"/>
      <c r="OB506" s="8"/>
      <c r="OF506" s="6"/>
      <c r="OG506" s="6"/>
      <c r="OL506" s="6"/>
      <c r="OP506" s="6"/>
      <c r="OQ506" s="6"/>
      <c r="OV506" s="6"/>
      <c r="PG506" s="6"/>
      <c r="PH506" s="6"/>
      <c r="PM506" s="6"/>
      <c r="PQ506" s="6"/>
      <c r="PR506" s="6"/>
      <c r="PW506" s="6"/>
      <c r="QH506" s="6"/>
      <c r="QI506" s="6"/>
      <c r="QN506" s="6"/>
      <c r="QR506" s="6"/>
      <c r="QS506" s="6"/>
      <c r="QX506" s="6"/>
      <c r="RI506" s="6"/>
      <c r="RJ506" s="6"/>
      <c r="RO506" s="6"/>
      <c r="RS506" s="6"/>
      <c r="RT506" s="6"/>
      <c r="RY506" s="6"/>
      <c r="SJ506" s="6"/>
      <c r="SK506" s="6"/>
      <c r="SP506" s="6"/>
      <c r="ST506" s="6"/>
      <c r="SU506" s="6"/>
      <c r="SZ506" s="6"/>
    </row>
    <row r="507" spans="12:520" x14ac:dyDescent="0.3">
      <c r="S507" s="6"/>
      <c r="T507" s="6"/>
      <c r="U507" s="6"/>
      <c r="W507" s="6"/>
      <c r="AA507" s="6"/>
      <c r="AB507" s="6"/>
      <c r="AH507" s="6"/>
      <c r="AS507" s="6"/>
      <c r="AT507" s="6"/>
      <c r="AY507" s="6"/>
      <c r="BC507" s="6"/>
      <c r="BD507" s="6"/>
      <c r="BI507" s="6"/>
      <c r="BT507" s="6"/>
      <c r="BU507" s="6"/>
      <c r="BZ507" s="6"/>
      <c r="CD507" s="6"/>
      <c r="CE507" s="6"/>
      <c r="CJ507" s="6"/>
      <c r="CU507" s="6"/>
      <c r="CV507" s="6"/>
      <c r="DA507" s="6"/>
      <c r="DE507" s="6"/>
      <c r="DF507" s="6"/>
      <c r="DK507" s="6"/>
      <c r="DV507" s="6"/>
      <c r="DW507" s="6"/>
      <c r="EB507" s="6"/>
      <c r="EF507" s="6"/>
      <c r="EG507" s="6"/>
      <c r="EL507" s="6"/>
      <c r="EW507" s="6"/>
      <c r="EX507" s="6"/>
      <c r="FC507" s="6"/>
      <c r="FG507" s="6"/>
      <c r="FH507" s="6"/>
      <c r="FM507" s="6"/>
      <c r="FX507" s="6"/>
      <c r="FY507" s="6"/>
      <c r="GD507" s="6"/>
      <c r="GH507" s="6"/>
      <c r="GI507" s="6"/>
      <c r="GN507" s="6"/>
      <c r="GY507" s="6"/>
      <c r="GZ507" s="6"/>
      <c r="HE507" s="6"/>
      <c r="HI507" s="6"/>
      <c r="HJ507" s="6"/>
      <c r="HO507" s="6"/>
      <c r="HZ507" s="6"/>
      <c r="IA507" s="6"/>
      <c r="IF507" s="6"/>
      <c r="IJ507" s="6"/>
      <c r="IK507" s="6"/>
      <c r="IP507" s="6"/>
      <c r="KB507" s="6"/>
      <c r="KC507" s="6"/>
      <c r="KH507" s="6"/>
      <c r="KL507" s="6"/>
      <c r="KM507" s="6"/>
      <c r="KR507" s="6"/>
      <c r="LC507" s="6"/>
      <c r="LD507" s="6"/>
      <c r="LI507" s="6"/>
      <c r="LM507" s="6"/>
      <c r="LN507" s="6"/>
      <c r="LS507" s="6"/>
      <c r="MD507" s="6"/>
      <c r="ME507" s="6"/>
      <c r="MJ507" s="6"/>
      <c r="MN507" s="6"/>
      <c r="MO507" s="6"/>
      <c r="MT507" s="6"/>
      <c r="PG507" s="6"/>
      <c r="PH507" s="6"/>
      <c r="PM507" s="6"/>
      <c r="PQ507" s="6"/>
      <c r="PR507" s="6"/>
      <c r="PW507" s="6"/>
      <c r="QH507" s="6"/>
      <c r="QI507" s="6"/>
      <c r="QN507" s="6"/>
      <c r="QR507" s="6"/>
      <c r="QS507" s="6"/>
      <c r="QX507" s="6"/>
      <c r="RI507" s="6"/>
      <c r="RJ507" s="6"/>
      <c r="RO507" s="6"/>
      <c r="RS507" s="6"/>
      <c r="RT507" s="6"/>
      <c r="RY507" s="6"/>
      <c r="SJ507" s="6"/>
      <c r="SK507" s="6"/>
      <c r="SP507" s="6"/>
      <c r="ST507" s="6"/>
      <c r="SU507" s="6"/>
      <c r="SZ507" s="6"/>
    </row>
    <row r="508" spans="12:520" x14ac:dyDescent="0.3">
      <c r="S508" s="6"/>
      <c r="T508" s="6"/>
      <c r="U508" s="6"/>
      <c r="W508" s="6"/>
      <c r="AA508" s="6"/>
      <c r="AB508" s="6"/>
      <c r="AH508" s="6"/>
      <c r="AS508" s="6"/>
      <c r="AT508" s="6"/>
      <c r="AY508" s="6"/>
      <c r="BC508" s="6"/>
      <c r="BD508" s="6"/>
      <c r="BI508" s="6"/>
      <c r="BT508" s="6"/>
      <c r="BU508" s="6"/>
      <c r="BZ508" s="6"/>
      <c r="CD508" s="6"/>
      <c r="CE508" s="6"/>
      <c r="CJ508" s="6"/>
      <c r="CU508" s="6"/>
      <c r="CV508" s="6"/>
      <c r="DA508" s="6"/>
      <c r="DE508" s="6"/>
      <c r="DF508" s="6"/>
      <c r="DK508" s="6"/>
      <c r="DV508" s="6"/>
      <c r="DW508" s="6"/>
      <c r="EB508" s="6"/>
      <c r="EF508" s="6"/>
      <c r="EG508" s="6"/>
      <c r="EL508" s="6"/>
      <c r="EW508" s="6"/>
      <c r="EX508" s="6"/>
      <c r="FC508" s="6"/>
      <c r="FG508" s="6"/>
      <c r="FH508" s="6"/>
      <c r="FM508" s="6"/>
      <c r="FX508" s="6"/>
      <c r="FY508" s="6"/>
      <c r="GD508" s="6"/>
      <c r="GH508" s="6"/>
      <c r="GI508" s="6"/>
      <c r="GN508" s="6"/>
      <c r="GS508" s="8"/>
      <c r="GT508" s="8"/>
      <c r="GU508" s="8"/>
      <c r="GY508" s="6"/>
      <c r="GZ508" s="6"/>
      <c r="HE508" s="6"/>
      <c r="HI508" s="6"/>
      <c r="HJ508" s="6"/>
      <c r="HO508" s="6"/>
      <c r="HZ508" s="6"/>
      <c r="IA508" s="6"/>
      <c r="IF508" s="6"/>
      <c r="IJ508" s="6"/>
      <c r="IK508" s="6"/>
      <c r="IP508" s="6"/>
      <c r="KB508" s="6"/>
      <c r="KC508" s="6"/>
      <c r="KH508" s="6"/>
      <c r="KL508" s="6"/>
      <c r="KM508" s="6"/>
      <c r="KR508" s="6"/>
      <c r="LC508" s="6"/>
      <c r="LD508" s="6"/>
      <c r="LI508" s="6"/>
      <c r="LM508" s="6"/>
      <c r="LN508" s="6"/>
      <c r="LS508" s="6"/>
      <c r="MD508" s="6"/>
      <c r="ME508" s="6"/>
      <c r="MJ508" s="6"/>
      <c r="MN508" s="6"/>
      <c r="MO508" s="6"/>
      <c r="MT508" s="6"/>
      <c r="PG508" s="6"/>
      <c r="PH508" s="6"/>
      <c r="PM508" s="6"/>
      <c r="PQ508" s="6"/>
      <c r="PR508" s="6"/>
      <c r="PW508" s="6"/>
      <c r="QH508" s="6"/>
      <c r="QI508" s="6"/>
      <c r="QN508" s="6"/>
      <c r="QR508" s="6"/>
      <c r="QS508" s="6"/>
      <c r="QX508" s="6"/>
      <c r="RI508" s="6"/>
      <c r="RJ508" s="6"/>
      <c r="RO508" s="6"/>
      <c r="RS508" s="6"/>
      <c r="RT508" s="6"/>
      <c r="RY508" s="6"/>
      <c r="SJ508" s="6"/>
      <c r="SK508" s="6"/>
      <c r="SP508" s="6"/>
      <c r="ST508" s="6"/>
      <c r="SU508" s="6"/>
      <c r="SZ508" s="6"/>
    </row>
    <row r="509" spans="12:520" x14ac:dyDescent="0.3">
      <c r="S509" s="6"/>
      <c r="T509" s="6"/>
      <c r="U509" s="6"/>
      <c r="W509" s="6"/>
      <c r="AA509" s="6"/>
      <c r="AB509" s="6"/>
      <c r="AH509" s="6"/>
      <c r="AS509" s="6"/>
      <c r="AT509" s="6"/>
      <c r="AY509" s="6"/>
      <c r="BC509" s="6"/>
      <c r="BD509" s="6"/>
      <c r="BI509" s="6"/>
      <c r="BT509" s="6"/>
      <c r="BU509" s="6"/>
      <c r="BZ509" s="6"/>
      <c r="CD509" s="6"/>
      <c r="CE509" s="6"/>
      <c r="CJ509" s="6"/>
      <c r="CU509" s="6"/>
      <c r="CV509" s="6"/>
      <c r="DA509" s="6"/>
      <c r="DE509" s="6"/>
      <c r="DF509" s="6"/>
      <c r="DK509" s="6"/>
      <c r="DV509" s="6"/>
      <c r="DW509" s="6"/>
      <c r="EB509" s="6"/>
      <c r="EF509" s="6"/>
      <c r="EG509" s="6"/>
      <c r="EL509" s="6"/>
      <c r="EW509" s="6"/>
      <c r="EX509" s="6"/>
      <c r="FC509" s="6"/>
      <c r="FG509" s="6"/>
      <c r="FH509" s="6"/>
      <c r="FM509" s="6"/>
      <c r="FX509" s="6"/>
      <c r="FY509" s="6"/>
      <c r="GD509" s="6"/>
      <c r="GH509" s="6"/>
      <c r="GI509" s="6"/>
      <c r="GN509" s="6"/>
      <c r="HZ509" s="6"/>
      <c r="IA509" s="6"/>
      <c r="IF509" s="6"/>
      <c r="IJ509" s="6"/>
      <c r="IK509" s="6"/>
      <c r="IP509" s="6"/>
      <c r="KB509" s="6"/>
      <c r="KC509" s="6"/>
      <c r="KH509" s="6"/>
      <c r="KL509" s="6"/>
      <c r="KM509" s="6"/>
      <c r="KR509" s="6"/>
      <c r="LC509" s="6"/>
      <c r="LD509" s="6"/>
      <c r="LI509" s="6"/>
      <c r="LM509" s="6"/>
      <c r="LN509" s="6"/>
      <c r="LS509" s="6"/>
      <c r="MD509" s="6"/>
      <c r="ME509" s="6"/>
      <c r="MJ509" s="6"/>
      <c r="MN509" s="6"/>
      <c r="MO509" s="6"/>
      <c r="MT509" s="6"/>
      <c r="PG509" s="6"/>
      <c r="PH509" s="6"/>
      <c r="PM509" s="6"/>
      <c r="PQ509" s="6"/>
      <c r="PR509" s="6"/>
      <c r="PW509" s="6"/>
      <c r="QH509" s="6"/>
      <c r="QI509" s="6"/>
      <c r="QN509" s="6"/>
      <c r="QR509" s="6"/>
      <c r="QS509" s="6"/>
      <c r="QX509" s="6"/>
      <c r="RI509" s="6"/>
      <c r="RJ509" s="6"/>
      <c r="RO509" s="6"/>
      <c r="RS509" s="6"/>
      <c r="RT509" s="6"/>
      <c r="RY509" s="6"/>
      <c r="SJ509" s="6"/>
      <c r="SK509" s="6"/>
      <c r="SP509" s="6"/>
      <c r="ST509" s="6"/>
      <c r="SU509" s="6"/>
      <c r="SZ509" s="6"/>
    </row>
    <row r="510" spans="12:520" x14ac:dyDescent="0.3">
      <c r="S510" s="6"/>
      <c r="T510" s="6"/>
      <c r="U510" s="6"/>
      <c r="W510" s="6"/>
      <c r="AA510" s="6"/>
      <c r="AB510" s="6"/>
      <c r="AH510" s="6"/>
      <c r="AS510" s="6"/>
      <c r="AT510" s="6"/>
      <c r="AY510" s="6"/>
      <c r="BC510" s="6"/>
      <c r="BD510" s="6"/>
      <c r="BI510" s="6"/>
      <c r="BT510" s="6"/>
      <c r="BU510" s="6"/>
      <c r="BZ510" s="6"/>
      <c r="CD510" s="6"/>
      <c r="CE510" s="6"/>
      <c r="CJ510" s="6"/>
      <c r="CU510" s="6"/>
      <c r="CV510" s="6"/>
      <c r="DA510" s="6"/>
      <c r="DE510" s="6"/>
      <c r="DF510" s="6"/>
      <c r="DK510" s="6"/>
      <c r="DV510" s="6"/>
      <c r="DW510" s="6"/>
      <c r="EB510" s="6"/>
      <c r="EF510" s="6"/>
      <c r="EG510" s="6"/>
      <c r="EL510" s="6"/>
      <c r="EW510" s="6"/>
      <c r="EX510" s="6"/>
      <c r="FC510" s="6"/>
      <c r="FG510" s="6"/>
      <c r="FH510" s="6"/>
      <c r="FM510" s="6"/>
      <c r="FX510" s="6"/>
      <c r="FY510" s="6"/>
      <c r="GD510" s="6"/>
      <c r="GH510" s="6"/>
      <c r="GI510" s="6"/>
      <c r="GN510" s="6"/>
      <c r="HZ510" s="6"/>
      <c r="IA510" s="6"/>
      <c r="IF510" s="6"/>
      <c r="IJ510" s="6"/>
      <c r="IK510" s="6"/>
      <c r="IP510" s="6"/>
      <c r="KB510" s="6"/>
      <c r="KC510" s="6"/>
      <c r="KH510" s="6"/>
      <c r="KL510" s="6"/>
      <c r="KM510" s="6"/>
      <c r="KR510" s="6"/>
      <c r="LC510" s="6"/>
      <c r="LD510" s="6"/>
      <c r="LI510" s="6"/>
      <c r="LM510" s="6"/>
      <c r="LN510" s="6"/>
      <c r="LS510" s="6"/>
      <c r="MD510" s="6"/>
      <c r="ME510" s="6"/>
      <c r="MJ510" s="6"/>
      <c r="MN510" s="6"/>
      <c r="MO510" s="6"/>
      <c r="MT510" s="6"/>
      <c r="PG510" s="6"/>
      <c r="PH510" s="6"/>
      <c r="PM510" s="6"/>
      <c r="PQ510" s="6"/>
      <c r="PR510" s="6"/>
      <c r="PW510" s="6"/>
      <c r="QH510" s="6"/>
      <c r="QI510" s="6"/>
      <c r="QN510" s="6"/>
      <c r="QR510" s="6"/>
      <c r="QS510" s="6"/>
      <c r="QX510" s="6"/>
      <c r="RI510" s="6"/>
      <c r="RJ510" s="6"/>
      <c r="RO510" s="6"/>
      <c r="RS510" s="6"/>
      <c r="RT510" s="6"/>
      <c r="RY510" s="6"/>
      <c r="SD510" s="8"/>
      <c r="SE510" s="8"/>
      <c r="SF510" s="8"/>
      <c r="SJ510" s="6"/>
      <c r="SK510" s="6"/>
      <c r="SP510" s="6"/>
      <c r="ST510" s="6"/>
      <c r="SU510" s="6"/>
      <c r="SZ510" s="6"/>
    </row>
    <row r="511" spans="12:520" x14ac:dyDescent="0.3">
      <c r="L511" s="8"/>
      <c r="M511" s="8"/>
      <c r="N511" s="8"/>
      <c r="S511" s="6"/>
      <c r="T511" s="6"/>
      <c r="U511" s="6"/>
      <c r="W511" s="6"/>
      <c r="AA511" s="6"/>
      <c r="AB511" s="6"/>
      <c r="AH511" s="6"/>
      <c r="AS511" s="6"/>
      <c r="AT511" s="6"/>
      <c r="AY511" s="6"/>
      <c r="BC511" s="6"/>
      <c r="BD511" s="6"/>
      <c r="BI511" s="6"/>
      <c r="BN511" s="8"/>
      <c r="BO511" s="8"/>
      <c r="BP511" s="8"/>
      <c r="BT511" s="6"/>
      <c r="BU511" s="6"/>
      <c r="BZ511" s="6"/>
      <c r="CD511" s="6"/>
      <c r="CE511" s="6"/>
      <c r="CJ511" s="6"/>
      <c r="CO511" s="8"/>
      <c r="CP511" s="8"/>
      <c r="CQ511" s="8"/>
      <c r="CU511" s="6"/>
      <c r="CV511" s="6"/>
      <c r="DA511" s="6"/>
      <c r="DE511" s="6"/>
      <c r="DF511" s="6"/>
      <c r="DK511" s="6"/>
      <c r="DP511" s="8"/>
      <c r="DQ511" s="8"/>
      <c r="DR511" s="8"/>
      <c r="DV511" s="6"/>
      <c r="DW511" s="6"/>
      <c r="EB511" s="6"/>
      <c r="EF511" s="6"/>
      <c r="EG511" s="6"/>
      <c r="EL511" s="6"/>
      <c r="EQ511" s="8"/>
      <c r="ER511" s="8"/>
      <c r="ES511" s="8"/>
      <c r="EW511" s="6"/>
      <c r="EX511" s="6"/>
      <c r="FC511" s="6"/>
      <c r="FG511" s="6"/>
      <c r="FH511" s="6"/>
      <c r="FM511" s="6"/>
      <c r="FR511" s="8"/>
      <c r="FS511" s="8"/>
      <c r="FT511" s="8"/>
      <c r="FX511" s="6"/>
      <c r="FY511" s="6"/>
      <c r="GD511" s="6"/>
      <c r="GH511" s="6"/>
      <c r="GI511" s="6"/>
      <c r="GN511" s="6"/>
      <c r="HT511" s="8"/>
      <c r="HU511" s="8"/>
      <c r="HV511" s="8"/>
      <c r="HZ511" s="6"/>
      <c r="IA511" s="6"/>
      <c r="IF511" s="6"/>
      <c r="IJ511" s="6"/>
      <c r="IK511" s="6"/>
      <c r="IP511" s="6"/>
      <c r="JV511" s="8"/>
      <c r="JW511" s="8"/>
      <c r="JX511" s="8"/>
      <c r="KB511" s="6"/>
      <c r="KC511" s="6"/>
      <c r="KH511" s="6"/>
      <c r="KL511" s="6"/>
      <c r="KM511" s="6"/>
      <c r="KR511" s="6"/>
      <c r="KW511" s="8"/>
      <c r="KX511" s="8"/>
      <c r="KY511" s="8"/>
      <c r="LC511" s="6"/>
      <c r="LD511" s="6"/>
      <c r="LI511" s="6"/>
      <c r="LM511" s="6"/>
      <c r="LN511" s="6"/>
      <c r="LS511" s="6"/>
      <c r="LX511" s="8"/>
      <c r="LY511" s="8"/>
      <c r="LZ511" s="8"/>
      <c r="MD511" s="6"/>
      <c r="ME511" s="6"/>
      <c r="MJ511" s="6"/>
      <c r="MN511" s="6"/>
      <c r="MO511" s="6"/>
      <c r="MT511" s="6"/>
      <c r="PA511" s="8"/>
      <c r="PB511" s="8"/>
      <c r="PC511" s="8"/>
      <c r="PG511" s="6"/>
      <c r="PH511" s="6"/>
      <c r="PM511" s="6"/>
      <c r="PQ511" s="6"/>
      <c r="PR511" s="6"/>
      <c r="PW511" s="6"/>
      <c r="QB511" s="8"/>
      <c r="QC511" s="8"/>
      <c r="QD511" s="8"/>
      <c r="QH511" s="6"/>
      <c r="QI511" s="6"/>
      <c r="QN511" s="6"/>
      <c r="QR511" s="6"/>
      <c r="QS511" s="6"/>
      <c r="QX511" s="6"/>
      <c r="RC511" s="8"/>
      <c r="RD511" s="8"/>
      <c r="RE511" s="8"/>
      <c r="RI511" s="6"/>
      <c r="RJ511" s="6"/>
      <c r="RO511" s="6"/>
      <c r="RS511" s="6"/>
      <c r="RT511" s="6"/>
      <c r="RY511" s="6"/>
    </row>
    <row r="512" spans="12:520" x14ac:dyDescent="0.3">
      <c r="AS512" s="6"/>
    </row>
    <row r="513" spans="12:520" x14ac:dyDescent="0.3">
      <c r="R513" s="6"/>
      <c r="S513" s="7"/>
      <c r="T513" s="7"/>
      <c r="Z513" s="6"/>
      <c r="AA513" s="7"/>
      <c r="AG513" s="6"/>
      <c r="AS513" s="6"/>
      <c r="AX513" s="6"/>
      <c r="BB513" s="6"/>
      <c r="BC513" s="7"/>
      <c r="BH513" s="6"/>
      <c r="BS513" s="6"/>
      <c r="BT513" s="7"/>
      <c r="BY513" s="6"/>
      <c r="CC513" s="6"/>
      <c r="CD513" s="7"/>
      <c r="CI513" s="6"/>
      <c r="CT513" s="6"/>
      <c r="CU513" s="7"/>
      <c r="CZ513" s="6"/>
      <c r="DD513" s="6"/>
      <c r="DE513" s="7"/>
      <c r="DJ513" s="6"/>
      <c r="DU513" s="6"/>
      <c r="DV513" s="7"/>
      <c r="EA513" s="6"/>
      <c r="EE513" s="6"/>
      <c r="EF513" s="7"/>
      <c r="EK513" s="6"/>
      <c r="EV513" s="6"/>
      <c r="EW513" s="7"/>
      <c r="FB513" s="6"/>
      <c r="FF513" s="6"/>
      <c r="FG513" s="7"/>
      <c r="FL513" s="6"/>
      <c r="FW513" s="6"/>
      <c r="FX513" s="7"/>
      <c r="GC513" s="6"/>
      <c r="GG513" s="6"/>
      <c r="GH513" s="7"/>
      <c r="GM513" s="6"/>
      <c r="GX513" s="6"/>
      <c r="GY513" s="7"/>
      <c r="HD513" s="6"/>
      <c r="HH513" s="6"/>
      <c r="HI513" s="7"/>
      <c r="HN513" s="6"/>
      <c r="HY513" s="6"/>
      <c r="HZ513" s="7"/>
      <c r="IE513" s="6"/>
      <c r="II513" s="6"/>
      <c r="IJ513" s="7"/>
      <c r="IO513" s="6"/>
      <c r="IZ513" s="6"/>
      <c r="JA513" s="7"/>
      <c r="JF513" s="6"/>
      <c r="JJ513" s="6"/>
      <c r="JK513" s="7"/>
      <c r="JP513" s="6"/>
      <c r="KA513" s="6"/>
      <c r="KB513" s="7"/>
      <c r="KG513" s="6"/>
      <c r="KK513" s="6"/>
      <c r="KL513" s="7"/>
      <c r="KQ513" s="6"/>
      <c r="LB513" s="6"/>
      <c r="LC513" s="7"/>
      <c r="LH513" s="6"/>
      <c r="LL513" s="6"/>
      <c r="LM513" s="7"/>
      <c r="LR513" s="6"/>
      <c r="MC513" s="6"/>
      <c r="MD513" s="7"/>
      <c r="MI513" s="6"/>
      <c r="MM513" s="6"/>
      <c r="MN513" s="7"/>
      <c r="MS513" s="6"/>
      <c r="ND513" s="6"/>
      <c r="NE513" s="7"/>
      <c r="NJ513" s="6"/>
      <c r="NN513" s="6"/>
      <c r="NO513" s="7"/>
      <c r="NT513" s="6"/>
      <c r="OE513" s="6"/>
      <c r="OF513" s="7"/>
      <c r="OK513" s="6"/>
      <c r="OO513" s="6"/>
      <c r="OP513" s="7"/>
      <c r="OU513" s="6"/>
      <c r="PF513" s="6"/>
      <c r="PG513" s="7"/>
      <c r="PL513" s="6"/>
      <c r="PP513" s="6"/>
      <c r="PQ513" s="7"/>
      <c r="PV513" s="6"/>
      <c r="QG513" s="6"/>
      <c r="QH513" s="7"/>
      <c r="QM513" s="6"/>
      <c r="QQ513" s="6"/>
      <c r="QR513" s="7"/>
      <c r="QW513" s="6"/>
      <c r="RH513" s="6"/>
      <c r="RI513" s="7"/>
      <c r="RN513" s="6"/>
      <c r="RR513" s="6"/>
      <c r="RS513" s="7"/>
      <c r="RX513" s="6"/>
      <c r="SI513" s="6"/>
      <c r="SJ513" s="7"/>
      <c r="SO513" s="6"/>
      <c r="SS513" s="6"/>
      <c r="ST513" s="7"/>
      <c r="SY513" s="6"/>
    </row>
    <row r="514" spans="12:520" x14ac:dyDescent="0.3">
      <c r="O514" s="5"/>
      <c r="R514" s="5"/>
      <c r="S514" s="6"/>
      <c r="T514" s="6"/>
      <c r="U514" s="7"/>
      <c r="W514" s="6"/>
      <c r="X514" s="5"/>
      <c r="Z514" s="5"/>
      <c r="AA514" s="6"/>
      <c r="AB514" s="7"/>
      <c r="AG514" s="5"/>
      <c r="AH514" s="6"/>
      <c r="AS514" s="6"/>
      <c r="AT514" s="7"/>
      <c r="AW514" s="5"/>
      <c r="AY514" s="6"/>
      <c r="BC514" s="6"/>
      <c r="BD514" s="6"/>
      <c r="BI514" s="6"/>
      <c r="BT514" s="6"/>
      <c r="BU514" s="6"/>
      <c r="BZ514" s="6"/>
      <c r="CD514" s="6"/>
      <c r="CE514" s="6"/>
      <c r="CJ514" s="6"/>
      <c r="CU514" s="6"/>
      <c r="CV514" s="6"/>
      <c r="DA514" s="6"/>
      <c r="DE514" s="6"/>
      <c r="DF514" s="6"/>
      <c r="DK514" s="6"/>
      <c r="DV514" s="6"/>
      <c r="DW514" s="6"/>
      <c r="EB514" s="6"/>
      <c r="EF514" s="6"/>
      <c r="EG514" s="6"/>
      <c r="EL514" s="6"/>
      <c r="EW514" s="6"/>
      <c r="EX514" s="6"/>
      <c r="FC514" s="6"/>
      <c r="FG514" s="6"/>
      <c r="FH514" s="6"/>
      <c r="FM514" s="6"/>
      <c r="FX514" s="6"/>
      <c r="FY514" s="6"/>
      <c r="GD514" s="6"/>
      <c r="GH514" s="6"/>
      <c r="GI514" s="6"/>
      <c r="GN514" s="6"/>
      <c r="GY514" s="6"/>
      <c r="GZ514" s="6"/>
      <c r="HE514" s="6"/>
      <c r="HI514" s="6"/>
      <c r="HJ514" s="6"/>
      <c r="HO514" s="6"/>
      <c r="HZ514" s="6"/>
      <c r="IA514" s="6"/>
      <c r="IF514" s="6"/>
      <c r="IJ514" s="6"/>
      <c r="IK514" s="6"/>
      <c r="IP514" s="6"/>
      <c r="JA514" s="6"/>
      <c r="JB514" s="6"/>
      <c r="JG514" s="6"/>
      <c r="JK514" s="6"/>
      <c r="JL514" s="6"/>
      <c r="JQ514" s="6"/>
      <c r="KB514" s="6"/>
      <c r="KC514" s="6"/>
      <c r="KH514" s="6"/>
      <c r="KL514" s="6"/>
      <c r="KM514" s="6"/>
      <c r="KR514" s="6"/>
      <c r="LC514" s="6"/>
      <c r="LD514" s="6"/>
      <c r="LI514" s="6"/>
      <c r="LM514" s="6"/>
      <c r="LN514" s="6"/>
      <c r="LS514" s="6"/>
      <c r="MD514" s="6"/>
      <c r="ME514" s="6"/>
      <c r="MJ514" s="6"/>
      <c r="MN514" s="6"/>
      <c r="MO514" s="6"/>
      <c r="MT514" s="6"/>
      <c r="NE514" s="6"/>
      <c r="NF514" s="6"/>
      <c r="NK514" s="6"/>
      <c r="NO514" s="6"/>
      <c r="NP514" s="6"/>
      <c r="NU514" s="6"/>
      <c r="OF514" s="6"/>
      <c r="OG514" s="6"/>
      <c r="OL514" s="6"/>
      <c r="OP514" s="6"/>
      <c r="OQ514" s="6"/>
      <c r="OV514" s="6"/>
      <c r="PG514" s="6"/>
      <c r="PH514" s="6"/>
      <c r="PM514" s="6"/>
      <c r="PQ514" s="6"/>
      <c r="PR514" s="6"/>
      <c r="PW514" s="6"/>
      <c r="QH514" s="6"/>
      <c r="QI514" s="6"/>
      <c r="QN514" s="6"/>
      <c r="QR514" s="6"/>
      <c r="QS514" s="6"/>
      <c r="QX514" s="6"/>
      <c r="RI514" s="6"/>
      <c r="RJ514" s="6"/>
      <c r="RO514" s="6"/>
      <c r="RS514" s="6"/>
      <c r="RT514" s="6"/>
      <c r="RY514" s="6"/>
      <c r="SJ514" s="6"/>
      <c r="SK514" s="6"/>
      <c r="SP514" s="6"/>
      <c r="ST514" s="6"/>
      <c r="SU514" s="6"/>
      <c r="SZ514" s="6"/>
    </row>
    <row r="515" spans="12:520" x14ac:dyDescent="0.3">
      <c r="O515" s="5"/>
      <c r="R515" s="5"/>
      <c r="S515" s="6"/>
      <c r="T515" s="6"/>
      <c r="U515" s="7"/>
      <c r="W515" s="6"/>
      <c r="X515" s="5"/>
      <c r="Z515" s="5"/>
      <c r="AA515" s="6"/>
      <c r="AB515" s="7"/>
      <c r="AG515" s="5"/>
      <c r="AH515" s="6"/>
      <c r="AM515" s="8"/>
      <c r="AN515" s="8"/>
      <c r="AO515" s="8"/>
      <c r="AS515" s="6"/>
      <c r="AT515" s="7"/>
      <c r="AW515" s="5"/>
      <c r="AY515" s="6"/>
      <c r="BC515" s="6"/>
      <c r="BD515" s="6"/>
      <c r="BI515" s="6"/>
      <c r="BT515" s="6"/>
      <c r="BU515" s="6"/>
      <c r="BZ515" s="6"/>
      <c r="CD515" s="6"/>
      <c r="CE515" s="6"/>
      <c r="CJ515" s="6"/>
      <c r="CU515" s="6"/>
      <c r="CV515" s="6"/>
      <c r="DA515" s="6"/>
      <c r="DE515" s="6"/>
      <c r="DF515" s="6"/>
      <c r="DK515" s="6"/>
      <c r="DV515" s="6"/>
      <c r="DW515" s="6"/>
      <c r="EB515" s="6"/>
      <c r="EF515" s="6"/>
      <c r="EG515" s="6"/>
      <c r="EL515" s="6"/>
      <c r="EW515" s="6"/>
      <c r="EX515" s="6"/>
      <c r="FC515" s="6"/>
      <c r="FG515" s="6"/>
      <c r="FH515" s="6"/>
      <c r="FM515" s="6"/>
      <c r="FX515" s="6"/>
      <c r="FY515" s="6"/>
      <c r="GD515" s="6"/>
      <c r="GH515" s="6"/>
      <c r="GI515" s="6"/>
      <c r="GN515" s="6"/>
      <c r="GY515" s="6"/>
      <c r="GZ515" s="6"/>
      <c r="HE515" s="6"/>
      <c r="HI515" s="6"/>
      <c r="HJ515" s="6"/>
      <c r="HO515" s="6"/>
      <c r="HZ515" s="6"/>
      <c r="IA515" s="6"/>
      <c r="IF515" s="6"/>
      <c r="IJ515" s="6"/>
      <c r="IK515" s="6"/>
      <c r="IP515" s="6"/>
      <c r="JA515" s="6"/>
      <c r="JB515" s="6"/>
      <c r="JG515" s="6"/>
      <c r="JK515" s="6"/>
      <c r="JL515" s="6"/>
      <c r="JQ515" s="6"/>
      <c r="KB515" s="6"/>
      <c r="KC515" s="6"/>
      <c r="KH515" s="6"/>
      <c r="KL515" s="6"/>
      <c r="KM515" s="6"/>
      <c r="KR515" s="6"/>
      <c r="LC515" s="6"/>
      <c r="LD515" s="6"/>
      <c r="LI515" s="6"/>
      <c r="LM515" s="6"/>
      <c r="LN515" s="6"/>
      <c r="LS515" s="6"/>
      <c r="MD515" s="6"/>
      <c r="ME515" s="6"/>
      <c r="MJ515" s="6"/>
      <c r="MN515" s="6"/>
      <c r="MO515" s="6"/>
      <c r="MT515" s="6"/>
      <c r="MY515" s="8"/>
      <c r="MZ515" s="8"/>
      <c r="NA515" s="8"/>
      <c r="NE515" s="6"/>
      <c r="NF515" s="6"/>
      <c r="NK515" s="6"/>
      <c r="NO515" s="6"/>
      <c r="NP515" s="6"/>
      <c r="NU515" s="6"/>
      <c r="OF515" s="6"/>
      <c r="OG515" s="6"/>
      <c r="OL515" s="6"/>
      <c r="OP515" s="6"/>
      <c r="OQ515" s="6"/>
      <c r="OV515" s="6"/>
      <c r="PG515" s="6"/>
      <c r="PH515" s="6"/>
      <c r="PM515" s="6"/>
      <c r="PQ515" s="6"/>
      <c r="PR515" s="6"/>
      <c r="PW515" s="6"/>
      <c r="QH515" s="6"/>
      <c r="QI515" s="6"/>
      <c r="QN515" s="6"/>
      <c r="QR515" s="6"/>
      <c r="QS515" s="6"/>
      <c r="QX515" s="6"/>
      <c r="RI515" s="6"/>
      <c r="RJ515" s="6"/>
      <c r="RO515" s="6"/>
      <c r="RS515" s="6"/>
      <c r="RT515" s="6"/>
      <c r="RY515" s="6"/>
      <c r="SJ515" s="6"/>
      <c r="SK515" s="6"/>
      <c r="SP515" s="6"/>
      <c r="ST515" s="6"/>
      <c r="SU515" s="6"/>
      <c r="SZ515" s="6"/>
    </row>
    <row r="516" spans="12:520" x14ac:dyDescent="0.3">
      <c r="O516" s="5"/>
      <c r="R516" s="5"/>
      <c r="S516" s="6"/>
      <c r="T516" s="6"/>
      <c r="U516" s="7"/>
      <c r="W516" s="6"/>
      <c r="X516" s="5"/>
      <c r="Z516" s="5"/>
      <c r="AA516" s="6"/>
      <c r="AB516" s="7"/>
      <c r="AG516" s="5"/>
      <c r="AH516" s="6"/>
      <c r="AT516" s="7"/>
      <c r="AW516" s="5"/>
      <c r="AY516" s="6"/>
      <c r="BC516" s="6"/>
      <c r="BD516" s="6"/>
      <c r="BI516" s="6"/>
      <c r="BT516" s="6"/>
      <c r="BU516" s="6"/>
      <c r="BZ516" s="6"/>
      <c r="CD516" s="6"/>
      <c r="CE516" s="6"/>
      <c r="CJ516" s="6"/>
      <c r="CU516" s="6"/>
      <c r="CV516" s="6"/>
      <c r="DA516" s="6"/>
      <c r="DE516" s="6"/>
      <c r="DF516" s="6"/>
      <c r="DK516" s="6"/>
      <c r="DV516" s="6"/>
      <c r="DW516" s="6"/>
      <c r="EB516" s="6"/>
      <c r="EF516" s="6"/>
      <c r="EG516" s="6"/>
      <c r="EL516" s="6"/>
      <c r="EW516" s="6"/>
      <c r="EX516" s="6"/>
      <c r="FC516" s="6"/>
      <c r="FG516" s="6"/>
      <c r="FH516" s="6"/>
      <c r="FM516" s="6"/>
      <c r="FX516" s="6"/>
      <c r="FY516" s="6"/>
      <c r="GD516" s="6"/>
      <c r="GH516" s="6"/>
      <c r="GI516" s="6"/>
      <c r="GN516" s="6"/>
      <c r="GY516" s="6"/>
      <c r="GZ516" s="6"/>
      <c r="HE516" s="6"/>
      <c r="HI516" s="6"/>
      <c r="HJ516" s="6"/>
      <c r="HO516" s="6"/>
      <c r="HZ516" s="6"/>
      <c r="IA516" s="6"/>
      <c r="IF516" s="6"/>
      <c r="IJ516" s="6"/>
      <c r="IK516" s="6"/>
      <c r="IP516" s="6"/>
      <c r="JA516" s="6"/>
      <c r="JB516" s="6"/>
      <c r="JG516" s="6"/>
      <c r="JK516" s="6"/>
      <c r="JL516" s="6"/>
      <c r="JQ516" s="6"/>
      <c r="KB516" s="6"/>
      <c r="KC516" s="6"/>
      <c r="KH516" s="6"/>
      <c r="KL516" s="6"/>
      <c r="KM516" s="6"/>
      <c r="KR516" s="6"/>
      <c r="LC516" s="6"/>
      <c r="LD516" s="6"/>
      <c r="LI516" s="6"/>
      <c r="LM516" s="6"/>
      <c r="LN516" s="6"/>
      <c r="LS516" s="6"/>
      <c r="MD516" s="6"/>
      <c r="ME516" s="6"/>
      <c r="MJ516" s="6"/>
      <c r="MN516" s="6"/>
      <c r="MO516" s="6"/>
      <c r="MT516" s="6"/>
      <c r="OF516" s="6"/>
      <c r="OG516" s="6"/>
      <c r="OL516" s="6"/>
      <c r="OP516" s="6"/>
      <c r="OQ516" s="6"/>
      <c r="OV516" s="6"/>
      <c r="PG516" s="6"/>
      <c r="PH516" s="6"/>
      <c r="PM516" s="6"/>
      <c r="PQ516" s="6"/>
      <c r="PR516" s="6"/>
      <c r="PW516" s="6"/>
      <c r="QH516" s="6"/>
      <c r="QI516" s="6"/>
      <c r="QN516" s="6"/>
      <c r="QR516" s="6"/>
      <c r="QS516" s="6"/>
      <c r="QX516" s="6"/>
      <c r="RI516" s="6"/>
      <c r="RJ516" s="6"/>
      <c r="RO516" s="6"/>
      <c r="RS516" s="6"/>
      <c r="RT516" s="6"/>
      <c r="RY516" s="6"/>
      <c r="SJ516" s="6"/>
      <c r="SK516" s="6"/>
      <c r="SP516" s="6"/>
      <c r="ST516" s="6"/>
      <c r="SU516" s="6"/>
      <c r="SZ516" s="6"/>
    </row>
    <row r="517" spans="12:520" x14ac:dyDescent="0.3">
      <c r="O517" s="5"/>
      <c r="R517" s="5"/>
      <c r="S517" s="6"/>
      <c r="T517" s="6"/>
      <c r="U517" s="7"/>
      <c r="W517" s="6"/>
      <c r="X517" s="5"/>
      <c r="Z517" s="5"/>
      <c r="AA517" s="6"/>
      <c r="AB517" s="7"/>
      <c r="AG517" s="5"/>
      <c r="AH517" s="6"/>
      <c r="AR517" s="6"/>
      <c r="AS517" s="7"/>
      <c r="AT517" s="7"/>
      <c r="AW517" s="5"/>
      <c r="AY517" s="6"/>
      <c r="BC517" s="6"/>
      <c r="BD517" s="6"/>
      <c r="BI517" s="6"/>
      <c r="BT517" s="6"/>
      <c r="BU517" s="6"/>
      <c r="BZ517" s="6"/>
      <c r="CD517" s="6"/>
      <c r="CE517" s="6"/>
      <c r="CJ517" s="6"/>
      <c r="CU517" s="6"/>
      <c r="CV517" s="6"/>
      <c r="DA517" s="6"/>
      <c r="DE517" s="6"/>
      <c r="DF517" s="6"/>
      <c r="DK517" s="6"/>
      <c r="DV517" s="6"/>
      <c r="DW517" s="6"/>
      <c r="EB517" s="6"/>
      <c r="EF517" s="6"/>
      <c r="EG517" s="6"/>
      <c r="EL517" s="6"/>
      <c r="EW517" s="6"/>
      <c r="EX517" s="6"/>
      <c r="FC517" s="6"/>
      <c r="FG517" s="6"/>
      <c r="FH517" s="6"/>
      <c r="FM517" s="6"/>
      <c r="FX517" s="6"/>
      <c r="FY517" s="6"/>
      <c r="GD517" s="6"/>
      <c r="GH517" s="6"/>
      <c r="GI517" s="6"/>
      <c r="GN517" s="6"/>
      <c r="GY517" s="6"/>
      <c r="GZ517" s="6"/>
      <c r="HE517" s="6"/>
      <c r="HI517" s="6"/>
      <c r="HJ517" s="6"/>
      <c r="HO517" s="6"/>
      <c r="HZ517" s="6"/>
      <c r="IA517" s="6"/>
      <c r="IF517" s="6"/>
      <c r="IJ517" s="6"/>
      <c r="IK517" s="6"/>
      <c r="IP517" s="6"/>
      <c r="IU517" s="8"/>
      <c r="IV517" s="8"/>
      <c r="IW517" s="8"/>
      <c r="JA517" s="6"/>
      <c r="JB517" s="6"/>
      <c r="JG517" s="6"/>
      <c r="JK517" s="6"/>
      <c r="JL517" s="6"/>
      <c r="JQ517" s="6"/>
      <c r="KB517" s="6"/>
      <c r="KC517" s="6"/>
      <c r="KH517" s="6"/>
      <c r="KL517" s="6"/>
      <c r="KM517" s="6"/>
      <c r="KR517" s="6"/>
      <c r="LC517" s="6"/>
      <c r="LD517" s="6"/>
      <c r="LI517" s="6"/>
      <c r="LM517" s="6"/>
      <c r="LN517" s="6"/>
      <c r="LS517" s="6"/>
      <c r="MD517" s="6"/>
      <c r="ME517" s="6"/>
      <c r="MJ517" s="6"/>
      <c r="MN517" s="6"/>
      <c r="MO517" s="6"/>
      <c r="MT517" s="6"/>
      <c r="OF517" s="6"/>
      <c r="OG517" s="6"/>
      <c r="OL517" s="6"/>
      <c r="OP517" s="6"/>
      <c r="OQ517" s="6"/>
      <c r="OV517" s="6"/>
      <c r="PG517" s="6"/>
      <c r="PH517" s="6"/>
      <c r="PM517" s="6"/>
      <c r="PQ517" s="6"/>
      <c r="PR517" s="6"/>
      <c r="PW517" s="6"/>
      <c r="QH517" s="6"/>
      <c r="QI517" s="6"/>
      <c r="QN517" s="6"/>
      <c r="QR517" s="6"/>
      <c r="QS517" s="6"/>
      <c r="QX517" s="6"/>
      <c r="RI517" s="6"/>
      <c r="RJ517" s="6"/>
      <c r="RO517" s="6"/>
      <c r="RS517" s="6"/>
      <c r="RT517" s="6"/>
      <c r="RY517" s="6"/>
      <c r="SJ517" s="6"/>
      <c r="SK517" s="6"/>
      <c r="SP517" s="6"/>
      <c r="ST517" s="6"/>
      <c r="SU517" s="6"/>
      <c r="SZ517" s="6"/>
    </row>
    <row r="518" spans="12:520" x14ac:dyDescent="0.3">
      <c r="O518" s="5"/>
      <c r="R518" s="5"/>
      <c r="S518" s="6"/>
      <c r="T518" s="6"/>
      <c r="U518" s="7"/>
      <c r="W518" s="6"/>
      <c r="X518" s="5"/>
      <c r="Z518" s="5"/>
      <c r="AA518" s="6"/>
      <c r="AB518" s="7"/>
      <c r="AG518" s="5"/>
      <c r="AH518" s="6"/>
      <c r="AQ518" s="5"/>
      <c r="AR518" s="5"/>
      <c r="AS518" s="6"/>
      <c r="AT518" s="7"/>
      <c r="AW518" s="5"/>
      <c r="AY518" s="6"/>
      <c r="BC518" s="6"/>
      <c r="BD518" s="6"/>
      <c r="BI518" s="6"/>
      <c r="BT518" s="6"/>
      <c r="BU518" s="6"/>
      <c r="BZ518" s="6"/>
      <c r="CD518" s="6"/>
      <c r="CE518" s="6"/>
      <c r="CJ518" s="6"/>
      <c r="CU518" s="6"/>
      <c r="CV518" s="6"/>
      <c r="DA518" s="6"/>
      <c r="DE518" s="6"/>
      <c r="DF518" s="6"/>
      <c r="DK518" s="6"/>
      <c r="DV518" s="6"/>
      <c r="DW518" s="6"/>
      <c r="EB518" s="6"/>
      <c r="EF518" s="6"/>
      <c r="EG518" s="6"/>
      <c r="EL518" s="6"/>
      <c r="EW518" s="6"/>
      <c r="EX518" s="6"/>
      <c r="FC518" s="6"/>
      <c r="FG518" s="6"/>
      <c r="FH518" s="6"/>
      <c r="FM518" s="6"/>
      <c r="FX518" s="6"/>
      <c r="FY518" s="6"/>
      <c r="GD518" s="6"/>
      <c r="GH518" s="6"/>
      <c r="GI518" s="6"/>
      <c r="GN518" s="6"/>
      <c r="GY518" s="6"/>
      <c r="GZ518" s="6"/>
      <c r="HE518" s="6"/>
      <c r="HI518" s="6"/>
      <c r="HJ518" s="6"/>
      <c r="HO518" s="6"/>
      <c r="HZ518" s="6"/>
      <c r="IA518" s="6"/>
      <c r="IF518" s="6"/>
      <c r="IJ518" s="6"/>
      <c r="IK518" s="6"/>
      <c r="IP518" s="6"/>
      <c r="KB518" s="6"/>
      <c r="KC518" s="6"/>
      <c r="KH518" s="6"/>
      <c r="KL518" s="6"/>
      <c r="KM518" s="6"/>
      <c r="KR518" s="6"/>
      <c r="LC518" s="6"/>
      <c r="LD518" s="6"/>
      <c r="LI518" s="6"/>
      <c r="LM518" s="6"/>
      <c r="LN518" s="6"/>
      <c r="LS518" s="6"/>
      <c r="MD518" s="6"/>
      <c r="ME518" s="6"/>
      <c r="MJ518" s="6"/>
      <c r="MN518" s="6"/>
      <c r="MO518" s="6"/>
      <c r="MT518" s="6"/>
      <c r="OF518" s="6"/>
      <c r="OG518" s="6"/>
      <c r="OL518" s="6"/>
      <c r="OP518" s="6"/>
      <c r="OQ518" s="6"/>
      <c r="OV518" s="6"/>
      <c r="PG518" s="6"/>
      <c r="PH518" s="6"/>
      <c r="PM518" s="6"/>
      <c r="PQ518" s="6"/>
      <c r="PR518" s="6"/>
      <c r="PW518" s="6"/>
      <c r="QH518" s="6"/>
      <c r="QI518" s="6"/>
      <c r="QN518" s="6"/>
      <c r="QR518" s="6"/>
      <c r="QS518" s="6"/>
      <c r="QX518" s="6"/>
      <c r="RI518" s="6"/>
      <c r="RJ518" s="6"/>
      <c r="RO518" s="6"/>
      <c r="RS518" s="6"/>
      <c r="RT518" s="6"/>
      <c r="RY518" s="6"/>
      <c r="SJ518" s="6"/>
      <c r="SK518" s="6"/>
      <c r="SP518" s="6"/>
      <c r="ST518" s="6"/>
      <c r="SU518" s="6"/>
      <c r="SZ518" s="6"/>
    </row>
    <row r="519" spans="12:520" x14ac:dyDescent="0.3">
      <c r="O519" s="5"/>
      <c r="R519" s="5"/>
      <c r="S519" s="6"/>
      <c r="T519" s="6"/>
      <c r="U519" s="7"/>
      <c r="W519" s="6"/>
      <c r="X519" s="5"/>
      <c r="Z519" s="5"/>
      <c r="AA519" s="6"/>
      <c r="AB519" s="7"/>
      <c r="AG519" s="5"/>
      <c r="AH519" s="6"/>
      <c r="AQ519" s="5"/>
      <c r="AR519" s="5"/>
      <c r="AS519" s="6"/>
      <c r="AT519" s="7"/>
      <c r="AW519" s="5"/>
      <c r="AY519" s="6"/>
      <c r="BC519" s="6"/>
      <c r="BD519" s="6"/>
      <c r="BI519" s="6"/>
      <c r="BT519" s="6"/>
      <c r="BU519" s="6"/>
      <c r="BZ519" s="6"/>
      <c r="CD519" s="6"/>
      <c r="CE519" s="6"/>
      <c r="CJ519" s="6"/>
      <c r="CU519" s="6"/>
      <c r="CV519" s="6"/>
      <c r="DA519" s="6"/>
      <c r="DE519" s="6"/>
      <c r="DF519" s="6"/>
      <c r="DK519" s="6"/>
      <c r="DV519" s="6"/>
      <c r="DW519" s="6"/>
      <c r="EB519" s="6"/>
      <c r="EF519" s="6"/>
      <c r="EG519" s="6"/>
      <c r="EL519" s="6"/>
      <c r="EW519" s="6"/>
      <c r="EX519" s="6"/>
      <c r="FC519" s="6"/>
      <c r="FG519" s="6"/>
      <c r="FH519" s="6"/>
      <c r="FM519" s="6"/>
      <c r="FX519" s="6"/>
      <c r="FY519" s="6"/>
      <c r="GD519" s="6"/>
      <c r="GH519" s="6"/>
      <c r="GI519" s="6"/>
      <c r="GN519" s="6"/>
      <c r="GY519" s="6"/>
      <c r="GZ519" s="6"/>
      <c r="HE519" s="6"/>
      <c r="HI519" s="6"/>
      <c r="HJ519" s="6"/>
      <c r="HO519" s="6"/>
      <c r="HZ519" s="6"/>
      <c r="IA519" s="6"/>
      <c r="IF519" s="6"/>
      <c r="IJ519" s="6"/>
      <c r="IK519" s="6"/>
      <c r="IP519" s="6"/>
      <c r="KB519" s="6"/>
      <c r="KC519" s="6"/>
      <c r="KH519" s="6"/>
      <c r="KL519" s="6"/>
      <c r="KM519" s="6"/>
      <c r="KR519" s="6"/>
      <c r="LC519" s="6"/>
      <c r="LD519" s="6"/>
      <c r="LI519" s="6"/>
      <c r="LM519" s="6"/>
      <c r="LN519" s="6"/>
      <c r="LS519" s="6"/>
      <c r="MD519" s="6"/>
      <c r="ME519" s="6"/>
      <c r="MJ519" s="6"/>
      <c r="MN519" s="6"/>
      <c r="MO519" s="6"/>
      <c r="MT519" s="6"/>
      <c r="NZ519" s="8"/>
      <c r="OA519" s="8"/>
      <c r="OB519" s="8"/>
      <c r="OF519" s="6"/>
      <c r="OG519" s="6"/>
      <c r="OL519" s="6"/>
      <c r="OP519" s="6"/>
      <c r="OQ519" s="6"/>
      <c r="OV519" s="6"/>
      <c r="PG519" s="6"/>
      <c r="PH519" s="6"/>
      <c r="PM519" s="6"/>
      <c r="PQ519" s="6"/>
      <c r="PR519" s="6"/>
      <c r="PW519" s="6"/>
      <c r="QH519" s="6"/>
      <c r="QI519" s="6"/>
      <c r="QN519" s="6"/>
      <c r="QR519" s="6"/>
      <c r="QS519" s="6"/>
      <c r="QX519" s="6"/>
      <c r="RI519" s="6"/>
      <c r="RJ519" s="6"/>
      <c r="RO519" s="6"/>
      <c r="RS519" s="6"/>
      <c r="RT519" s="6"/>
      <c r="RY519" s="6"/>
      <c r="SJ519" s="6"/>
      <c r="SK519" s="6"/>
      <c r="SP519" s="6"/>
      <c r="ST519" s="6"/>
      <c r="SU519" s="6"/>
      <c r="SZ519" s="6"/>
    </row>
    <row r="520" spans="12:520" x14ac:dyDescent="0.3">
      <c r="O520" s="5"/>
      <c r="R520" s="5"/>
      <c r="S520" s="6"/>
      <c r="T520" s="6"/>
      <c r="U520" s="7"/>
      <c r="W520" s="6"/>
      <c r="X520" s="5"/>
      <c r="Z520" s="5"/>
      <c r="AA520" s="6"/>
      <c r="AB520" s="7"/>
      <c r="AG520" s="5"/>
      <c r="AH520" s="6"/>
      <c r="AQ520" s="5"/>
      <c r="AR520" s="5"/>
      <c r="AS520" s="6"/>
      <c r="AT520" s="7"/>
      <c r="AW520" s="5"/>
      <c r="AY520" s="7"/>
      <c r="BC520" s="6"/>
      <c r="BD520" s="6"/>
      <c r="BI520" s="6"/>
      <c r="BT520" s="6"/>
      <c r="BU520" s="6"/>
      <c r="BZ520" s="6"/>
      <c r="CD520" s="6"/>
      <c r="CE520" s="6"/>
      <c r="CJ520" s="6"/>
      <c r="CU520" s="6"/>
      <c r="CV520" s="6"/>
      <c r="DA520" s="6"/>
      <c r="DE520" s="6"/>
      <c r="DF520" s="6"/>
      <c r="DK520" s="6"/>
      <c r="DV520" s="6"/>
      <c r="DW520" s="6"/>
      <c r="EB520" s="6"/>
      <c r="EF520" s="6"/>
      <c r="EG520" s="6"/>
      <c r="EL520" s="6"/>
      <c r="EW520" s="6"/>
      <c r="EX520" s="6"/>
      <c r="FC520" s="6"/>
      <c r="FG520" s="6"/>
      <c r="FH520" s="6"/>
      <c r="FM520" s="6"/>
      <c r="FX520" s="6"/>
      <c r="FY520" s="6"/>
      <c r="GD520" s="6"/>
      <c r="GH520" s="6"/>
      <c r="GI520" s="6"/>
      <c r="GN520" s="6"/>
      <c r="GY520" s="6"/>
      <c r="GZ520" s="6"/>
      <c r="HE520" s="6"/>
      <c r="HI520" s="6"/>
      <c r="HJ520" s="6"/>
      <c r="HO520" s="6"/>
      <c r="HZ520" s="6"/>
      <c r="IA520" s="6"/>
      <c r="IF520" s="6"/>
      <c r="IJ520" s="6"/>
      <c r="IK520" s="6"/>
      <c r="IP520" s="6"/>
      <c r="KB520" s="6"/>
      <c r="KC520" s="6"/>
      <c r="KH520" s="6"/>
      <c r="KL520" s="6"/>
      <c r="KM520" s="6"/>
      <c r="KR520" s="6"/>
      <c r="LC520" s="6"/>
      <c r="LD520" s="6"/>
      <c r="LI520" s="6"/>
      <c r="LM520" s="6"/>
      <c r="LN520" s="6"/>
      <c r="LS520" s="6"/>
      <c r="MD520" s="6"/>
      <c r="ME520" s="6"/>
      <c r="MJ520" s="6"/>
      <c r="MN520" s="6"/>
      <c r="MO520" s="6"/>
      <c r="MT520" s="6"/>
      <c r="PG520" s="6"/>
      <c r="PH520" s="6"/>
      <c r="PM520" s="6"/>
      <c r="PQ520" s="6"/>
      <c r="PR520" s="6"/>
      <c r="PW520" s="6"/>
      <c r="QH520" s="6"/>
      <c r="QI520" s="6"/>
      <c r="QN520" s="6"/>
      <c r="QR520" s="6"/>
      <c r="QS520" s="6"/>
      <c r="QX520" s="6"/>
      <c r="RI520" s="6"/>
      <c r="RJ520" s="6"/>
      <c r="RO520" s="6"/>
      <c r="RS520" s="6"/>
      <c r="RT520" s="6"/>
      <c r="RY520" s="6"/>
      <c r="SJ520" s="6"/>
      <c r="SK520" s="6"/>
      <c r="SP520" s="6"/>
      <c r="ST520" s="6"/>
      <c r="SU520" s="6"/>
      <c r="SZ520" s="6"/>
    </row>
    <row r="521" spans="12:520" x14ac:dyDescent="0.3">
      <c r="O521" s="5"/>
      <c r="R521" s="5"/>
      <c r="S521" s="6"/>
      <c r="T521" s="6"/>
      <c r="U521" s="7"/>
      <c r="W521" s="6"/>
      <c r="X521" s="5"/>
      <c r="Z521" s="5"/>
      <c r="AA521" s="6"/>
      <c r="AB521" s="7"/>
      <c r="AG521" s="5"/>
      <c r="AH521" s="6"/>
      <c r="AQ521" s="5"/>
      <c r="AR521" s="5"/>
      <c r="AS521" s="6"/>
      <c r="AT521" s="7"/>
      <c r="AW521" s="5"/>
      <c r="AY521" s="6"/>
      <c r="BC521" s="6"/>
      <c r="BD521" s="6"/>
      <c r="BI521" s="6"/>
      <c r="BT521" s="6"/>
      <c r="BU521" s="6"/>
      <c r="BZ521" s="6"/>
      <c r="CD521" s="6"/>
      <c r="CE521" s="6"/>
      <c r="CJ521" s="6"/>
      <c r="CU521" s="6"/>
      <c r="CV521" s="6"/>
      <c r="DA521" s="6"/>
      <c r="DE521" s="6"/>
      <c r="DF521" s="6"/>
      <c r="DK521" s="6"/>
      <c r="DV521" s="6"/>
      <c r="DW521" s="6"/>
      <c r="EB521" s="6"/>
      <c r="EF521" s="6"/>
      <c r="EG521" s="6"/>
      <c r="EL521" s="6"/>
      <c r="EW521" s="6"/>
      <c r="EX521" s="6"/>
      <c r="FC521" s="6"/>
      <c r="FG521" s="6"/>
      <c r="FH521" s="6"/>
      <c r="FM521" s="6"/>
      <c r="FX521" s="6"/>
      <c r="FY521" s="6"/>
      <c r="GD521" s="6"/>
      <c r="GH521" s="6"/>
      <c r="GI521" s="6"/>
      <c r="GN521" s="6"/>
      <c r="GS521" s="8"/>
      <c r="GT521" s="8"/>
      <c r="GU521" s="8"/>
      <c r="GY521" s="6"/>
      <c r="GZ521" s="6"/>
      <c r="HE521" s="6"/>
      <c r="HI521" s="6"/>
      <c r="HJ521" s="6"/>
      <c r="HO521" s="6"/>
      <c r="HZ521" s="6"/>
      <c r="IA521" s="6"/>
      <c r="IF521" s="6"/>
      <c r="IJ521" s="6"/>
      <c r="IK521" s="6"/>
      <c r="IP521" s="6"/>
      <c r="KB521" s="6"/>
      <c r="KC521" s="6"/>
      <c r="KH521" s="6"/>
      <c r="KL521" s="6"/>
      <c r="KM521" s="6"/>
      <c r="KR521" s="6"/>
      <c r="LC521" s="6"/>
      <c r="LD521" s="6"/>
      <c r="LI521" s="6"/>
      <c r="LM521" s="6"/>
      <c r="LN521" s="6"/>
      <c r="LS521" s="6"/>
      <c r="MD521" s="6"/>
      <c r="ME521" s="6"/>
      <c r="MJ521" s="6"/>
      <c r="MN521" s="6"/>
      <c r="MO521" s="6"/>
      <c r="MT521" s="6"/>
      <c r="PG521" s="6"/>
      <c r="PH521" s="6"/>
      <c r="PM521" s="6"/>
      <c r="PQ521" s="6"/>
      <c r="PR521" s="6"/>
      <c r="PW521" s="6"/>
      <c r="QH521" s="6"/>
      <c r="QI521" s="6"/>
      <c r="QN521" s="6"/>
      <c r="QR521" s="6"/>
      <c r="QS521" s="6"/>
      <c r="QX521" s="6"/>
      <c r="RI521" s="6"/>
      <c r="RJ521" s="6"/>
      <c r="RO521" s="6"/>
      <c r="RS521" s="6"/>
      <c r="RT521" s="6"/>
      <c r="RY521" s="6"/>
      <c r="SJ521" s="6"/>
      <c r="SK521" s="6"/>
      <c r="SP521" s="6"/>
      <c r="ST521" s="6"/>
      <c r="SU521" s="6"/>
      <c r="SZ521" s="6"/>
    </row>
    <row r="522" spans="12:520" x14ac:dyDescent="0.3">
      <c r="O522" s="5"/>
      <c r="R522" s="5"/>
      <c r="S522" s="6"/>
      <c r="T522" s="6"/>
      <c r="U522" s="7"/>
      <c r="W522" s="6"/>
      <c r="X522" s="5"/>
      <c r="Z522" s="5"/>
      <c r="AA522" s="6"/>
      <c r="AB522" s="7"/>
      <c r="AG522" s="5"/>
      <c r="AH522" s="6"/>
      <c r="AQ522" s="5"/>
      <c r="AR522" s="5"/>
      <c r="AS522" s="6"/>
      <c r="AT522" s="7"/>
      <c r="AW522" s="5"/>
      <c r="AY522" s="6"/>
      <c r="BC522" s="6"/>
      <c r="BD522" s="6"/>
      <c r="BI522" s="6"/>
      <c r="BT522" s="6"/>
      <c r="BU522" s="6"/>
      <c r="BZ522" s="6"/>
      <c r="CD522" s="6"/>
      <c r="CE522" s="6"/>
      <c r="CJ522" s="6"/>
      <c r="CU522" s="6"/>
      <c r="CV522" s="6"/>
      <c r="DA522" s="6"/>
      <c r="DE522" s="6"/>
      <c r="DF522" s="6"/>
      <c r="DK522" s="6"/>
      <c r="DV522" s="6"/>
      <c r="DW522" s="6"/>
      <c r="EB522" s="6"/>
      <c r="EF522" s="6"/>
      <c r="EG522" s="6"/>
      <c r="EL522" s="6"/>
      <c r="EW522" s="6"/>
      <c r="EX522" s="6"/>
      <c r="FC522" s="6"/>
      <c r="FG522" s="6"/>
      <c r="FH522" s="6"/>
      <c r="FM522" s="6"/>
      <c r="FX522" s="6"/>
      <c r="FY522" s="6"/>
      <c r="GD522" s="6"/>
      <c r="GH522" s="6"/>
      <c r="GI522" s="6"/>
      <c r="GN522" s="6"/>
      <c r="HZ522" s="6"/>
      <c r="IA522" s="6"/>
      <c r="IF522" s="6"/>
      <c r="IJ522" s="6"/>
      <c r="IK522" s="6"/>
      <c r="IP522" s="6"/>
      <c r="KB522" s="6"/>
      <c r="KC522" s="6"/>
      <c r="KH522" s="6"/>
      <c r="KL522" s="6"/>
      <c r="KM522" s="6"/>
      <c r="KR522" s="6"/>
      <c r="LC522" s="6"/>
      <c r="LD522" s="6"/>
      <c r="LI522" s="6"/>
      <c r="LM522" s="6"/>
      <c r="LN522" s="6"/>
      <c r="LS522" s="6"/>
      <c r="MD522" s="6"/>
      <c r="ME522" s="6"/>
      <c r="MJ522" s="6"/>
      <c r="MN522" s="6"/>
      <c r="MO522" s="6"/>
      <c r="MT522" s="6"/>
      <c r="PG522" s="6"/>
      <c r="PH522" s="6"/>
      <c r="PM522" s="6"/>
      <c r="PQ522" s="6"/>
      <c r="PR522" s="6"/>
      <c r="PW522" s="6"/>
      <c r="QH522" s="6"/>
      <c r="QI522" s="6"/>
      <c r="QN522" s="6"/>
      <c r="QR522" s="6"/>
      <c r="QS522" s="6"/>
      <c r="QX522" s="6"/>
      <c r="RI522" s="6"/>
      <c r="RJ522" s="6"/>
      <c r="RO522" s="6"/>
      <c r="RS522" s="6"/>
      <c r="RT522" s="6"/>
      <c r="RY522" s="6"/>
      <c r="SJ522" s="6"/>
      <c r="SK522" s="6"/>
      <c r="SP522" s="6"/>
      <c r="ST522" s="6"/>
      <c r="SU522" s="6"/>
      <c r="SZ522" s="6"/>
    </row>
    <row r="523" spans="12:520" x14ac:dyDescent="0.3">
      <c r="O523" s="5"/>
      <c r="R523" s="5"/>
      <c r="S523" s="6"/>
      <c r="T523" s="6"/>
      <c r="U523" s="7"/>
      <c r="W523" s="6"/>
      <c r="X523" s="5"/>
      <c r="Z523" s="5"/>
      <c r="AA523" s="6"/>
      <c r="AB523" s="7"/>
      <c r="AG523" s="5"/>
      <c r="AH523" s="6"/>
      <c r="AQ523" s="5"/>
      <c r="AR523" s="5"/>
      <c r="AS523" s="6"/>
      <c r="AT523" s="7"/>
      <c r="AW523" s="5"/>
      <c r="AY523" s="7"/>
      <c r="BC523" s="6"/>
      <c r="BD523" s="6"/>
      <c r="BI523" s="6"/>
      <c r="BT523" s="6"/>
      <c r="BU523" s="6"/>
      <c r="BZ523" s="6"/>
      <c r="CD523" s="6"/>
      <c r="CE523" s="6"/>
      <c r="CJ523" s="6"/>
      <c r="CU523" s="6"/>
      <c r="CV523" s="6"/>
      <c r="DA523" s="6"/>
      <c r="DE523" s="6"/>
      <c r="DF523" s="6"/>
      <c r="DK523" s="6"/>
      <c r="DV523" s="6"/>
      <c r="DW523" s="6"/>
      <c r="EB523" s="6"/>
      <c r="EF523" s="6"/>
      <c r="EG523" s="6"/>
      <c r="EL523" s="6"/>
      <c r="EW523" s="6"/>
      <c r="EX523" s="6"/>
      <c r="FC523" s="6"/>
      <c r="FG523" s="6"/>
      <c r="FH523" s="6"/>
      <c r="FM523" s="6"/>
      <c r="FX523" s="6"/>
      <c r="FY523" s="6"/>
      <c r="GD523" s="6"/>
      <c r="GH523" s="6"/>
      <c r="GI523" s="6"/>
      <c r="GN523" s="6"/>
      <c r="HZ523" s="6"/>
      <c r="IA523" s="6"/>
      <c r="IF523" s="6"/>
      <c r="IJ523" s="6"/>
      <c r="IK523" s="6"/>
      <c r="IP523" s="6"/>
      <c r="KB523" s="6"/>
      <c r="KC523" s="6"/>
      <c r="KH523" s="6"/>
      <c r="KL523" s="6"/>
      <c r="KM523" s="6"/>
      <c r="KR523" s="6"/>
      <c r="LC523" s="6"/>
      <c r="LD523" s="6"/>
      <c r="LI523" s="6"/>
      <c r="LM523" s="6"/>
      <c r="LN523" s="6"/>
      <c r="LS523" s="6"/>
      <c r="MD523" s="6"/>
      <c r="ME523" s="6"/>
      <c r="MJ523" s="6"/>
      <c r="MN523" s="6"/>
      <c r="MO523" s="6"/>
      <c r="MT523" s="6"/>
      <c r="PG523" s="6"/>
      <c r="PH523" s="6"/>
      <c r="PM523" s="6"/>
      <c r="PQ523" s="6"/>
      <c r="PR523" s="6"/>
      <c r="PW523" s="6"/>
      <c r="QH523" s="6"/>
      <c r="QI523" s="6"/>
      <c r="QN523" s="6"/>
      <c r="QR523" s="6"/>
      <c r="QS523" s="6"/>
      <c r="QX523" s="6"/>
      <c r="RI523" s="6"/>
      <c r="RJ523" s="6"/>
      <c r="RO523" s="6"/>
      <c r="RS523" s="6"/>
      <c r="RT523" s="6"/>
      <c r="RY523" s="6"/>
      <c r="SD523" s="8"/>
      <c r="SE523" s="8"/>
      <c r="SF523" s="8"/>
      <c r="SJ523" s="6"/>
      <c r="SK523" s="6"/>
      <c r="SP523" s="6"/>
      <c r="ST523" s="6"/>
      <c r="SU523" s="6"/>
      <c r="SZ523" s="6"/>
    </row>
    <row r="524" spans="12:520" x14ac:dyDescent="0.3">
      <c r="L524" s="8"/>
      <c r="M524" s="8"/>
      <c r="N524" s="8"/>
      <c r="O524" s="5"/>
      <c r="R524" s="5"/>
      <c r="S524" s="6"/>
      <c r="T524" s="6"/>
      <c r="U524" s="7"/>
      <c r="W524" s="6"/>
      <c r="X524" s="5"/>
      <c r="Z524" s="5"/>
      <c r="AA524" s="6"/>
      <c r="AB524" s="7"/>
      <c r="AG524" s="5"/>
      <c r="AH524" s="6"/>
      <c r="AQ524" s="5"/>
      <c r="AR524" s="5"/>
      <c r="AS524" s="6"/>
      <c r="AT524" s="7"/>
      <c r="AW524" s="5"/>
      <c r="AY524" s="6"/>
      <c r="BC524" s="6"/>
      <c r="BD524" s="6"/>
      <c r="BI524" s="6"/>
      <c r="BN524" s="8"/>
      <c r="BO524" s="8"/>
      <c r="BP524" s="8"/>
      <c r="BT524" s="6"/>
      <c r="BU524" s="6"/>
      <c r="BZ524" s="6"/>
      <c r="CD524" s="6"/>
      <c r="CE524" s="6"/>
      <c r="CJ524" s="6"/>
      <c r="CO524" s="8"/>
      <c r="CP524" s="8"/>
      <c r="CQ524" s="8"/>
      <c r="CU524" s="6"/>
      <c r="CV524" s="6"/>
      <c r="DA524" s="6"/>
      <c r="DE524" s="6"/>
      <c r="DF524" s="6"/>
      <c r="DK524" s="6"/>
      <c r="DP524" s="8"/>
      <c r="DQ524" s="8"/>
      <c r="DR524" s="8"/>
      <c r="DV524" s="6"/>
      <c r="DW524" s="6"/>
      <c r="EB524" s="6"/>
      <c r="EF524" s="6"/>
      <c r="EG524" s="6"/>
      <c r="EL524" s="6"/>
      <c r="EQ524" s="8"/>
      <c r="ER524" s="8"/>
      <c r="ES524" s="8"/>
      <c r="EW524" s="6"/>
      <c r="EX524" s="6"/>
      <c r="FC524" s="6"/>
      <c r="FG524" s="6"/>
      <c r="FH524" s="6"/>
      <c r="FM524" s="6"/>
      <c r="FR524" s="8"/>
      <c r="FS524" s="8"/>
      <c r="FT524" s="8"/>
      <c r="FX524" s="6"/>
      <c r="FY524" s="6"/>
      <c r="GD524" s="6"/>
      <c r="GH524" s="6"/>
      <c r="GI524" s="6"/>
      <c r="GN524" s="6"/>
      <c r="HT524" s="8"/>
      <c r="HU524" s="8"/>
      <c r="HV524" s="8"/>
      <c r="HZ524" s="6"/>
      <c r="IA524" s="6"/>
      <c r="IF524" s="6"/>
      <c r="IJ524" s="6"/>
      <c r="IK524" s="6"/>
      <c r="IP524" s="6"/>
      <c r="JV524" s="8"/>
      <c r="JW524" s="8"/>
      <c r="JX524" s="8"/>
      <c r="KB524" s="6"/>
      <c r="KC524" s="6"/>
      <c r="KH524" s="6"/>
      <c r="KL524" s="6"/>
      <c r="KM524" s="6"/>
      <c r="KR524" s="6"/>
      <c r="KW524" s="8"/>
      <c r="KX524" s="8"/>
      <c r="KY524" s="8"/>
      <c r="LC524" s="6"/>
      <c r="LD524" s="6"/>
      <c r="LI524" s="6"/>
      <c r="LM524" s="6"/>
      <c r="LN524" s="6"/>
      <c r="LS524" s="6"/>
      <c r="LX524" s="8"/>
      <c r="LY524" s="8"/>
      <c r="LZ524" s="8"/>
      <c r="MD524" s="6"/>
      <c r="ME524" s="6"/>
      <c r="MJ524" s="6"/>
      <c r="MN524" s="6"/>
      <c r="MO524" s="6"/>
      <c r="MT524" s="6"/>
      <c r="PA524" s="8"/>
      <c r="PB524" s="8"/>
      <c r="PC524" s="8"/>
      <c r="PG524" s="6"/>
      <c r="PH524" s="6"/>
      <c r="PM524" s="6"/>
      <c r="PQ524" s="6"/>
      <c r="PR524" s="6"/>
      <c r="PW524" s="6"/>
      <c r="QB524" s="8"/>
      <c r="QC524" s="8"/>
      <c r="QD524" s="8"/>
      <c r="QH524" s="6"/>
      <c r="QI524" s="6"/>
      <c r="QN524" s="6"/>
      <c r="QR524" s="6"/>
      <c r="QS524" s="6"/>
      <c r="QX524" s="6"/>
      <c r="RC524" s="8"/>
      <c r="RD524" s="8"/>
      <c r="RE524" s="8"/>
      <c r="RI524" s="6"/>
      <c r="RJ524" s="6"/>
      <c r="RO524" s="6"/>
      <c r="RS524" s="6"/>
      <c r="RT524" s="6"/>
      <c r="RY524" s="6"/>
    </row>
    <row r="525" spans="12:520" x14ac:dyDescent="0.3">
      <c r="AQ525" s="5"/>
      <c r="AR525" s="5"/>
      <c r="AS525" s="6"/>
    </row>
    <row r="526" spans="12:520" x14ac:dyDescent="0.3">
      <c r="AQ526" s="5"/>
      <c r="AR526" s="5"/>
      <c r="AS526" s="6"/>
    </row>
    <row r="527" spans="12:520" x14ac:dyDescent="0.3">
      <c r="AQ527" s="5"/>
      <c r="AR527" s="5"/>
      <c r="AS527" s="6"/>
    </row>
    <row r="528" spans="12:520" x14ac:dyDescent="0.3">
      <c r="AM528" s="8"/>
      <c r="AN528" s="8"/>
      <c r="AO528" s="8"/>
      <c r="AQ528" s="5"/>
      <c r="AR528" s="5"/>
      <c r="AS528" s="6"/>
    </row>
    <row r="545" spans="12:520" x14ac:dyDescent="0.3">
      <c r="R545" s="6"/>
      <c r="S545" s="7"/>
      <c r="T545" s="7"/>
      <c r="Z545" s="6"/>
      <c r="AA545" s="7"/>
      <c r="AG545" s="6"/>
      <c r="AX545" s="6"/>
      <c r="BB545" s="6"/>
      <c r="BC545" s="7"/>
      <c r="BH545" s="6"/>
      <c r="BS545" s="6"/>
      <c r="BT545" s="7"/>
      <c r="BY545" s="6"/>
      <c r="CC545" s="6"/>
      <c r="CD545" s="7"/>
      <c r="CI545" s="6"/>
      <c r="CT545" s="6"/>
      <c r="CU545" s="7"/>
      <c r="CZ545" s="6"/>
      <c r="DD545" s="6"/>
      <c r="DE545" s="7"/>
      <c r="DJ545" s="6"/>
      <c r="DU545" s="6"/>
      <c r="DV545" s="7"/>
      <c r="EA545" s="6"/>
      <c r="EE545" s="6"/>
      <c r="EF545" s="7"/>
      <c r="EK545" s="6"/>
      <c r="EV545" s="6"/>
      <c r="EW545" s="7"/>
      <c r="FB545" s="6"/>
      <c r="FF545" s="6"/>
      <c r="FG545" s="7"/>
      <c r="FL545" s="6"/>
      <c r="FW545" s="6"/>
      <c r="FX545" s="7"/>
      <c r="GC545" s="6"/>
      <c r="GG545" s="6"/>
      <c r="GH545" s="7"/>
      <c r="GM545" s="6"/>
      <c r="GX545" s="6"/>
      <c r="GY545" s="7"/>
      <c r="HD545" s="6"/>
      <c r="HH545" s="6"/>
      <c r="HI545" s="7"/>
      <c r="HN545" s="6"/>
      <c r="HY545" s="6"/>
      <c r="HZ545" s="7"/>
      <c r="IE545" s="6"/>
      <c r="II545" s="6"/>
      <c r="IJ545" s="7"/>
      <c r="IO545" s="6"/>
      <c r="IZ545" s="6"/>
      <c r="JA545" s="7"/>
      <c r="JF545" s="6"/>
      <c r="JJ545" s="6"/>
      <c r="JK545" s="7"/>
      <c r="JP545" s="6"/>
      <c r="KA545" s="6"/>
      <c r="KB545" s="7"/>
      <c r="KG545" s="6"/>
      <c r="KK545" s="6"/>
      <c r="KL545" s="7"/>
      <c r="KQ545" s="6"/>
      <c r="LB545" s="6"/>
      <c r="LC545" s="7"/>
      <c r="LH545" s="6"/>
      <c r="LL545" s="6"/>
      <c r="LM545" s="7"/>
      <c r="LR545" s="6"/>
      <c r="MC545" s="6"/>
      <c r="MD545" s="7"/>
      <c r="MI545" s="6"/>
      <c r="MM545" s="6"/>
      <c r="MN545" s="7"/>
      <c r="MS545" s="6"/>
      <c r="ND545" s="6"/>
      <c r="NE545" s="7"/>
      <c r="NJ545" s="6"/>
      <c r="NN545" s="6"/>
      <c r="NO545" s="7"/>
      <c r="NT545" s="6"/>
      <c r="OE545" s="6"/>
      <c r="OF545" s="7"/>
      <c r="OK545" s="6"/>
      <c r="OO545" s="6"/>
      <c r="OP545" s="7"/>
      <c r="OU545" s="6"/>
      <c r="PF545" s="6"/>
      <c r="PG545" s="7"/>
      <c r="PL545" s="6"/>
      <c r="PP545" s="6"/>
      <c r="PQ545" s="7"/>
      <c r="PV545" s="6"/>
      <c r="QG545" s="6"/>
      <c r="QH545" s="7"/>
      <c r="QM545" s="6"/>
      <c r="QQ545" s="6"/>
      <c r="QR545" s="7"/>
      <c r="QW545" s="6"/>
      <c r="RH545" s="6"/>
      <c r="RI545" s="7"/>
      <c r="RN545" s="6"/>
      <c r="RR545" s="6"/>
      <c r="RS545" s="7"/>
      <c r="RX545" s="6"/>
      <c r="SI545" s="6"/>
      <c r="SJ545" s="7"/>
      <c r="SO545" s="6"/>
      <c r="SS545" s="6"/>
      <c r="ST545" s="7"/>
      <c r="SY545" s="6"/>
    </row>
    <row r="546" spans="12:520" x14ac:dyDescent="0.3">
      <c r="S546" s="6"/>
      <c r="T546" s="6"/>
      <c r="U546" s="6"/>
      <c r="W546" s="6"/>
      <c r="AA546" s="6"/>
      <c r="AB546" s="6"/>
      <c r="AH546" s="6"/>
      <c r="AT546" s="6"/>
      <c r="AY546" s="6"/>
      <c r="BC546" s="6"/>
      <c r="BD546" s="6"/>
      <c r="BI546" s="6"/>
      <c r="BT546" s="6"/>
      <c r="BU546" s="6"/>
      <c r="BZ546" s="6"/>
      <c r="CD546" s="6"/>
      <c r="CE546" s="6"/>
      <c r="CJ546" s="6"/>
      <c r="CU546" s="6"/>
      <c r="CV546" s="6"/>
      <c r="DA546" s="6"/>
      <c r="DE546" s="6"/>
      <c r="DF546" s="6"/>
      <c r="DK546" s="6"/>
      <c r="DV546" s="6"/>
      <c r="DW546" s="6"/>
      <c r="EB546" s="6"/>
      <c r="EF546" s="6"/>
      <c r="EG546" s="6"/>
      <c r="EL546" s="6"/>
      <c r="EW546" s="6"/>
      <c r="EX546" s="6"/>
      <c r="FC546" s="6"/>
      <c r="FG546" s="6"/>
      <c r="FH546" s="6"/>
      <c r="FM546" s="6"/>
      <c r="FX546" s="6"/>
      <c r="FY546" s="6"/>
      <c r="GD546" s="6"/>
      <c r="GH546" s="6"/>
      <c r="GI546" s="6"/>
      <c r="GN546" s="6"/>
      <c r="GY546" s="6"/>
      <c r="GZ546" s="6"/>
      <c r="HE546" s="6"/>
      <c r="HI546" s="6"/>
      <c r="HJ546" s="6"/>
      <c r="HO546" s="6"/>
      <c r="HZ546" s="6"/>
      <c r="IA546" s="6"/>
      <c r="IF546" s="6"/>
      <c r="IJ546" s="6"/>
      <c r="IK546" s="6"/>
      <c r="IP546" s="6"/>
      <c r="JA546" s="6"/>
      <c r="JB546" s="6"/>
      <c r="JG546" s="6"/>
      <c r="JK546" s="6"/>
      <c r="JL546" s="6"/>
      <c r="JQ546" s="6"/>
      <c r="KB546" s="6"/>
      <c r="KC546" s="6"/>
      <c r="KH546" s="6"/>
      <c r="KL546" s="6"/>
      <c r="KM546" s="6"/>
      <c r="KR546" s="6"/>
      <c r="LC546" s="6"/>
      <c r="LD546" s="6"/>
      <c r="LI546" s="6"/>
      <c r="LM546" s="6"/>
      <c r="LN546" s="6"/>
      <c r="LS546" s="6"/>
      <c r="MD546" s="6"/>
      <c r="ME546" s="6"/>
      <c r="MJ546" s="6"/>
      <c r="MN546" s="6"/>
      <c r="MO546" s="6"/>
      <c r="MT546" s="6"/>
      <c r="NE546" s="6"/>
      <c r="NF546" s="6"/>
      <c r="NK546" s="6"/>
      <c r="NO546" s="6"/>
      <c r="NP546" s="6"/>
      <c r="NU546" s="6"/>
      <c r="OF546" s="6"/>
      <c r="OG546" s="6"/>
      <c r="OL546" s="6"/>
      <c r="OP546" s="6"/>
      <c r="OQ546" s="6"/>
      <c r="OV546" s="6"/>
      <c r="PG546" s="6"/>
      <c r="PH546" s="6"/>
      <c r="PM546" s="6"/>
      <c r="PQ546" s="6"/>
      <c r="PR546" s="6"/>
      <c r="PW546" s="6"/>
      <c r="QH546" s="6"/>
      <c r="QI546" s="6"/>
      <c r="QN546" s="6"/>
      <c r="QR546" s="6"/>
      <c r="QS546" s="6"/>
      <c r="QX546" s="6"/>
      <c r="RC546" s="8"/>
      <c r="RD546" s="8"/>
      <c r="RE546" s="8"/>
      <c r="RI546" s="6"/>
      <c r="RJ546" s="6"/>
      <c r="RO546" s="6"/>
      <c r="RS546" s="6"/>
      <c r="RT546" s="6"/>
      <c r="RY546" s="6"/>
      <c r="SJ546" s="6"/>
      <c r="SK546" s="6"/>
      <c r="SP546" s="6"/>
      <c r="ST546" s="6"/>
      <c r="SU546" s="6"/>
      <c r="SZ546" s="6"/>
    </row>
    <row r="547" spans="12:520" x14ac:dyDescent="0.3">
      <c r="S547" s="6"/>
      <c r="T547" s="6"/>
      <c r="U547" s="6"/>
      <c r="W547" s="6"/>
      <c r="AA547" s="6"/>
      <c r="AB547" s="6"/>
      <c r="AH547" s="6"/>
      <c r="AT547" s="6"/>
      <c r="AY547" s="6"/>
      <c r="BC547" s="6"/>
      <c r="BD547" s="6"/>
      <c r="BI547" s="6"/>
      <c r="BT547" s="6"/>
      <c r="BU547" s="6"/>
      <c r="BZ547" s="6"/>
      <c r="CD547" s="6"/>
      <c r="CE547" s="6"/>
      <c r="CJ547" s="6"/>
      <c r="CU547" s="6"/>
      <c r="CV547" s="6"/>
      <c r="DA547" s="6"/>
      <c r="DE547" s="6"/>
      <c r="DF547" s="6"/>
      <c r="DK547" s="6"/>
      <c r="DV547" s="6"/>
      <c r="DW547" s="6"/>
      <c r="EB547" s="6"/>
      <c r="EF547" s="6"/>
      <c r="EG547" s="6"/>
      <c r="EL547" s="6"/>
      <c r="EW547" s="6"/>
      <c r="EX547" s="6"/>
      <c r="FC547" s="6"/>
      <c r="FG547" s="6"/>
      <c r="FH547" s="6"/>
      <c r="FM547" s="6"/>
      <c r="FX547" s="6"/>
      <c r="FY547" s="6"/>
      <c r="GD547" s="6"/>
      <c r="GH547" s="6"/>
      <c r="GI547" s="6"/>
      <c r="GN547" s="6"/>
      <c r="GY547" s="6"/>
      <c r="GZ547" s="6"/>
      <c r="HE547" s="6"/>
      <c r="HI547" s="6"/>
      <c r="HJ547" s="6"/>
      <c r="HO547" s="6"/>
      <c r="HZ547" s="6"/>
      <c r="IA547" s="6"/>
      <c r="IF547" s="6"/>
      <c r="IJ547" s="6"/>
      <c r="IK547" s="6"/>
      <c r="IP547" s="6"/>
      <c r="JA547" s="6"/>
      <c r="JB547" s="6"/>
      <c r="JG547" s="6"/>
      <c r="JK547" s="6"/>
      <c r="JL547" s="6"/>
      <c r="JQ547" s="6"/>
      <c r="KB547" s="6"/>
      <c r="KC547" s="6"/>
      <c r="KH547" s="6"/>
      <c r="KL547" s="6"/>
      <c r="KM547" s="6"/>
      <c r="KR547" s="6"/>
      <c r="LC547" s="6"/>
      <c r="LD547" s="6"/>
      <c r="LI547" s="6"/>
      <c r="LM547" s="6"/>
      <c r="LN547" s="6"/>
      <c r="LS547" s="6"/>
      <c r="MD547" s="6"/>
      <c r="ME547" s="6"/>
      <c r="MJ547" s="6"/>
      <c r="MN547" s="6"/>
      <c r="MO547" s="6"/>
      <c r="MT547" s="6"/>
      <c r="NE547" s="6"/>
      <c r="NF547" s="6"/>
      <c r="NK547" s="6"/>
      <c r="NO547" s="6"/>
      <c r="NP547" s="6"/>
      <c r="NU547" s="6"/>
      <c r="OF547" s="6"/>
      <c r="OG547" s="6"/>
      <c r="OL547" s="6"/>
      <c r="OP547" s="6"/>
      <c r="OQ547" s="6"/>
      <c r="OV547" s="6"/>
      <c r="PG547" s="6"/>
      <c r="PH547" s="6"/>
      <c r="PM547" s="6"/>
      <c r="PQ547" s="6"/>
      <c r="PR547" s="6"/>
      <c r="PW547" s="6"/>
      <c r="QH547" s="6"/>
      <c r="QI547" s="6"/>
      <c r="QN547" s="6"/>
      <c r="QR547" s="6"/>
      <c r="QS547" s="6"/>
      <c r="QX547" s="6"/>
      <c r="SJ547" s="6"/>
      <c r="SK547" s="6"/>
      <c r="SP547" s="6"/>
      <c r="ST547" s="6"/>
      <c r="SU547" s="6"/>
      <c r="SZ547" s="6"/>
    </row>
    <row r="548" spans="12:520" x14ac:dyDescent="0.3">
      <c r="S548" s="6"/>
      <c r="T548" s="6"/>
      <c r="U548" s="6"/>
      <c r="W548" s="6"/>
      <c r="AA548" s="6"/>
      <c r="AB548" s="6"/>
      <c r="AH548" s="6"/>
      <c r="AT548" s="6"/>
      <c r="AY548" s="6"/>
      <c r="BC548" s="6"/>
      <c r="BD548" s="6"/>
      <c r="BI548" s="6"/>
      <c r="BT548" s="6"/>
      <c r="BU548" s="6"/>
      <c r="BZ548" s="6"/>
      <c r="CD548" s="6"/>
      <c r="CE548" s="6"/>
      <c r="CJ548" s="6"/>
      <c r="CU548" s="6"/>
      <c r="CV548" s="6"/>
      <c r="DA548" s="6"/>
      <c r="DE548" s="6"/>
      <c r="DF548" s="6"/>
      <c r="DK548" s="6"/>
      <c r="DV548" s="6"/>
      <c r="DW548" s="6"/>
      <c r="EB548" s="6"/>
      <c r="EF548" s="6"/>
      <c r="EG548" s="6"/>
      <c r="EL548" s="6"/>
      <c r="EW548" s="6"/>
      <c r="EX548" s="6"/>
      <c r="FC548" s="6"/>
      <c r="FG548" s="6"/>
      <c r="FH548" s="6"/>
      <c r="FM548" s="6"/>
      <c r="FX548" s="6"/>
      <c r="FY548" s="6"/>
      <c r="GD548" s="6"/>
      <c r="GH548" s="6"/>
      <c r="GI548" s="6"/>
      <c r="GN548" s="6"/>
      <c r="GY548" s="6"/>
      <c r="GZ548" s="6"/>
      <c r="HE548" s="6"/>
      <c r="HI548" s="6"/>
      <c r="HJ548" s="6"/>
      <c r="HO548" s="6"/>
      <c r="HZ548" s="6"/>
      <c r="IA548" s="6"/>
      <c r="IF548" s="6"/>
      <c r="IJ548" s="6"/>
      <c r="IK548" s="6"/>
      <c r="IP548" s="6"/>
      <c r="JA548" s="6"/>
      <c r="JB548" s="6"/>
      <c r="JG548" s="6"/>
      <c r="JK548" s="6"/>
      <c r="JL548" s="6"/>
      <c r="JQ548" s="6"/>
      <c r="KB548" s="6"/>
      <c r="KC548" s="6"/>
      <c r="KH548" s="6"/>
      <c r="KL548" s="6"/>
      <c r="KM548" s="6"/>
      <c r="KR548" s="6"/>
      <c r="LC548" s="6"/>
      <c r="LD548" s="6"/>
      <c r="LI548" s="6"/>
      <c r="LM548" s="6"/>
      <c r="LN548" s="6"/>
      <c r="LS548" s="6"/>
      <c r="MD548" s="6"/>
      <c r="ME548" s="6"/>
      <c r="MJ548" s="6"/>
      <c r="MN548" s="6"/>
      <c r="MO548" s="6"/>
      <c r="MT548" s="6"/>
      <c r="NE548" s="6"/>
      <c r="NF548" s="6"/>
      <c r="NK548" s="6"/>
      <c r="NO548" s="6"/>
      <c r="NP548" s="6"/>
      <c r="NU548" s="6"/>
      <c r="OF548" s="6"/>
      <c r="OG548" s="6"/>
      <c r="OL548" s="6"/>
      <c r="OP548" s="6"/>
      <c r="OQ548" s="6"/>
      <c r="OV548" s="6"/>
      <c r="PG548" s="6"/>
      <c r="PH548" s="6"/>
      <c r="PM548" s="6"/>
      <c r="PQ548" s="6"/>
      <c r="PR548" s="6"/>
      <c r="PW548" s="6"/>
      <c r="QH548" s="6"/>
      <c r="QI548" s="6"/>
      <c r="QN548" s="6"/>
      <c r="QR548" s="6"/>
      <c r="QS548" s="6"/>
      <c r="QX548" s="6"/>
      <c r="SJ548" s="6"/>
      <c r="SK548" s="6"/>
      <c r="SP548" s="6"/>
      <c r="ST548" s="6"/>
      <c r="SU548" s="6"/>
      <c r="SZ548" s="6"/>
    </row>
    <row r="549" spans="12:520" x14ac:dyDescent="0.3">
      <c r="S549" s="6"/>
      <c r="T549" s="6"/>
      <c r="U549" s="6"/>
      <c r="W549" s="6"/>
      <c r="AA549" s="6"/>
      <c r="AB549" s="6"/>
      <c r="AH549" s="6"/>
      <c r="AR549" s="6"/>
      <c r="AS549" s="7"/>
      <c r="BT549" s="6"/>
      <c r="BU549" s="6"/>
      <c r="BZ549" s="6"/>
      <c r="CD549" s="6"/>
      <c r="CE549" s="6"/>
      <c r="CJ549" s="6"/>
      <c r="CU549" s="6"/>
      <c r="CV549" s="6"/>
      <c r="DA549" s="6"/>
      <c r="DE549" s="6"/>
      <c r="DF549" s="6"/>
      <c r="DK549" s="6"/>
      <c r="DV549" s="6"/>
      <c r="DW549" s="6"/>
      <c r="EB549" s="6"/>
      <c r="EF549" s="6"/>
      <c r="EG549" s="6"/>
      <c r="EL549" s="6"/>
      <c r="EW549" s="6"/>
      <c r="EX549" s="6"/>
      <c r="FC549" s="6"/>
      <c r="FG549" s="6"/>
      <c r="FH549" s="6"/>
      <c r="FM549" s="6"/>
      <c r="FX549" s="6"/>
      <c r="FY549" s="6"/>
      <c r="GD549" s="6"/>
      <c r="GH549" s="6"/>
      <c r="GI549" s="6"/>
      <c r="GN549" s="6"/>
      <c r="GY549" s="6"/>
      <c r="GZ549" s="6"/>
      <c r="HE549" s="6"/>
      <c r="HI549" s="6"/>
      <c r="HJ549" s="6"/>
      <c r="HO549" s="6"/>
      <c r="HZ549" s="6"/>
      <c r="IA549" s="6"/>
      <c r="IF549" s="6"/>
      <c r="IJ549" s="6"/>
      <c r="IK549" s="6"/>
      <c r="IP549" s="6"/>
      <c r="JA549" s="6"/>
      <c r="JB549" s="6"/>
      <c r="JG549" s="6"/>
      <c r="JK549" s="6"/>
      <c r="JL549" s="6"/>
      <c r="JQ549" s="6"/>
      <c r="KB549" s="6"/>
      <c r="KC549" s="6"/>
      <c r="KH549" s="6"/>
      <c r="KL549" s="6"/>
      <c r="KM549" s="6"/>
      <c r="KR549" s="6"/>
      <c r="LC549" s="6"/>
      <c r="LD549" s="6"/>
      <c r="LI549" s="6"/>
      <c r="LM549" s="6"/>
      <c r="LN549" s="6"/>
      <c r="LS549" s="6"/>
      <c r="MD549" s="6"/>
      <c r="ME549" s="6"/>
      <c r="MJ549" s="6"/>
      <c r="MN549" s="6"/>
      <c r="MO549" s="6"/>
      <c r="MT549" s="6"/>
      <c r="NE549" s="6"/>
      <c r="NF549" s="6"/>
      <c r="NK549" s="6"/>
      <c r="NO549" s="6"/>
      <c r="NP549" s="6"/>
      <c r="NU549" s="6"/>
      <c r="OF549" s="6"/>
      <c r="OG549" s="6"/>
      <c r="OL549" s="6"/>
      <c r="OP549" s="6"/>
      <c r="OQ549" s="6"/>
      <c r="OV549" s="6"/>
      <c r="PG549" s="6"/>
      <c r="PH549" s="6"/>
      <c r="PM549" s="6"/>
      <c r="PQ549" s="6"/>
      <c r="PR549" s="6"/>
      <c r="PW549" s="6"/>
      <c r="QH549" s="6"/>
      <c r="QI549" s="6"/>
      <c r="QN549" s="6"/>
      <c r="QR549" s="6"/>
      <c r="QS549" s="6"/>
      <c r="QX549" s="6"/>
      <c r="SJ549" s="6"/>
      <c r="SK549" s="6"/>
      <c r="SP549" s="6"/>
      <c r="ST549" s="6"/>
      <c r="SU549" s="6"/>
      <c r="SZ549" s="6"/>
    </row>
    <row r="550" spans="12:520" x14ac:dyDescent="0.3">
      <c r="S550" s="6"/>
      <c r="T550" s="6"/>
      <c r="U550" s="6"/>
      <c r="W550" s="6"/>
      <c r="AA550" s="6"/>
      <c r="AB550" s="6"/>
      <c r="AH550" s="6"/>
      <c r="AS550" s="6"/>
      <c r="BT550" s="6"/>
      <c r="BU550" s="6"/>
      <c r="BZ550" s="6"/>
      <c r="CD550" s="6"/>
      <c r="CE550" s="6"/>
      <c r="CJ550" s="6"/>
      <c r="CU550" s="6"/>
      <c r="CV550" s="6"/>
      <c r="DA550" s="6"/>
      <c r="DE550" s="6"/>
      <c r="DF550" s="6"/>
      <c r="DK550" s="6"/>
      <c r="DV550" s="6"/>
      <c r="DW550" s="6"/>
      <c r="EB550" s="6"/>
      <c r="EF550" s="6"/>
      <c r="EG550" s="6"/>
      <c r="EL550" s="6"/>
      <c r="EW550" s="6"/>
      <c r="EX550" s="6"/>
      <c r="FC550" s="6"/>
      <c r="FG550" s="6"/>
      <c r="FH550" s="6"/>
      <c r="FM550" s="6"/>
      <c r="FX550" s="6"/>
      <c r="FY550" s="6"/>
      <c r="GD550" s="6"/>
      <c r="GH550" s="6"/>
      <c r="GI550" s="6"/>
      <c r="GN550" s="6"/>
      <c r="GY550" s="6"/>
      <c r="GZ550" s="6"/>
      <c r="HE550" s="6"/>
      <c r="HI550" s="6"/>
      <c r="HJ550" s="6"/>
      <c r="HO550" s="6"/>
      <c r="HZ550" s="6"/>
      <c r="IA550" s="6"/>
      <c r="IF550" s="6"/>
      <c r="IJ550" s="6"/>
      <c r="IK550" s="6"/>
      <c r="IP550" s="6"/>
      <c r="JA550" s="6"/>
      <c r="JB550" s="6"/>
      <c r="JG550" s="6"/>
      <c r="JK550" s="6"/>
      <c r="JL550" s="6"/>
      <c r="JQ550" s="6"/>
      <c r="KB550" s="6"/>
      <c r="KC550" s="6"/>
      <c r="KH550" s="6"/>
      <c r="KL550" s="6"/>
      <c r="KM550" s="6"/>
      <c r="KR550" s="6"/>
      <c r="KW550" s="8"/>
      <c r="KX550" s="8"/>
      <c r="KY550" s="8"/>
      <c r="LC550" s="6"/>
      <c r="LD550" s="6"/>
      <c r="LI550" s="6"/>
      <c r="LM550" s="6"/>
      <c r="LN550" s="6"/>
      <c r="LS550" s="6"/>
      <c r="MD550" s="6"/>
      <c r="ME550" s="6"/>
      <c r="MJ550" s="6"/>
      <c r="MN550" s="6"/>
      <c r="MO550" s="6"/>
      <c r="MT550" s="6"/>
      <c r="NE550" s="6"/>
      <c r="NF550" s="6"/>
      <c r="NK550" s="6"/>
      <c r="NO550" s="6"/>
      <c r="NP550" s="6"/>
      <c r="NU550" s="6"/>
      <c r="OF550" s="6"/>
      <c r="OG550" s="6"/>
      <c r="OL550" s="6"/>
      <c r="OP550" s="6"/>
      <c r="OQ550" s="6"/>
      <c r="OV550" s="6"/>
      <c r="PG550" s="6"/>
      <c r="PH550" s="6"/>
      <c r="PM550" s="6"/>
      <c r="PQ550" s="6"/>
      <c r="PR550" s="6"/>
      <c r="PW550" s="6"/>
      <c r="QH550" s="6"/>
      <c r="QI550" s="6"/>
      <c r="QN550" s="6"/>
      <c r="QR550" s="6"/>
      <c r="QS550" s="6"/>
      <c r="QX550" s="6"/>
      <c r="SJ550" s="6"/>
      <c r="SK550" s="6"/>
      <c r="SP550" s="6"/>
      <c r="ST550" s="6"/>
      <c r="SU550" s="6"/>
      <c r="SZ550" s="6"/>
    </row>
    <row r="551" spans="12:520" x14ac:dyDescent="0.3">
      <c r="S551" s="6"/>
      <c r="T551" s="6"/>
      <c r="U551" s="6"/>
      <c r="W551" s="6"/>
      <c r="AA551" s="6"/>
      <c r="AB551" s="6"/>
      <c r="AH551" s="6"/>
      <c r="AS551" s="6"/>
      <c r="BT551" s="6"/>
      <c r="BU551" s="6"/>
      <c r="BZ551" s="6"/>
      <c r="CD551" s="6"/>
      <c r="CE551" s="6"/>
      <c r="CJ551" s="6"/>
      <c r="CU551" s="6"/>
      <c r="CV551" s="6"/>
      <c r="DA551" s="6"/>
      <c r="DE551" s="6"/>
      <c r="DF551" s="6"/>
      <c r="DK551" s="6"/>
      <c r="DV551" s="6"/>
      <c r="DW551" s="6"/>
      <c r="EB551" s="6"/>
      <c r="EF551" s="6"/>
      <c r="EG551" s="6"/>
      <c r="EL551" s="6"/>
      <c r="EW551" s="6"/>
      <c r="EX551" s="6"/>
      <c r="FC551" s="6"/>
      <c r="FG551" s="6"/>
      <c r="FH551" s="6"/>
      <c r="FM551" s="6"/>
      <c r="FX551" s="6"/>
      <c r="FY551" s="6"/>
      <c r="GD551" s="6"/>
      <c r="GH551" s="6"/>
      <c r="GI551" s="6"/>
      <c r="GN551" s="6"/>
      <c r="GY551" s="6"/>
      <c r="GZ551" s="6"/>
      <c r="HE551" s="6"/>
      <c r="HI551" s="6"/>
      <c r="HJ551" s="6"/>
      <c r="HO551" s="6"/>
      <c r="HZ551" s="6"/>
      <c r="IA551" s="6"/>
      <c r="IF551" s="6"/>
      <c r="IJ551" s="6"/>
      <c r="IK551" s="6"/>
      <c r="IP551" s="6"/>
      <c r="JA551" s="6"/>
      <c r="JB551" s="6"/>
      <c r="JG551" s="6"/>
      <c r="JK551" s="6"/>
      <c r="JL551" s="6"/>
      <c r="JQ551" s="6"/>
      <c r="KB551" s="6"/>
      <c r="KC551" s="6"/>
      <c r="KH551" s="6"/>
      <c r="KL551" s="6"/>
      <c r="KM551" s="6"/>
      <c r="KR551" s="6"/>
      <c r="MD551" s="6"/>
      <c r="ME551" s="6"/>
      <c r="MJ551" s="6"/>
      <c r="MN551" s="6"/>
      <c r="MO551" s="6"/>
      <c r="MT551" s="6"/>
      <c r="NE551" s="6"/>
      <c r="NF551" s="6"/>
      <c r="NK551" s="6"/>
      <c r="NO551" s="6"/>
      <c r="NP551" s="6"/>
      <c r="NU551" s="6"/>
      <c r="OF551" s="6"/>
      <c r="OG551" s="6"/>
      <c r="OL551" s="6"/>
      <c r="OP551" s="6"/>
      <c r="OQ551" s="6"/>
      <c r="OV551" s="6"/>
      <c r="PG551" s="6"/>
      <c r="PH551" s="6"/>
      <c r="PM551" s="6"/>
      <c r="PQ551" s="6"/>
      <c r="PR551" s="6"/>
      <c r="PW551" s="6"/>
      <c r="QH551" s="6"/>
      <c r="QI551" s="6"/>
      <c r="QN551" s="6"/>
      <c r="QR551" s="6"/>
      <c r="QS551" s="6"/>
      <c r="QX551" s="6"/>
      <c r="SJ551" s="6"/>
      <c r="SK551" s="6"/>
      <c r="SP551" s="6"/>
      <c r="ST551" s="6"/>
      <c r="SU551" s="6"/>
      <c r="SZ551" s="6"/>
    </row>
    <row r="552" spans="12:520" x14ac:dyDescent="0.3">
      <c r="S552" s="6"/>
      <c r="T552" s="6"/>
      <c r="U552" s="6"/>
      <c r="W552" s="6"/>
      <c r="AA552" s="6"/>
      <c r="AB552" s="6"/>
      <c r="AH552" s="6"/>
      <c r="AM552" s="8"/>
      <c r="AN552" s="8"/>
      <c r="AO552" s="8"/>
      <c r="AS552" s="6"/>
      <c r="BT552" s="6"/>
      <c r="BU552" s="6"/>
      <c r="BZ552" s="6"/>
      <c r="CD552" s="6"/>
      <c r="CE552" s="6"/>
      <c r="CJ552" s="6"/>
      <c r="CU552" s="6"/>
      <c r="CV552" s="6"/>
      <c r="DA552" s="6"/>
      <c r="DE552" s="6"/>
      <c r="DF552" s="6"/>
      <c r="DK552" s="6"/>
      <c r="DV552" s="6"/>
      <c r="DW552" s="6"/>
      <c r="EB552" s="6"/>
      <c r="EF552" s="6"/>
      <c r="EG552" s="6"/>
      <c r="EL552" s="6"/>
      <c r="EW552" s="6"/>
      <c r="EX552" s="6"/>
      <c r="FC552" s="6"/>
      <c r="FG552" s="6"/>
      <c r="FH552" s="6"/>
      <c r="FM552" s="6"/>
      <c r="FX552" s="6"/>
      <c r="FY552" s="6"/>
      <c r="GD552" s="6"/>
      <c r="GH552" s="6"/>
      <c r="GI552" s="6"/>
      <c r="GN552" s="6"/>
      <c r="GY552" s="6"/>
      <c r="GZ552" s="6"/>
      <c r="HE552" s="6"/>
      <c r="HI552" s="6"/>
      <c r="HJ552" s="6"/>
      <c r="HO552" s="6"/>
      <c r="HZ552" s="6"/>
      <c r="IA552" s="6"/>
      <c r="IF552" s="6"/>
      <c r="IJ552" s="6"/>
      <c r="IK552" s="6"/>
      <c r="IP552" s="6"/>
      <c r="JA552" s="6"/>
      <c r="JB552" s="6"/>
      <c r="JG552" s="6"/>
      <c r="JK552" s="6"/>
      <c r="JL552" s="6"/>
      <c r="JQ552" s="6"/>
      <c r="KB552" s="6"/>
      <c r="KC552" s="6"/>
      <c r="KH552" s="6"/>
      <c r="KL552" s="6"/>
      <c r="KM552" s="6"/>
      <c r="KR552" s="6"/>
      <c r="MD552" s="6"/>
      <c r="ME552" s="6"/>
      <c r="MJ552" s="6"/>
      <c r="MN552" s="6"/>
      <c r="MO552" s="6"/>
      <c r="MT552" s="6"/>
      <c r="NE552" s="6"/>
      <c r="NF552" s="6"/>
      <c r="NK552" s="6"/>
      <c r="NO552" s="6"/>
      <c r="NP552" s="6"/>
      <c r="NU552" s="6"/>
      <c r="OF552" s="6"/>
      <c r="OG552" s="6"/>
      <c r="OL552" s="6"/>
      <c r="OP552" s="6"/>
      <c r="OQ552" s="6"/>
      <c r="OV552" s="6"/>
      <c r="PA552" s="8"/>
      <c r="PB552" s="8"/>
      <c r="PC552" s="8"/>
      <c r="PG552" s="6"/>
      <c r="PH552" s="6"/>
      <c r="PM552" s="6"/>
      <c r="PQ552" s="6"/>
      <c r="PR552" s="6"/>
      <c r="PW552" s="6"/>
      <c r="QH552" s="6"/>
      <c r="QI552" s="6"/>
      <c r="QN552" s="6"/>
      <c r="QR552" s="6"/>
      <c r="QS552" s="6"/>
      <c r="QX552" s="6"/>
      <c r="SJ552" s="6"/>
      <c r="SK552" s="6"/>
      <c r="SP552" s="6"/>
      <c r="ST552" s="6"/>
      <c r="SU552" s="6"/>
      <c r="SZ552" s="6"/>
    </row>
    <row r="553" spans="12:520" x14ac:dyDescent="0.3">
      <c r="S553" s="6"/>
      <c r="T553" s="6"/>
      <c r="U553" s="6"/>
      <c r="W553" s="6"/>
      <c r="AA553" s="6"/>
      <c r="AB553" s="6"/>
      <c r="AH553" s="6"/>
      <c r="BT553" s="6"/>
      <c r="BU553" s="6"/>
      <c r="BZ553" s="6"/>
      <c r="CD553" s="6"/>
      <c r="CE553" s="6"/>
      <c r="CJ553" s="6"/>
      <c r="CU553" s="6"/>
      <c r="CV553" s="6"/>
      <c r="DA553" s="6"/>
      <c r="DE553" s="6"/>
      <c r="DF553" s="6"/>
      <c r="DK553" s="6"/>
      <c r="DV553" s="6"/>
      <c r="DW553" s="6"/>
      <c r="EB553" s="6"/>
      <c r="EF553" s="6"/>
      <c r="EG553" s="6"/>
      <c r="EL553" s="6"/>
      <c r="EW553" s="6"/>
      <c r="EX553" s="6"/>
      <c r="FC553" s="6"/>
      <c r="FG553" s="6"/>
      <c r="FH553" s="6"/>
      <c r="FM553" s="6"/>
      <c r="FX553" s="6"/>
      <c r="FY553" s="6"/>
      <c r="GD553" s="6"/>
      <c r="GH553" s="6"/>
      <c r="GI553" s="6"/>
      <c r="GN553" s="6"/>
      <c r="GY553" s="6"/>
      <c r="GZ553" s="6"/>
      <c r="HE553" s="6"/>
      <c r="HI553" s="6"/>
      <c r="HJ553" s="6"/>
      <c r="HO553" s="6"/>
      <c r="HZ553" s="6"/>
      <c r="IA553" s="6"/>
      <c r="IF553" s="6"/>
      <c r="IJ553" s="6"/>
      <c r="IK553" s="6"/>
      <c r="IP553" s="6"/>
      <c r="JA553" s="6"/>
      <c r="JB553" s="6"/>
      <c r="JG553" s="6"/>
      <c r="JK553" s="6"/>
      <c r="JL553" s="6"/>
      <c r="JQ553" s="6"/>
      <c r="KB553" s="6"/>
      <c r="KC553" s="6"/>
      <c r="KH553" s="6"/>
      <c r="KL553" s="6"/>
      <c r="KM553" s="6"/>
      <c r="KR553" s="6"/>
      <c r="MD553" s="6"/>
      <c r="ME553" s="6"/>
      <c r="MJ553" s="6"/>
      <c r="MN553" s="6"/>
      <c r="MO553" s="6"/>
      <c r="MT553" s="6"/>
      <c r="NE553" s="6"/>
      <c r="NF553" s="6"/>
      <c r="NK553" s="6"/>
      <c r="NO553" s="6"/>
      <c r="NP553" s="6"/>
      <c r="NU553" s="6"/>
      <c r="OF553" s="6"/>
      <c r="OG553" s="6"/>
      <c r="OL553" s="6"/>
      <c r="OP553" s="6"/>
      <c r="OQ553" s="6"/>
      <c r="OV553" s="6"/>
      <c r="QH553" s="6"/>
      <c r="QI553" s="6"/>
      <c r="QN553" s="6"/>
      <c r="QR553" s="6"/>
      <c r="QS553" s="6"/>
      <c r="QX553" s="6"/>
      <c r="SJ553" s="6"/>
      <c r="SK553" s="6"/>
      <c r="SP553" s="6"/>
      <c r="ST553" s="6"/>
      <c r="SU553" s="6"/>
      <c r="SZ553" s="6"/>
    </row>
    <row r="554" spans="12:520" x14ac:dyDescent="0.3">
      <c r="S554" s="6"/>
      <c r="T554" s="6"/>
      <c r="U554" s="6"/>
      <c r="W554" s="6"/>
      <c r="AA554" s="6"/>
      <c r="AB554" s="6"/>
      <c r="AH554" s="6"/>
      <c r="BT554" s="6"/>
      <c r="BU554" s="6"/>
      <c r="BZ554" s="6"/>
      <c r="CD554" s="6"/>
      <c r="CE554" s="6"/>
      <c r="CJ554" s="6"/>
      <c r="CU554" s="6"/>
      <c r="CV554" s="6"/>
      <c r="DA554" s="6"/>
      <c r="DE554" s="6"/>
      <c r="DF554" s="6"/>
      <c r="DK554" s="6"/>
      <c r="DV554" s="6"/>
      <c r="DW554" s="6"/>
      <c r="EB554" s="6"/>
      <c r="EF554" s="6"/>
      <c r="EG554" s="6"/>
      <c r="EL554" s="6"/>
      <c r="EW554" s="6"/>
      <c r="EX554" s="6"/>
      <c r="FC554" s="6"/>
      <c r="FG554" s="6"/>
      <c r="FH554" s="6"/>
      <c r="FM554" s="6"/>
      <c r="FX554" s="6"/>
      <c r="FY554" s="6"/>
      <c r="GD554" s="6"/>
      <c r="GH554" s="6"/>
      <c r="GI554" s="6"/>
      <c r="GN554" s="6"/>
      <c r="GY554" s="6"/>
      <c r="GZ554" s="6"/>
      <c r="HE554" s="6"/>
      <c r="HI554" s="6"/>
      <c r="HJ554" s="6"/>
      <c r="HO554" s="6"/>
      <c r="HZ554" s="6"/>
      <c r="IA554" s="6"/>
      <c r="IF554" s="6"/>
      <c r="IJ554" s="6"/>
      <c r="IK554" s="6"/>
      <c r="IP554" s="6"/>
      <c r="JA554" s="6"/>
      <c r="JB554" s="6"/>
      <c r="JG554" s="6"/>
      <c r="JK554" s="6"/>
      <c r="JL554" s="6"/>
      <c r="JQ554" s="6"/>
      <c r="KB554" s="6"/>
      <c r="KC554" s="6"/>
      <c r="KH554" s="6"/>
      <c r="KL554" s="6"/>
      <c r="KM554" s="6"/>
      <c r="KR554" s="6"/>
      <c r="MD554" s="6"/>
      <c r="ME554" s="6"/>
      <c r="MJ554" s="6"/>
      <c r="MN554" s="6"/>
      <c r="MO554" s="6"/>
      <c r="MT554" s="6"/>
      <c r="NE554" s="6"/>
      <c r="NF554" s="6"/>
      <c r="NK554" s="6"/>
      <c r="NO554" s="6"/>
      <c r="NP554" s="6"/>
      <c r="NU554" s="6"/>
      <c r="OF554" s="6"/>
      <c r="OG554" s="6"/>
      <c r="OL554" s="6"/>
      <c r="OP554" s="6"/>
      <c r="OQ554" s="6"/>
      <c r="OV554" s="6"/>
      <c r="QH554" s="6"/>
      <c r="QI554" s="6"/>
      <c r="QN554" s="6"/>
      <c r="QR554" s="6"/>
      <c r="QS554" s="6"/>
      <c r="QX554" s="6"/>
      <c r="SJ554" s="6"/>
      <c r="SK554" s="6"/>
      <c r="SP554" s="6"/>
      <c r="ST554" s="6"/>
      <c r="SU554" s="6"/>
      <c r="SZ554" s="6"/>
    </row>
    <row r="555" spans="12:520" x14ac:dyDescent="0.3">
      <c r="S555" s="6"/>
      <c r="T555" s="6"/>
      <c r="U555" s="6"/>
      <c r="W555" s="6"/>
      <c r="AA555" s="6"/>
      <c r="AB555" s="6"/>
      <c r="AH555" s="6"/>
      <c r="BT555" s="6"/>
      <c r="BU555" s="6"/>
      <c r="BZ555" s="6"/>
      <c r="CD555" s="6"/>
      <c r="CE555" s="6"/>
      <c r="CJ555" s="6"/>
      <c r="CU555" s="6"/>
      <c r="CV555" s="6"/>
      <c r="DA555" s="6"/>
      <c r="DE555" s="6"/>
      <c r="DF555" s="6"/>
      <c r="DK555" s="6"/>
      <c r="DV555" s="6"/>
      <c r="DW555" s="6"/>
      <c r="EB555" s="6"/>
      <c r="EF555" s="6"/>
      <c r="EG555" s="6"/>
      <c r="EL555" s="6"/>
      <c r="EW555" s="6"/>
      <c r="EX555" s="6"/>
      <c r="FC555" s="6"/>
      <c r="FG555" s="6"/>
      <c r="FH555" s="6"/>
      <c r="FM555" s="6"/>
      <c r="FX555" s="6"/>
      <c r="FY555" s="6"/>
      <c r="GD555" s="6"/>
      <c r="GH555" s="6"/>
      <c r="GI555" s="6"/>
      <c r="GN555" s="6"/>
      <c r="GY555" s="6"/>
      <c r="GZ555" s="6"/>
      <c r="HE555" s="6"/>
      <c r="HI555" s="6"/>
      <c r="HJ555" s="6"/>
      <c r="HO555" s="6"/>
      <c r="HZ555" s="6"/>
      <c r="IA555" s="6"/>
      <c r="IF555" s="6"/>
      <c r="IJ555" s="6"/>
      <c r="IK555" s="6"/>
      <c r="IP555" s="6"/>
      <c r="JA555" s="6"/>
      <c r="JB555" s="6"/>
      <c r="JG555" s="6"/>
      <c r="JK555" s="6"/>
      <c r="JL555" s="6"/>
      <c r="JQ555" s="6"/>
      <c r="KB555" s="6"/>
      <c r="KC555" s="6"/>
      <c r="KH555" s="6"/>
      <c r="KL555" s="6"/>
      <c r="KM555" s="6"/>
      <c r="KR555" s="6"/>
      <c r="MD555" s="6"/>
      <c r="ME555" s="6"/>
      <c r="MJ555" s="6"/>
      <c r="MN555" s="6"/>
      <c r="MO555" s="6"/>
      <c r="MT555" s="6"/>
      <c r="NE555" s="6"/>
      <c r="NF555" s="6"/>
      <c r="NK555" s="6"/>
      <c r="NO555" s="6"/>
      <c r="NP555" s="6"/>
      <c r="NU555" s="6"/>
      <c r="NZ555" s="8"/>
      <c r="OA555" s="8"/>
      <c r="OB555" s="8"/>
      <c r="OF555" s="6"/>
      <c r="OG555" s="6"/>
      <c r="OL555" s="6"/>
      <c r="OP555" s="6"/>
      <c r="OQ555" s="6"/>
      <c r="OV555" s="6"/>
      <c r="QH555" s="6"/>
      <c r="QI555" s="6"/>
      <c r="QN555" s="6"/>
      <c r="QR555" s="6"/>
      <c r="QS555" s="6"/>
      <c r="QX555" s="6"/>
      <c r="SJ555" s="6"/>
      <c r="SK555" s="6"/>
      <c r="SP555" s="6"/>
      <c r="ST555" s="6"/>
      <c r="SU555" s="6"/>
      <c r="SZ555" s="6"/>
    </row>
    <row r="556" spans="12:520" x14ac:dyDescent="0.3">
      <c r="L556" s="8"/>
      <c r="M556" s="8"/>
      <c r="N556" s="8"/>
      <c r="S556" s="6"/>
      <c r="T556" s="6"/>
      <c r="U556" s="6"/>
      <c r="W556" s="6"/>
      <c r="AA556" s="6"/>
      <c r="AB556" s="6"/>
      <c r="AH556" s="6"/>
      <c r="BN556" s="8"/>
      <c r="BO556" s="8"/>
      <c r="BP556" s="8"/>
      <c r="BT556" s="6"/>
      <c r="BU556" s="6"/>
      <c r="BZ556" s="6"/>
      <c r="CD556" s="6"/>
      <c r="CE556" s="6"/>
      <c r="CJ556" s="6"/>
      <c r="CO556" s="8"/>
      <c r="CP556" s="8"/>
      <c r="CQ556" s="8"/>
      <c r="CU556" s="6"/>
      <c r="CV556" s="6"/>
      <c r="DA556" s="6"/>
      <c r="DE556" s="6"/>
      <c r="DF556" s="6"/>
      <c r="DK556" s="6"/>
      <c r="DP556" s="8"/>
      <c r="DQ556" s="8"/>
      <c r="DR556" s="8"/>
      <c r="DV556" s="6"/>
      <c r="DW556" s="6"/>
      <c r="EB556" s="6"/>
      <c r="EF556" s="6"/>
      <c r="EG556" s="6"/>
      <c r="EL556" s="6"/>
      <c r="EQ556" s="8"/>
      <c r="ER556" s="8"/>
      <c r="ES556" s="8"/>
      <c r="EW556" s="6"/>
      <c r="EX556" s="6"/>
      <c r="FC556" s="6"/>
      <c r="FG556" s="6"/>
      <c r="FH556" s="6"/>
      <c r="FM556" s="6"/>
      <c r="FR556" s="8"/>
      <c r="FS556" s="8"/>
      <c r="FT556" s="8"/>
      <c r="FX556" s="6"/>
      <c r="FY556" s="6"/>
      <c r="GD556" s="6"/>
      <c r="GH556" s="6"/>
      <c r="GI556" s="6"/>
      <c r="GN556" s="6"/>
      <c r="GS556" s="8"/>
      <c r="GT556" s="8"/>
      <c r="GU556" s="8"/>
      <c r="GY556" s="6"/>
      <c r="GZ556" s="6"/>
      <c r="HE556" s="6"/>
      <c r="HI556" s="6"/>
      <c r="HJ556" s="6"/>
      <c r="HO556" s="6"/>
      <c r="HT556" s="8"/>
      <c r="HU556" s="8"/>
      <c r="HV556" s="8"/>
      <c r="HZ556" s="6"/>
      <c r="IA556" s="6"/>
      <c r="IF556" s="6"/>
      <c r="IJ556" s="6"/>
      <c r="IK556" s="6"/>
      <c r="IP556" s="6"/>
      <c r="IU556" s="8"/>
      <c r="IV556" s="8"/>
      <c r="IW556" s="8"/>
      <c r="JA556" s="6"/>
      <c r="JB556" s="6"/>
      <c r="JG556" s="6"/>
      <c r="JK556" s="6"/>
      <c r="JL556" s="6"/>
      <c r="JQ556" s="6"/>
      <c r="JV556" s="8"/>
      <c r="JW556" s="8"/>
      <c r="JX556" s="8"/>
      <c r="KB556" s="6"/>
      <c r="KC556" s="6"/>
      <c r="KH556" s="6"/>
      <c r="KL556" s="6"/>
      <c r="KM556" s="6"/>
      <c r="KR556" s="6"/>
      <c r="LX556" s="8"/>
      <c r="LY556" s="8"/>
      <c r="LZ556" s="8"/>
      <c r="MD556" s="6"/>
      <c r="ME556" s="6"/>
      <c r="MJ556" s="6"/>
      <c r="MN556" s="6"/>
      <c r="MO556" s="6"/>
      <c r="MT556" s="6"/>
      <c r="MY556" s="8"/>
      <c r="MZ556" s="8"/>
      <c r="NA556" s="8"/>
      <c r="NE556" s="6"/>
      <c r="NF556" s="6"/>
      <c r="NK556" s="6"/>
      <c r="NO556" s="6"/>
      <c r="NP556" s="6"/>
      <c r="NU556" s="6"/>
      <c r="QB556" s="8"/>
      <c r="QC556" s="8"/>
      <c r="QD556" s="8"/>
      <c r="QH556" s="6"/>
      <c r="QI556" s="6"/>
      <c r="QN556" s="6"/>
      <c r="QR556" s="6"/>
      <c r="QS556" s="6"/>
      <c r="QX556" s="6"/>
      <c r="SD556" s="8"/>
      <c r="SE556" s="8"/>
      <c r="SF556" s="8"/>
      <c r="SJ556" s="6"/>
      <c r="SK556" s="6"/>
      <c r="SP556" s="6"/>
      <c r="ST556" s="6"/>
      <c r="SU556" s="6"/>
      <c r="SZ556" s="6"/>
    </row>
    <row r="558" spans="12:520" x14ac:dyDescent="0.3">
      <c r="R558" s="6"/>
      <c r="S558" s="7"/>
      <c r="T558" s="7"/>
      <c r="Z558" s="6"/>
      <c r="AA558" s="7"/>
      <c r="AG558" s="6"/>
      <c r="AX558" s="6"/>
      <c r="BB558" s="6"/>
      <c r="BC558" s="7"/>
      <c r="BH558" s="6"/>
      <c r="BS558" s="6"/>
      <c r="BT558" s="7"/>
      <c r="BY558" s="6"/>
      <c r="CC558" s="6"/>
      <c r="CD558" s="7"/>
      <c r="CI558" s="6"/>
      <c r="CT558" s="6"/>
      <c r="CU558" s="7"/>
      <c r="CZ558" s="6"/>
      <c r="DD558" s="6"/>
      <c r="DE558" s="7"/>
      <c r="DJ558" s="6"/>
      <c r="DU558" s="6"/>
      <c r="DV558" s="7"/>
      <c r="EA558" s="6"/>
      <c r="EE558" s="6"/>
      <c r="EF558" s="7"/>
      <c r="EK558" s="6"/>
      <c r="EV558" s="6"/>
      <c r="EW558" s="7"/>
      <c r="FB558" s="6"/>
      <c r="FF558" s="6"/>
      <c r="FG558" s="7"/>
      <c r="FL558" s="6"/>
      <c r="FW558" s="6"/>
      <c r="FX558" s="7"/>
      <c r="GC558" s="6"/>
      <c r="GG558" s="6"/>
      <c r="GH558" s="7"/>
      <c r="GM558" s="6"/>
      <c r="GX558" s="6"/>
      <c r="GY558" s="7"/>
      <c r="HD558" s="6"/>
      <c r="HH558" s="6"/>
      <c r="HI558" s="7"/>
      <c r="HN558" s="6"/>
      <c r="HY558" s="6"/>
      <c r="HZ558" s="7"/>
      <c r="IE558" s="6"/>
      <c r="II558" s="6"/>
      <c r="IJ558" s="7"/>
      <c r="IO558" s="6"/>
      <c r="IZ558" s="6"/>
      <c r="JA558" s="7"/>
      <c r="JF558" s="6"/>
      <c r="JJ558" s="6"/>
      <c r="JK558" s="7"/>
      <c r="JP558" s="6"/>
      <c r="KA558" s="6"/>
      <c r="KB558" s="7"/>
      <c r="KG558" s="6"/>
      <c r="KK558" s="6"/>
      <c r="KL558" s="7"/>
      <c r="KQ558" s="6"/>
      <c r="LB558" s="6"/>
      <c r="LC558" s="7"/>
      <c r="LH558" s="6"/>
      <c r="LL558" s="6"/>
      <c r="LM558" s="7"/>
      <c r="LR558" s="6"/>
      <c r="MC558" s="6"/>
      <c r="MD558" s="7"/>
      <c r="MI558" s="6"/>
      <c r="MM558" s="6"/>
      <c r="MN558" s="7"/>
      <c r="MS558" s="6"/>
      <c r="ND558" s="6"/>
      <c r="NE558" s="7"/>
      <c r="NJ558" s="6"/>
      <c r="NN558" s="6"/>
      <c r="NO558" s="7"/>
      <c r="NT558" s="6"/>
      <c r="OE558" s="6"/>
      <c r="OF558" s="7"/>
      <c r="OK558" s="6"/>
      <c r="OO558" s="6"/>
      <c r="OP558" s="7"/>
      <c r="OU558" s="6"/>
      <c r="PF558" s="6"/>
      <c r="PG558" s="7"/>
      <c r="PL558" s="6"/>
      <c r="PP558" s="6"/>
      <c r="PQ558" s="7"/>
      <c r="PV558" s="6"/>
      <c r="QG558" s="6"/>
      <c r="QH558" s="7"/>
      <c r="QM558" s="6"/>
      <c r="QQ558" s="6"/>
      <c r="QR558" s="7"/>
      <c r="QW558" s="6"/>
      <c r="RH558" s="6"/>
      <c r="RI558" s="7"/>
      <c r="RN558" s="6"/>
      <c r="RR558" s="6"/>
      <c r="RS558" s="7"/>
      <c r="RX558" s="6"/>
      <c r="SI558" s="6"/>
      <c r="SJ558" s="7"/>
      <c r="SO558" s="6"/>
      <c r="SS558" s="6"/>
      <c r="ST558" s="7"/>
      <c r="SY558" s="6"/>
    </row>
    <row r="559" spans="12:520" x14ac:dyDescent="0.3">
      <c r="O559" s="5"/>
      <c r="R559" s="5"/>
      <c r="S559" s="6"/>
      <c r="T559" s="6"/>
      <c r="U559" s="7"/>
      <c r="W559" s="6"/>
      <c r="X559" s="5"/>
      <c r="Z559" s="5"/>
      <c r="AA559" s="6"/>
      <c r="AB559" s="7"/>
      <c r="AG559" s="5"/>
      <c r="AH559" s="6"/>
      <c r="AT559" s="7"/>
      <c r="AW559" s="5"/>
      <c r="AY559" s="6"/>
      <c r="BC559" s="6"/>
      <c r="BD559" s="6"/>
      <c r="BI559" s="6"/>
      <c r="BT559" s="6"/>
      <c r="BU559" s="6"/>
      <c r="BZ559" s="6"/>
      <c r="CD559" s="6"/>
      <c r="CE559" s="6"/>
      <c r="CJ559" s="6"/>
      <c r="CU559" s="6"/>
      <c r="CV559" s="6"/>
      <c r="DA559" s="6"/>
      <c r="DE559" s="6"/>
      <c r="DF559" s="6"/>
      <c r="DK559" s="6"/>
      <c r="DV559" s="6"/>
      <c r="DW559" s="6"/>
      <c r="EB559" s="6"/>
      <c r="EF559" s="6"/>
      <c r="EG559" s="6"/>
      <c r="EL559" s="6"/>
      <c r="EW559" s="6"/>
      <c r="EX559" s="6"/>
      <c r="FC559" s="6"/>
      <c r="FG559" s="6"/>
      <c r="FH559" s="6"/>
      <c r="FM559" s="6"/>
      <c r="FX559" s="6"/>
      <c r="FY559" s="6"/>
      <c r="GD559" s="6"/>
      <c r="GH559" s="6"/>
      <c r="GI559" s="6"/>
      <c r="GN559" s="6"/>
      <c r="GY559" s="6"/>
      <c r="GZ559" s="6"/>
      <c r="HE559" s="6"/>
      <c r="HI559" s="6"/>
      <c r="HJ559" s="6"/>
      <c r="HO559" s="6"/>
      <c r="HZ559" s="6"/>
      <c r="IA559" s="6"/>
      <c r="IF559" s="6"/>
      <c r="IJ559" s="6"/>
      <c r="IK559" s="6"/>
      <c r="IP559" s="6"/>
      <c r="JA559" s="6"/>
      <c r="JB559" s="6"/>
      <c r="JG559" s="6"/>
      <c r="JK559" s="6"/>
      <c r="JL559" s="6"/>
      <c r="JQ559" s="6"/>
      <c r="KB559" s="6"/>
      <c r="KC559" s="6"/>
      <c r="KH559" s="6"/>
      <c r="KL559" s="6"/>
      <c r="KM559" s="6"/>
      <c r="KR559" s="6"/>
      <c r="LC559" s="6"/>
      <c r="LD559" s="6"/>
      <c r="LI559" s="6"/>
      <c r="LM559" s="6"/>
      <c r="LN559" s="6"/>
      <c r="LS559" s="6"/>
      <c r="MD559" s="6"/>
      <c r="ME559" s="6"/>
      <c r="MJ559" s="6"/>
      <c r="MN559" s="6"/>
      <c r="MO559" s="6"/>
      <c r="MT559" s="6"/>
      <c r="NE559" s="6"/>
      <c r="NF559" s="6"/>
      <c r="NK559" s="6"/>
      <c r="NO559" s="6"/>
      <c r="NP559" s="6"/>
      <c r="NU559" s="6"/>
      <c r="OF559" s="6"/>
      <c r="OG559" s="6"/>
      <c r="OL559" s="6"/>
      <c r="OP559" s="6"/>
      <c r="OQ559" s="6"/>
      <c r="OV559" s="6"/>
      <c r="PG559" s="6"/>
      <c r="PH559" s="6"/>
      <c r="PM559" s="6"/>
      <c r="PQ559" s="6"/>
      <c r="PR559" s="6"/>
      <c r="PW559" s="6"/>
      <c r="QH559" s="6"/>
      <c r="QI559" s="6"/>
      <c r="QN559" s="6"/>
      <c r="QR559" s="6"/>
      <c r="QS559" s="6"/>
      <c r="QX559" s="6"/>
      <c r="RC559" s="8"/>
      <c r="RD559" s="8"/>
      <c r="RE559" s="8"/>
      <c r="RI559" s="6"/>
      <c r="RJ559" s="6"/>
      <c r="RO559" s="6"/>
      <c r="RS559" s="6"/>
      <c r="RT559" s="6"/>
      <c r="RY559" s="6"/>
      <c r="SJ559" s="6"/>
      <c r="SK559" s="6"/>
      <c r="SP559" s="6"/>
      <c r="ST559" s="6"/>
      <c r="SU559" s="6"/>
      <c r="SZ559" s="6"/>
    </row>
    <row r="560" spans="12:520" x14ac:dyDescent="0.3">
      <c r="O560" s="5"/>
      <c r="R560" s="5"/>
      <c r="S560" s="6"/>
      <c r="T560" s="6"/>
      <c r="U560" s="7"/>
      <c r="W560" s="6"/>
      <c r="X560" s="5"/>
      <c r="Z560" s="5"/>
      <c r="AA560" s="6"/>
      <c r="AB560" s="7"/>
      <c r="AG560" s="5"/>
      <c r="AH560" s="6"/>
      <c r="AT560" s="7"/>
      <c r="AW560" s="5"/>
      <c r="AY560" s="6"/>
      <c r="BC560" s="6"/>
      <c r="BD560" s="6"/>
      <c r="BI560" s="6"/>
      <c r="BT560" s="6"/>
      <c r="BU560" s="6"/>
      <c r="BZ560" s="6"/>
      <c r="CD560" s="6"/>
      <c r="CE560" s="6"/>
      <c r="CJ560" s="6"/>
      <c r="CU560" s="6"/>
      <c r="CV560" s="6"/>
      <c r="DA560" s="6"/>
      <c r="DE560" s="6"/>
      <c r="DF560" s="6"/>
      <c r="DK560" s="6"/>
      <c r="DV560" s="6"/>
      <c r="DW560" s="6"/>
      <c r="EB560" s="6"/>
      <c r="EF560" s="6"/>
      <c r="EG560" s="6"/>
      <c r="EL560" s="6"/>
      <c r="EW560" s="6"/>
      <c r="EX560" s="6"/>
      <c r="FC560" s="6"/>
      <c r="FG560" s="6"/>
      <c r="FH560" s="6"/>
      <c r="FM560" s="6"/>
      <c r="FX560" s="6"/>
      <c r="FY560" s="6"/>
      <c r="GD560" s="6"/>
      <c r="GH560" s="6"/>
      <c r="GI560" s="6"/>
      <c r="GN560" s="6"/>
      <c r="GY560" s="6"/>
      <c r="GZ560" s="6"/>
      <c r="HE560" s="6"/>
      <c r="HI560" s="6"/>
      <c r="HJ560" s="6"/>
      <c r="HO560" s="6"/>
      <c r="HZ560" s="6"/>
      <c r="IA560" s="6"/>
      <c r="IF560" s="6"/>
      <c r="IJ560" s="6"/>
      <c r="IK560" s="6"/>
      <c r="IP560" s="6"/>
      <c r="JA560" s="6"/>
      <c r="JB560" s="6"/>
      <c r="JG560" s="6"/>
      <c r="JK560" s="6"/>
      <c r="JL560" s="6"/>
      <c r="JQ560" s="6"/>
      <c r="KB560" s="6"/>
      <c r="KC560" s="6"/>
      <c r="KH560" s="6"/>
      <c r="KL560" s="6"/>
      <c r="KM560" s="6"/>
      <c r="KR560" s="6"/>
      <c r="LC560" s="6"/>
      <c r="LD560" s="6"/>
      <c r="LI560" s="6"/>
      <c r="LM560" s="6"/>
      <c r="LN560" s="6"/>
      <c r="LS560" s="6"/>
      <c r="MD560" s="6"/>
      <c r="ME560" s="6"/>
      <c r="MJ560" s="6"/>
      <c r="MN560" s="6"/>
      <c r="MO560" s="6"/>
      <c r="MT560" s="6"/>
      <c r="NE560" s="6"/>
      <c r="NF560" s="6"/>
      <c r="NK560" s="6"/>
      <c r="NO560" s="6"/>
      <c r="NP560" s="6"/>
      <c r="NU560" s="6"/>
      <c r="OF560" s="6"/>
      <c r="OG560" s="6"/>
      <c r="OL560" s="6"/>
      <c r="OP560" s="6"/>
      <c r="OQ560" s="6"/>
      <c r="OV560" s="6"/>
      <c r="PG560" s="6"/>
      <c r="PH560" s="6"/>
      <c r="PM560" s="6"/>
      <c r="PQ560" s="6"/>
      <c r="PR560" s="6"/>
      <c r="PW560" s="6"/>
      <c r="QH560" s="6"/>
      <c r="QI560" s="6"/>
      <c r="QN560" s="6"/>
      <c r="QR560" s="6"/>
      <c r="QS560" s="6"/>
      <c r="QX560" s="6"/>
      <c r="SJ560" s="6"/>
      <c r="SK560" s="6"/>
      <c r="SP560" s="6"/>
      <c r="ST560" s="6"/>
      <c r="SU560" s="6"/>
      <c r="SZ560" s="6"/>
    </row>
    <row r="561" spans="12:520" x14ac:dyDescent="0.3">
      <c r="O561" s="5"/>
      <c r="R561" s="5"/>
      <c r="S561" s="6"/>
      <c r="T561" s="6"/>
      <c r="U561" s="7"/>
      <c r="W561" s="6"/>
      <c r="X561" s="5"/>
      <c r="Z561" s="5"/>
      <c r="AA561" s="6"/>
      <c r="AB561" s="7"/>
      <c r="AG561" s="5"/>
      <c r="AH561" s="6"/>
      <c r="AT561" s="7"/>
      <c r="AW561" s="5"/>
      <c r="AY561" s="6"/>
      <c r="BC561" s="6"/>
      <c r="BD561" s="6"/>
      <c r="BI561" s="6"/>
      <c r="BT561" s="6"/>
      <c r="BU561" s="6"/>
      <c r="BZ561" s="6"/>
      <c r="CD561" s="6"/>
      <c r="CE561" s="6"/>
      <c r="CJ561" s="6"/>
      <c r="CU561" s="6"/>
      <c r="CV561" s="6"/>
      <c r="DA561" s="6"/>
      <c r="DE561" s="6"/>
      <c r="DF561" s="6"/>
      <c r="DK561" s="6"/>
      <c r="DV561" s="6"/>
      <c r="DW561" s="6"/>
      <c r="EB561" s="6"/>
      <c r="EF561" s="6"/>
      <c r="EG561" s="6"/>
      <c r="EL561" s="6"/>
      <c r="EW561" s="6"/>
      <c r="EX561" s="6"/>
      <c r="FC561" s="6"/>
      <c r="FG561" s="6"/>
      <c r="FH561" s="6"/>
      <c r="FM561" s="6"/>
      <c r="FX561" s="6"/>
      <c r="FY561" s="6"/>
      <c r="GD561" s="6"/>
      <c r="GH561" s="6"/>
      <c r="GI561" s="6"/>
      <c r="GN561" s="6"/>
      <c r="GY561" s="6"/>
      <c r="GZ561" s="6"/>
      <c r="HE561" s="6"/>
      <c r="HI561" s="6"/>
      <c r="HJ561" s="6"/>
      <c r="HO561" s="6"/>
      <c r="HZ561" s="6"/>
      <c r="IA561" s="6"/>
      <c r="IF561" s="6"/>
      <c r="IJ561" s="6"/>
      <c r="IK561" s="6"/>
      <c r="IP561" s="6"/>
      <c r="JA561" s="6"/>
      <c r="JB561" s="6"/>
      <c r="JG561" s="6"/>
      <c r="JK561" s="6"/>
      <c r="JL561" s="6"/>
      <c r="JQ561" s="6"/>
      <c r="KB561" s="6"/>
      <c r="KC561" s="6"/>
      <c r="KH561" s="6"/>
      <c r="KL561" s="6"/>
      <c r="KM561" s="6"/>
      <c r="KR561" s="6"/>
      <c r="LC561" s="6"/>
      <c r="LD561" s="6"/>
      <c r="LI561" s="6"/>
      <c r="LM561" s="6"/>
      <c r="LN561" s="6"/>
      <c r="LS561" s="6"/>
      <c r="MD561" s="6"/>
      <c r="ME561" s="6"/>
      <c r="MJ561" s="6"/>
      <c r="MN561" s="6"/>
      <c r="MO561" s="6"/>
      <c r="MT561" s="6"/>
      <c r="NE561" s="6"/>
      <c r="NF561" s="6"/>
      <c r="NK561" s="6"/>
      <c r="NO561" s="6"/>
      <c r="NP561" s="6"/>
      <c r="NU561" s="6"/>
      <c r="OF561" s="6"/>
      <c r="OG561" s="6"/>
      <c r="OL561" s="6"/>
      <c r="OP561" s="6"/>
      <c r="OQ561" s="6"/>
      <c r="OV561" s="6"/>
      <c r="PG561" s="6"/>
      <c r="PH561" s="6"/>
      <c r="PM561" s="6"/>
      <c r="PQ561" s="6"/>
      <c r="PR561" s="6"/>
      <c r="PW561" s="6"/>
      <c r="QH561" s="6"/>
      <c r="QI561" s="6"/>
      <c r="QN561" s="6"/>
      <c r="QR561" s="6"/>
      <c r="QS561" s="6"/>
      <c r="QX561" s="6"/>
      <c r="SJ561" s="6"/>
      <c r="SK561" s="6"/>
      <c r="SP561" s="6"/>
      <c r="ST561" s="6"/>
      <c r="SU561" s="6"/>
      <c r="SZ561" s="6"/>
    </row>
    <row r="562" spans="12:520" x14ac:dyDescent="0.3">
      <c r="O562" s="5"/>
      <c r="R562" s="5"/>
      <c r="S562" s="6"/>
      <c r="T562" s="6"/>
      <c r="U562" s="7"/>
      <c r="W562" s="6"/>
      <c r="X562" s="5"/>
      <c r="Z562" s="5"/>
      <c r="AA562" s="6"/>
      <c r="AB562" s="7"/>
      <c r="AG562" s="5"/>
      <c r="AH562" s="6"/>
      <c r="AR562" s="6"/>
      <c r="AS562" s="7"/>
      <c r="BT562" s="6"/>
      <c r="BU562" s="6"/>
      <c r="BZ562" s="6"/>
      <c r="CD562" s="6"/>
      <c r="CE562" s="6"/>
      <c r="CJ562" s="6"/>
      <c r="CU562" s="6"/>
      <c r="CV562" s="6"/>
      <c r="DA562" s="6"/>
      <c r="DE562" s="6"/>
      <c r="DF562" s="6"/>
      <c r="DK562" s="6"/>
      <c r="DV562" s="6"/>
      <c r="DW562" s="6"/>
      <c r="EB562" s="6"/>
      <c r="EF562" s="6"/>
      <c r="EG562" s="6"/>
      <c r="EL562" s="6"/>
      <c r="EW562" s="6"/>
      <c r="EX562" s="6"/>
      <c r="FC562" s="6"/>
      <c r="FG562" s="6"/>
      <c r="FH562" s="6"/>
      <c r="FM562" s="6"/>
      <c r="FX562" s="6"/>
      <c r="FY562" s="6"/>
      <c r="GD562" s="6"/>
      <c r="GH562" s="6"/>
      <c r="GI562" s="6"/>
      <c r="GN562" s="6"/>
      <c r="GY562" s="6"/>
      <c r="GZ562" s="6"/>
      <c r="HE562" s="6"/>
      <c r="HI562" s="6"/>
      <c r="HJ562" s="6"/>
      <c r="HO562" s="6"/>
      <c r="HZ562" s="6"/>
      <c r="IA562" s="6"/>
      <c r="IF562" s="6"/>
      <c r="IJ562" s="6"/>
      <c r="IK562" s="6"/>
      <c r="IP562" s="6"/>
      <c r="JA562" s="6"/>
      <c r="JB562" s="6"/>
      <c r="JG562" s="6"/>
      <c r="JK562" s="6"/>
      <c r="JL562" s="6"/>
      <c r="JQ562" s="6"/>
      <c r="KB562" s="6"/>
      <c r="KC562" s="6"/>
      <c r="KH562" s="6"/>
      <c r="KL562" s="6"/>
      <c r="KM562" s="6"/>
      <c r="KR562" s="6"/>
      <c r="LC562" s="6"/>
      <c r="LD562" s="6"/>
      <c r="LI562" s="6"/>
      <c r="LM562" s="6"/>
      <c r="LN562" s="6"/>
      <c r="LS562" s="6"/>
      <c r="MD562" s="6"/>
      <c r="ME562" s="6"/>
      <c r="MJ562" s="6"/>
      <c r="MN562" s="6"/>
      <c r="MO562" s="6"/>
      <c r="MT562" s="6"/>
      <c r="NE562" s="6"/>
      <c r="NF562" s="6"/>
      <c r="NK562" s="6"/>
      <c r="NO562" s="6"/>
      <c r="NP562" s="6"/>
      <c r="NU562" s="6"/>
      <c r="OF562" s="6"/>
      <c r="OG562" s="6"/>
      <c r="OL562" s="6"/>
      <c r="OP562" s="6"/>
      <c r="OQ562" s="6"/>
      <c r="OV562" s="6"/>
      <c r="PG562" s="6"/>
      <c r="PH562" s="6"/>
      <c r="PM562" s="6"/>
      <c r="PQ562" s="6"/>
      <c r="PR562" s="6"/>
      <c r="PW562" s="6"/>
      <c r="QH562" s="6"/>
      <c r="QI562" s="6"/>
      <c r="QN562" s="6"/>
      <c r="QR562" s="6"/>
      <c r="QS562" s="6"/>
      <c r="QX562" s="6"/>
      <c r="SJ562" s="6"/>
      <c r="SK562" s="6"/>
      <c r="SP562" s="6"/>
      <c r="ST562" s="6"/>
      <c r="SU562" s="6"/>
      <c r="SZ562" s="6"/>
    </row>
    <row r="563" spans="12:520" x14ac:dyDescent="0.3">
      <c r="O563" s="5"/>
      <c r="R563" s="5"/>
      <c r="S563" s="6"/>
      <c r="T563" s="6"/>
      <c r="U563" s="7"/>
      <c r="W563" s="6"/>
      <c r="X563" s="5"/>
      <c r="Z563" s="5"/>
      <c r="AA563" s="6"/>
      <c r="AB563" s="7"/>
      <c r="AG563" s="5"/>
      <c r="AH563" s="6"/>
      <c r="AQ563" s="5"/>
      <c r="AR563" s="5"/>
      <c r="AS563" s="6"/>
      <c r="BT563" s="6"/>
      <c r="BU563" s="6"/>
      <c r="BZ563" s="6"/>
      <c r="CD563" s="6"/>
      <c r="CE563" s="6"/>
      <c r="CJ563" s="6"/>
      <c r="CU563" s="6"/>
      <c r="CV563" s="6"/>
      <c r="DA563" s="6"/>
      <c r="DE563" s="6"/>
      <c r="DF563" s="6"/>
      <c r="DK563" s="6"/>
      <c r="DV563" s="6"/>
      <c r="DW563" s="6"/>
      <c r="EB563" s="6"/>
      <c r="EF563" s="6"/>
      <c r="EG563" s="6"/>
      <c r="EL563" s="6"/>
      <c r="EW563" s="6"/>
      <c r="EX563" s="6"/>
      <c r="FC563" s="6"/>
      <c r="FG563" s="6"/>
      <c r="FH563" s="6"/>
      <c r="FM563" s="6"/>
      <c r="FX563" s="6"/>
      <c r="FY563" s="6"/>
      <c r="GD563" s="6"/>
      <c r="GH563" s="6"/>
      <c r="GI563" s="6"/>
      <c r="GN563" s="6"/>
      <c r="GY563" s="6"/>
      <c r="GZ563" s="6"/>
      <c r="HE563" s="6"/>
      <c r="HI563" s="6"/>
      <c r="HJ563" s="6"/>
      <c r="HO563" s="6"/>
      <c r="HZ563" s="6"/>
      <c r="IA563" s="6"/>
      <c r="IF563" s="6"/>
      <c r="IJ563" s="6"/>
      <c r="IK563" s="6"/>
      <c r="IP563" s="6"/>
      <c r="JA563" s="6"/>
      <c r="JB563" s="6"/>
      <c r="JG563" s="6"/>
      <c r="JK563" s="6"/>
      <c r="JL563" s="6"/>
      <c r="JQ563" s="6"/>
      <c r="KB563" s="6"/>
      <c r="KC563" s="6"/>
      <c r="KH563" s="6"/>
      <c r="KL563" s="6"/>
      <c r="KM563" s="6"/>
      <c r="KR563" s="6"/>
      <c r="KW563" s="8"/>
      <c r="KX563" s="8"/>
      <c r="KY563" s="8"/>
      <c r="LC563" s="6"/>
      <c r="LD563" s="6"/>
      <c r="LI563" s="6"/>
      <c r="LM563" s="6"/>
      <c r="LN563" s="6"/>
      <c r="LS563" s="6"/>
      <c r="MD563" s="6"/>
      <c r="ME563" s="6"/>
      <c r="MJ563" s="6"/>
      <c r="MN563" s="6"/>
      <c r="MO563" s="6"/>
      <c r="MT563" s="6"/>
      <c r="NE563" s="6"/>
      <c r="NF563" s="6"/>
      <c r="NK563" s="6"/>
      <c r="NO563" s="6"/>
      <c r="NP563" s="6"/>
      <c r="NU563" s="6"/>
      <c r="OF563" s="6"/>
      <c r="OG563" s="6"/>
      <c r="OL563" s="6"/>
      <c r="OP563" s="6"/>
      <c r="OQ563" s="6"/>
      <c r="OV563" s="6"/>
      <c r="PG563" s="6"/>
      <c r="PH563" s="6"/>
      <c r="PM563" s="6"/>
      <c r="PQ563" s="6"/>
      <c r="PR563" s="6"/>
      <c r="PW563" s="6"/>
      <c r="QH563" s="6"/>
      <c r="QI563" s="6"/>
      <c r="QN563" s="6"/>
      <c r="QR563" s="6"/>
      <c r="QS563" s="6"/>
      <c r="QX563" s="6"/>
      <c r="SJ563" s="6"/>
      <c r="SK563" s="6"/>
      <c r="SP563" s="6"/>
      <c r="ST563" s="6"/>
      <c r="SU563" s="6"/>
      <c r="SZ563" s="6"/>
    </row>
    <row r="564" spans="12:520" x14ac:dyDescent="0.3">
      <c r="O564" s="5"/>
      <c r="R564" s="5"/>
      <c r="S564" s="6"/>
      <c r="T564" s="6"/>
      <c r="U564" s="7"/>
      <c r="W564" s="6"/>
      <c r="X564" s="5"/>
      <c r="Z564" s="5"/>
      <c r="AA564" s="6"/>
      <c r="AB564" s="7"/>
      <c r="AG564" s="5"/>
      <c r="AH564" s="6"/>
      <c r="AQ564" s="5"/>
      <c r="AR564" s="5"/>
      <c r="AS564" s="6"/>
      <c r="BT564" s="6"/>
      <c r="BU564" s="6"/>
      <c r="BZ564" s="6"/>
      <c r="CD564" s="6"/>
      <c r="CE564" s="6"/>
      <c r="CJ564" s="6"/>
      <c r="CU564" s="6"/>
      <c r="CV564" s="6"/>
      <c r="DA564" s="6"/>
      <c r="DE564" s="6"/>
      <c r="DF564" s="6"/>
      <c r="DK564" s="6"/>
      <c r="DV564" s="6"/>
      <c r="DW564" s="6"/>
      <c r="EB564" s="6"/>
      <c r="EF564" s="6"/>
      <c r="EG564" s="6"/>
      <c r="EL564" s="6"/>
      <c r="EW564" s="6"/>
      <c r="EX564" s="6"/>
      <c r="FC564" s="6"/>
      <c r="FG564" s="6"/>
      <c r="FH564" s="6"/>
      <c r="FM564" s="6"/>
      <c r="FX564" s="6"/>
      <c r="FY564" s="6"/>
      <c r="GD564" s="6"/>
      <c r="GH564" s="6"/>
      <c r="GI564" s="6"/>
      <c r="GN564" s="6"/>
      <c r="GY564" s="6"/>
      <c r="GZ564" s="6"/>
      <c r="HE564" s="6"/>
      <c r="HI564" s="6"/>
      <c r="HJ564" s="6"/>
      <c r="HO564" s="6"/>
      <c r="HZ564" s="6"/>
      <c r="IA564" s="6"/>
      <c r="IF564" s="6"/>
      <c r="IJ564" s="6"/>
      <c r="IK564" s="6"/>
      <c r="IP564" s="6"/>
      <c r="JA564" s="6"/>
      <c r="JB564" s="6"/>
      <c r="JG564" s="6"/>
      <c r="JK564" s="6"/>
      <c r="JL564" s="6"/>
      <c r="JQ564" s="6"/>
      <c r="KB564" s="6"/>
      <c r="KC564" s="6"/>
      <c r="KH564" s="6"/>
      <c r="KL564" s="6"/>
      <c r="KM564" s="6"/>
      <c r="KR564" s="6"/>
      <c r="MD564" s="6"/>
      <c r="ME564" s="6"/>
      <c r="MJ564" s="6"/>
      <c r="MN564" s="6"/>
      <c r="MO564" s="6"/>
      <c r="MT564" s="6"/>
      <c r="NE564" s="6"/>
      <c r="NF564" s="6"/>
      <c r="NK564" s="6"/>
      <c r="NO564" s="6"/>
      <c r="NP564" s="6"/>
      <c r="NU564" s="6"/>
      <c r="OF564" s="6"/>
      <c r="OG564" s="6"/>
      <c r="OL564" s="6"/>
      <c r="OP564" s="6"/>
      <c r="OQ564" s="6"/>
      <c r="OV564" s="6"/>
      <c r="PG564" s="6"/>
      <c r="PH564" s="6"/>
      <c r="PM564" s="6"/>
      <c r="PQ564" s="6"/>
      <c r="PR564" s="6"/>
      <c r="PW564" s="6"/>
      <c r="QH564" s="6"/>
      <c r="QI564" s="6"/>
      <c r="QN564" s="6"/>
      <c r="QR564" s="6"/>
      <c r="QS564" s="6"/>
      <c r="QX564" s="6"/>
      <c r="SJ564" s="6"/>
      <c r="SK564" s="6"/>
      <c r="SP564" s="6"/>
      <c r="ST564" s="6"/>
      <c r="SU564" s="6"/>
      <c r="SZ564" s="6"/>
    </row>
    <row r="565" spans="12:520" x14ac:dyDescent="0.3">
      <c r="O565" s="5"/>
      <c r="R565" s="5"/>
      <c r="S565" s="6"/>
      <c r="T565" s="6"/>
      <c r="U565" s="7"/>
      <c r="W565" s="6"/>
      <c r="X565" s="5"/>
      <c r="Z565" s="5"/>
      <c r="AA565" s="6"/>
      <c r="AB565" s="7"/>
      <c r="AG565" s="5"/>
      <c r="AH565" s="6"/>
      <c r="AM565" s="8"/>
      <c r="AN565" s="8"/>
      <c r="AO565" s="8"/>
      <c r="AQ565" s="5"/>
      <c r="AR565" s="5"/>
      <c r="AS565" s="6"/>
      <c r="BT565" s="6"/>
      <c r="BU565" s="6"/>
      <c r="BZ565" s="6"/>
      <c r="CD565" s="6"/>
      <c r="CE565" s="6"/>
      <c r="CJ565" s="6"/>
      <c r="CU565" s="6"/>
      <c r="CV565" s="6"/>
      <c r="DA565" s="6"/>
      <c r="DE565" s="6"/>
      <c r="DF565" s="6"/>
      <c r="DK565" s="6"/>
      <c r="DV565" s="6"/>
      <c r="DW565" s="6"/>
      <c r="EB565" s="6"/>
      <c r="EF565" s="6"/>
      <c r="EG565" s="6"/>
      <c r="EL565" s="6"/>
      <c r="EW565" s="6"/>
      <c r="EX565" s="6"/>
      <c r="FC565" s="6"/>
      <c r="FG565" s="6"/>
      <c r="FH565" s="6"/>
      <c r="FM565" s="6"/>
      <c r="FX565" s="6"/>
      <c r="FY565" s="6"/>
      <c r="GD565" s="6"/>
      <c r="GH565" s="6"/>
      <c r="GI565" s="6"/>
      <c r="GN565" s="6"/>
      <c r="GY565" s="6"/>
      <c r="GZ565" s="6"/>
      <c r="HE565" s="6"/>
      <c r="HI565" s="6"/>
      <c r="HJ565" s="6"/>
      <c r="HO565" s="6"/>
      <c r="HZ565" s="6"/>
      <c r="IA565" s="6"/>
      <c r="IF565" s="6"/>
      <c r="IJ565" s="6"/>
      <c r="IK565" s="6"/>
      <c r="IP565" s="6"/>
      <c r="JA565" s="6"/>
      <c r="JB565" s="6"/>
      <c r="JG565" s="6"/>
      <c r="JK565" s="6"/>
      <c r="JL565" s="6"/>
      <c r="JQ565" s="6"/>
      <c r="KB565" s="6"/>
      <c r="KC565" s="6"/>
      <c r="KH565" s="6"/>
      <c r="KL565" s="6"/>
      <c r="KM565" s="6"/>
      <c r="KR565" s="6"/>
      <c r="MD565" s="6"/>
      <c r="ME565" s="6"/>
      <c r="MJ565" s="6"/>
      <c r="MN565" s="6"/>
      <c r="MO565" s="6"/>
      <c r="MT565" s="6"/>
      <c r="NE565" s="6"/>
      <c r="NF565" s="6"/>
      <c r="NK565" s="6"/>
      <c r="NO565" s="6"/>
      <c r="NP565" s="6"/>
      <c r="NU565" s="6"/>
      <c r="OF565" s="6"/>
      <c r="OG565" s="6"/>
      <c r="OL565" s="6"/>
      <c r="OP565" s="6"/>
      <c r="OQ565" s="6"/>
      <c r="OV565" s="6"/>
      <c r="PA565" s="8"/>
      <c r="PB565" s="8"/>
      <c r="PC565" s="8"/>
      <c r="PG565" s="6"/>
      <c r="PH565" s="6"/>
      <c r="PM565" s="6"/>
      <c r="PQ565" s="6"/>
      <c r="PR565" s="6"/>
      <c r="PW565" s="6"/>
      <c r="QH565" s="6"/>
      <c r="QI565" s="6"/>
      <c r="QN565" s="6"/>
      <c r="QR565" s="6"/>
      <c r="QS565" s="6"/>
      <c r="QX565" s="6"/>
      <c r="SJ565" s="6"/>
      <c r="SK565" s="6"/>
      <c r="SP565" s="6"/>
      <c r="ST565" s="6"/>
      <c r="SU565" s="6"/>
      <c r="SZ565" s="6"/>
    </row>
    <row r="566" spans="12:520" x14ac:dyDescent="0.3">
      <c r="O566" s="5"/>
      <c r="R566" s="5"/>
      <c r="S566" s="6"/>
      <c r="T566" s="6"/>
      <c r="U566" s="7"/>
      <c r="W566" s="6"/>
      <c r="X566" s="5"/>
      <c r="Z566" s="5"/>
      <c r="AA566" s="6"/>
      <c r="AB566" s="7"/>
      <c r="AG566" s="5"/>
      <c r="AH566" s="6"/>
      <c r="BT566" s="6"/>
      <c r="BU566" s="6"/>
      <c r="BZ566" s="6"/>
      <c r="CD566" s="6"/>
      <c r="CE566" s="6"/>
      <c r="CJ566" s="6"/>
      <c r="CU566" s="6"/>
      <c r="CV566" s="6"/>
      <c r="DA566" s="6"/>
      <c r="DE566" s="6"/>
      <c r="DF566" s="6"/>
      <c r="DK566" s="6"/>
      <c r="DV566" s="6"/>
      <c r="DW566" s="6"/>
      <c r="EB566" s="6"/>
      <c r="EF566" s="6"/>
      <c r="EG566" s="6"/>
      <c r="EL566" s="6"/>
      <c r="EW566" s="6"/>
      <c r="EX566" s="6"/>
      <c r="FC566" s="6"/>
      <c r="FG566" s="6"/>
      <c r="FH566" s="6"/>
      <c r="FM566" s="6"/>
      <c r="FX566" s="6"/>
      <c r="FY566" s="6"/>
      <c r="GD566" s="6"/>
      <c r="GH566" s="6"/>
      <c r="GI566" s="6"/>
      <c r="GN566" s="6"/>
      <c r="GY566" s="6"/>
      <c r="GZ566" s="6"/>
      <c r="HE566" s="6"/>
      <c r="HI566" s="6"/>
      <c r="HJ566" s="6"/>
      <c r="HO566" s="6"/>
      <c r="HZ566" s="6"/>
      <c r="IA566" s="6"/>
      <c r="IF566" s="6"/>
      <c r="IJ566" s="6"/>
      <c r="IK566" s="6"/>
      <c r="IP566" s="6"/>
      <c r="JA566" s="6"/>
      <c r="JB566" s="6"/>
      <c r="JG566" s="6"/>
      <c r="JK566" s="6"/>
      <c r="JL566" s="6"/>
      <c r="JQ566" s="6"/>
      <c r="KB566" s="6"/>
      <c r="KC566" s="6"/>
      <c r="KH566" s="6"/>
      <c r="KL566" s="6"/>
      <c r="KM566" s="6"/>
      <c r="KR566" s="6"/>
      <c r="MD566" s="6"/>
      <c r="ME566" s="6"/>
      <c r="MJ566" s="6"/>
      <c r="MN566" s="6"/>
      <c r="MO566" s="6"/>
      <c r="MT566" s="6"/>
      <c r="NE566" s="6"/>
      <c r="NF566" s="6"/>
      <c r="NK566" s="6"/>
      <c r="NO566" s="6"/>
      <c r="NP566" s="6"/>
      <c r="NU566" s="6"/>
      <c r="OF566" s="6"/>
      <c r="OG566" s="6"/>
      <c r="OL566" s="6"/>
      <c r="OP566" s="6"/>
      <c r="OQ566" s="6"/>
      <c r="OV566" s="6"/>
      <c r="QH566" s="6"/>
      <c r="QI566" s="6"/>
      <c r="QN566" s="6"/>
      <c r="QR566" s="6"/>
      <c r="QS566" s="6"/>
      <c r="QX566" s="6"/>
      <c r="SJ566" s="6"/>
      <c r="SK566" s="6"/>
      <c r="SP566" s="6"/>
      <c r="ST566" s="6"/>
      <c r="SU566" s="6"/>
      <c r="SZ566" s="6"/>
    </row>
    <row r="567" spans="12:520" x14ac:dyDescent="0.3">
      <c r="O567" s="5"/>
      <c r="R567" s="5"/>
      <c r="S567" s="6"/>
      <c r="T567" s="6"/>
      <c r="U567" s="7"/>
      <c r="W567" s="6"/>
      <c r="X567" s="5"/>
      <c r="Z567" s="5"/>
      <c r="AA567" s="6"/>
      <c r="AB567" s="7"/>
      <c r="AG567" s="5"/>
      <c r="AH567" s="6"/>
      <c r="BT567" s="6"/>
      <c r="BU567" s="6"/>
      <c r="BZ567" s="6"/>
      <c r="CD567" s="6"/>
      <c r="CE567" s="6"/>
      <c r="CJ567" s="6"/>
      <c r="CU567" s="6"/>
      <c r="CV567" s="6"/>
      <c r="DA567" s="6"/>
      <c r="DE567" s="6"/>
      <c r="DF567" s="6"/>
      <c r="DK567" s="6"/>
      <c r="DV567" s="6"/>
      <c r="DW567" s="6"/>
      <c r="EB567" s="6"/>
      <c r="EF567" s="6"/>
      <c r="EG567" s="6"/>
      <c r="EL567" s="6"/>
      <c r="EW567" s="6"/>
      <c r="EX567" s="6"/>
      <c r="FC567" s="6"/>
      <c r="FG567" s="6"/>
      <c r="FH567" s="6"/>
      <c r="FM567" s="6"/>
      <c r="FX567" s="6"/>
      <c r="FY567" s="6"/>
      <c r="GD567" s="6"/>
      <c r="GH567" s="6"/>
      <c r="GI567" s="6"/>
      <c r="GN567" s="6"/>
      <c r="GY567" s="6"/>
      <c r="GZ567" s="6"/>
      <c r="HE567" s="6"/>
      <c r="HI567" s="6"/>
      <c r="HJ567" s="6"/>
      <c r="HO567" s="6"/>
      <c r="HZ567" s="6"/>
      <c r="IA567" s="6"/>
      <c r="IF567" s="6"/>
      <c r="IJ567" s="6"/>
      <c r="IK567" s="6"/>
      <c r="IP567" s="6"/>
      <c r="JA567" s="6"/>
      <c r="JB567" s="6"/>
      <c r="JG567" s="6"/>
      <c r="JK567" s="6"/>
      <c r="JL567" s="6"/>
      <c r="JQ567" s="6"/>
      <c r="KB567" s="6"/>
      <c r="KC567" s="6"/>
      <c r="KH567" s="6"/>
      <c r="KL567" s="6"/>
      <c r="KM567" s="6"/>
      <c r="KR567" s="6"/>
      <c r="MD567" s="6"/>
      <c r="ME567" s="6"/>
      <c r="MJ567" s="6"/>
      <c r="MN567" s="6"/>
      <c r="MO567" s="6"/>
      <c r="MT567" s="6"/>
      <c r="NE567" s="6"/>
      <c r="NF567" s="6"/>
      <c r="NK567" s="6"/>
      <c r="NO567" s="6"/>
      <c r="NP567" s="6"/>
      <c r="NU567" s="6"/>
      <c r="OF567" s="6"/>
      <c r="OG567" s="6"/>
      <c r="OL567" s="6"/>
      <c r="OP567" s="6"/>
      <c r="OQ567" s="6"/>
      <c r="OV567" s="6"/>
      <c r="QH567" s="6"/>
      <c r="QI567" s="6"/>
      <c r="QN567" s="6"/>
      <c r="QR567" s="6"/>
      <c r="QS567" s="6"/>
      <c r="QX567" s="6"/>
      <c r="SJ567" s="6"/>
      <c r="SK567" s="6"/>
      <c r="SP567" s="6"/>
      <c r="ST567" s="6"/>
      <c r="SU567" s="6"/>
      <c r="SZ567" s="6"/>
    </row>
    <row r="568" spans="12:520" x14ac:dyDescent="0.3">
      <c r="O568" s="5"/>
      <c r="R568" s="5"/>
      <c r="S568" s="6"/>
      <c r="T568" s="6"/>
      <c r="U568" s="7"/>
      <c r="W568" s="6"/>
      <c r="X568" s="5"/>
      <c r="Z568" s="5"/>
      <c r="AA568" s="6"/>
      <c r="AB568" s="7"/>
      <c r="AG568" s="5"/>
      <c r="AH568" s="6"/>
      <c r="BT568" s="6"/>
      <c r="BU568" s="6"/>
      <c r="BZ568" s="6"/>
      <c r="CD568" s="6"/>
      <c r="CE568" s="6"/>
      <c r="CJ568" s="6"/>
      <c r="CU568" s="6"/>
      <c r="CV568" s="6"/>
      <c r="DA568" s="6"/>
      <c r="DE568" s="6"/>
      <c r="DF568" s="6"/>
      <c r="DK568" s="6"/>
      <c r="DV568" s="6"/>
      <c r="DW568" s="6"/>
      <c r="EB568" s="6"/>
      <c r="EF568" s="6"/>
      <c r="EG568" s="6"/>
      <c r="EL568" s="6"/>
      <c r="EW568" s="6"/>
      <c r="EX568" s="6"/>
      <c r="FC568" s="6"/>
      <c r="FG568" s="6"/>
      <c r="FH568" s="6"/>
      <c r="FM568" s="6"/>
      <c r="FX568" s="6"/>
      <c r="FY568" s="6"/>
      <c r="GD568" s="6"/>
      <c r="GH568" s="6"/>
      <c r="GI568" s="6"/>
      <c r="GN568" s="6"/>
      <c r="GY568" s="6"/>
      <c r="GZ568" s="6"/>
      <c r="HE568" s="6"/>
      <c r="HI568" s="6"/>
      <c r="HJ568" s="6"/>
      <c r="HO568" s="6"/>
      <c r="HZ568" s="6"/>
      <c r="IA568" s="6"/>
      <c r="IF568" s="6"/>
      <c r="IJ568" s="6"/>
      <c r="IK568" s="6"/>
      <c r="IP568" s="6"/>
      <c r="JA568" s="6"/>
      <c r="JB568" s="6"/>
      <c r="JG568" s="6"/>
      <c r="JK568" s="6"/>
      <c r="JL568" s="6"/>
      <c r="JQ568" s="6"/>
      <c r="KB568" s="6"/>
      <c r="KC568" s="6"/>
      <c r="KH568" s="6"/>
      <c r="KL568" s="6"/>
      <c r="KM568" s="6"/>
      <c r="KR568" s="6"/>
      <c r="MD568" s="6"/>
      <c r="ME568" s="6"/>
      <c r="MJ568" s="6"/>
      <c r="MN568" s="6"/>
      <c r="MO568" s="6"/>
      <c r="MT568" s="6"/>
      <c r="NE568" s="6"/>
      <c r="NF568" s="6"/>
      <c r="NK568" s="6"/>
      <c r="NO568" s="6"/>
      <c r="NP568" s="6"/>
      <c r="NU568" s="6"/>
      <c r="NZ568" s="8"/>
      <c r="OA568" s="8"/>
      <c r="OB568" s="8"/>
      <c r="OF568" s="6"/>
      <c r="OG568" s="6"/>
      <c r="OL568" s="6"/>
      <c r="OP568" s="6"/>
      <c r="OQ568" s="6"/>
      <c r="OV568" s="6"/>
      <c r="QH568" s="6"/>
      <c r="QI568" s="6"/>
      <c r="QN568" s="6"/>
      <c r="QR568" s="6"/>
      <c r="QS568" s="6"/>
      <c r="QX568" s="6"/>
      <c r="SJ568" s="6"/>
      <c r="SK568" s="6"/>
      <c r="SP568" s="6"/>
      <c r="ST568" s="6"/>
      <c r="SU568" s="6"/>
      <c r="SZ568" s="6"/>
    </row>
    <row r="569" spans="12:520" x14ac:dyDescent="0.3">
      <c r="L569" s="8"/>
      <c r="M569" s="8"/>
      <c r="N569" s="8"/>
      <c r="O569" s="5"/>
      <c r="R569" s="5"/>
      <c r="S569" s="6"/>
      <c r="T569" s="6"/>
      <c r="U569" s="7"/>
      <c r="W569" s="6"/>
      <c r="X569" s="5"/>
      <c r="Z569" s="5"/>
      <c r="AA569" s="6"/>
      <c r="AB569" s="7"/>
      <c r="AG569" s="5"/>
      <c r="AH569" s="6"/>
      <c r="BN569" s="8"/>
      <c r="BO569" s="8"/>
      <c r="BP569" s="8"/>
      <c r="BT569" s="6"/>
      <c r="BU569" s="6"/>
      <c r="BZ569" s="6"/>
      <c r="CD569" s="6"/>
      <c r="CE569" s="6"/>
      <c r="CJ569" s="6"/>
      <c r="CO569" s="8"/>
      <c r="CP569" s="8"/>
      <c r="CQ569" s="8"/>
      <c r="CU569" s="6"/>
      <c r="CV569" s="6"/>
      <c r="DA569" s="6"/>
      <c r="DE569" s="6"/>
      <c r="DF569" s="6"/>
      <c r="DK569" s="6"/>
      <c r="DP569" s="8"/>
      <c r="DQ569" s="8"/>
      <c r="DR569" s="8"/>
      <c r="DV569" s="6"/>
      <c r="DW569" s="6"/>
      <c r="EB569" s="6"/>
      <c r="EF569" s="6"/>
      <c r="EG569" s="6"/>
      <c r="EL569" s="6"/>
      <c r="EQ569" s="8"/>
      <c r="ER569" s="8"/>
      <c r="ES569" s="8"/>
      <c r="EW569" s="6"/>
      <c r="EX569" s="6"/>
      <c r="FC569" s="6"/>
      <c r="FG569" s="6"/>
      <c r="FH569" s="6"/>
      <c r="FM569" s="6"/>
      <c r="FR569" s="8"/>
      <c r="FS569" s="8"/>
      <c r="FT569" s="8"/>
      <c r="FX569" s="6"/>
      <c r="FY569" s="6"/>
      <c r="GD569" s="6"/>
      <c r="GH569" s="6"/>
      <c r="GI569" s="6"/>
      <c r="GN569" s="6"/>
      <c r="GS569" s="8"/>
      <c r="GT569" s="8"/>
      <c r="GU569" s="8"/>
      <c r="GY569" s="6"/>
      <c r="GZ569" s="6"/>
      <c r="HE569" s="6"/>
      <c r="HI569" s="6"/>
      <c r="HJ569" s="6"/>
      <c r="HO569" s="6"/>
      <c r="HT569" s="8"/>
      <c r="HU569" s="8"/>
      <c r="HV569" s="8"/>
      <c r="HZ569" s="6"/>
      <c r="IA569" s="6"/>
      <c r="IF569" s="6"/>
      <c r="IJ569" s="6"/>
      <c r="IK569" s="6"/>
      <c r="IP569" s="6"/>
      <c r="IU569" s="8"/>
      <c r="IV569" s="8"/>
      <c r="IW569" s="8"/>
      <c r="JA569" s="6"/>
      <c r="JB569" s="6"/>
      <c r="JG569" s="6"/>
      <c r="JK569" s="6"/>
      <c r="JL569" s="6"/>
      <c r="JQ569" s="6"/>
      <c r="JV569" s="8"/>
      <c r="JW569" s="8"/>
      <c r="JX569" s="8"/>
      <c r="KB569" s="6"/>
      <c r="KC569" s="6"/>
      <c r="KH569" s="6"/>
      <c r="KL569" s="6"/>
      <c r="KM569" s="6"/>
      <c r="KR569" s="6"/>
      <c r="LX569" s="8"/>
      <c r="LY569" s="8"/>
      <c r="LZ569" s="8"/>
      <c r="MD569" s="6"/>
      <c r="ME569" s="6"/>
      <c r="MJ569" s="6"/>
      <c r="MN569" s="6"/>
      <c r="MO569" s="6"/>
      <c r="MT569" s="6"/>
      <c r="MY569" s="8"/>
      <c r="MZ569" s="8"/>
      <c r="NA569" s="8"/>
      <c r="NE569" s="6"/>
      <c r="NF569" s="6"/>
      <c r="NK569" s="6"/>
      <c r="NO569" s="6"/>
      <c r="NP569" s="6"/>
      <c r="NU569" s="6"/>
      <c r="QB569" s="8"/>
      <c r="QC569" s="8"/>
      <c r="QD569" s="8"/>
      <c r="QH569" s="6"/>
      <c r="QI569" s="6"/>
      <c r="QN569" s="6"/>
      <c r="QR569" s="6"/>
      <c r="QS569" s="6"/>
      <c r="QX569" s="6"/>
      <c r="SD569" s="8"/>
      <c r="SE569" s="8"/>
      <c r="SF569" s="8"/>
      <c r="SJ569" s="6"/>
      <c r="SK569" s="6"/>
      <c r="SP569" s="6"/>
      <c r="ST569" s="6"/>
      <c r="SU569" s="6"/>
      <c r="SZ569" s="6"/>
    </row>
    <row r="590" spans="18:520" x14ac:dyDescent="0.3">
      <c r="R590" s="6"/>
      <c r="S590" s="7"/>
      <c r="T590" s="7"/>
      <c r="Z590" s="6"/>
      <c r="AA590" s="7"/>
      <c r="AG590" s="6"/>
      <c r="AX590" s="6"/>
      <c r="BB590" s="6"/>
      <c r="BC590" s="7"/>
      <c r="BH590" s="6"/>
      <c r="BS590" s="6"/>
      <c r="BT590" s="7"/>
      <c r="BY590" s="6"/>
      <c r="CC590" s="6"/>
      <c r="CD590" s="7"/>
      <c r="CI590" s="6"/>
      <c r="CT590" s="6"/>
      <c r="CU590" s="7"/>
      <c r="CZ590" s="6"/>
      <c r="DD590" s="6"/>
      <c r="DE590" s="7"/>
      <c r="DJ590" s="6"/>
      <c r="DU590" s="6"/>
      <c r="DV590" s="7"/>
      <c r="EA590" s="6"/>
      <c r="EE590" s="6"/>
      <c r="EF590" s="7"/>
      <c r="EK590" s="6"/>
      <c r="EV590" s="6"/>
      <c r="EW590" s="7"/>
      <c r="FB590" s="6"/>
      <c r="FF590" s="6"/>
      <c r="FG590" s="7"/>
      <c r="FL590" s="6"/>
      <c r="FW590" s="6"/>
      <c r="FX590" s="7"/>
      <c r="GC590" s="6"/>
      <c r="GG590" s="6"/>
      <c r="GH590" s="7"/>
      <c r="GM590" s="6"/>
      <c r="GX590" s="6"/>
      <c r="GY590" s="7"/>
      <c r="HD590" s="6"/>
      <c r="HH590" s="6"/>
      <c r="HI590" s="7"/>
      <c r="HN590" s="6"/>
      <c r="HY590" s="6"/>
      <c r="HZ590" s="7"/>
      <c r="IE590" s="6"/>
      <c r="II590" s="6"/>
      <c r="IJ590" s="7"/>
      <c r="IO590" s="6"/>
      <c r="IZ590" s="6"/>
      <c r="JA590" s="7"/>
      <c r="JF590" s="6"/>
      <c r="JJ590" s="6"/>
      <c r="JK590" s="7"/>
      <c r="JP590" s="6"/>
      <c r="KA590" s="6"/>
      <c r="KB590" s="7"/>
      <c r="KG590" s="6"/>
      <c r="KK590" s="6"/>
      <c r="KL590" s="7"/>
      <c r="KQ590" s="6"/>
      <c r="LB590" s="6"/>
      <c r="LC590" s="7"/>
      <c r="LH590" s="6"/>
      <c r="LL590" s="6"/>
      <c r="LM590" s="7"/>
      <c r="LR590" s="6"/>
      <c r="MC590" s="6"/>
      <c r="MD590" s="7"/>
      <c r="MI590" s="6"/>
      <c r="MM590" s="6"/>
      <c r="MN590" s="7"/>
      <c r="MS590" s="6"/>
      <c r="ND590" s="6"/>
      <c r="NE590" s="7"/>
      <c r="NJ590" s="6"/>
      <c r="NN590" s="6"/>
      <c r="NO590" s="7"/>
      <c r="NT590" s="6"/>
      <c r="OE590" s="6"/>
      <c r="OF590" s="7"/>
      <c r="OK590" s="6"/>
      <c r="OO590" s="6"/>
      <c r="OP590" s="7"/>
      <c r="OU590" s="6"/>
      <c r="PF590" s="6"/>
      <c r="PG590" s="7"/>
      <c r="PL590" s="6"/>
      <c r="PP590" s="6"/>
      <c r="PQ590" s="7"/>
      <c r="PV590" s="6"/>
      <c r="QG590" s="6"/>
      <c r="QH590" s="7"/>
      <c r="QM590" s="6"/>
      <c r="QQ590" s="6"/>
      <c r="QR590" s="7"/>
      <c r="QW590" s="6"/>
      <c r="RH590" s="6"/>
      <c r="RI590" s="7"/>
      <c r="RN590" s="6"/>
      <c r="RR590" s="6"/>
      <c r="RS590" s="7"/>
      <c r="RX590" s="6"/>
      <c r="SI590" s="6"/>
      <c r="SJ590" s="7"/>
      <c r="SO590" s="6"/>
      <c r="SS590" s="6"/>
      <c r="ST590" s="7"/>
      <c r="SY590" s="6"/>
    </row>
    <row r="591" spans="18:520" x14ac:dyDescent="0.3">
      <c r="S591" s="6"/>
      <c r="T591" s="6"/>
      <c r="U591" s="6"/>
      <c r="W591" s="6"/>
      <c r="AA591" s="6"/>
      <c r="AB591" s="6"/>
      <c r="AH591" s="6"/>
      <c r="AT591" s="6"/>
      <c r="AY591" s="6"/>
      <c r="BC591" s="6"/>
      <c r="BD591" s="6"/>
      <c r="BI591" s="6"/>
      <c r="BT591" s="6"/>
      <c r="BU591" s="6"/>
      <c r="BZ591" s="6"/>
      <c r="CD591" s="6"/>
      <c r="CE591" s="6"/>
      <c r="CJ591" s="6"/>
      <c r="CU591" s="6"/>
      <c r="CV591" s="6"/>
      <c r="DA591" s="6"/>
      <c r="DE591" s="6"/>
      <c r="DF591" s="6"/>
      <c r="DK591" s="6"/>
      <c r="DV591" s="6"/>
      <c r="DW591" s="6"/>
      <c r="EB591" s="6"/>
      <c r="EF591" s="6"/>
      <c r="EG591" s="6"/>
      <c r="EL591" s="6"/>
      <c r="EW591" s="6"/>
      <c r="EX591" s="6"/>
      <c r="FC591" s="6"/>
      <c r="FG591" s="6"/>
      <c r="FH591" s="6"/>
      <c r="FM591" s="6"/>
      <c r="FX591" s="6"/>
      <c r="FY591" s="6"/>
      <c r="GD591" s="6"/>
      <c r="GH591" s="6"/>
      <c r="GI591" s="6"/>
      <c r="GN591" s="6"/>
      <c r="GY591" s="6"/>
      <c r="GZ591" s="6"/>
      <c r="HE591" s="6"/>
      <c r="HI591" s="6"/>
      <c r="HJ591" s="6"/>
      <c r="HO591" s="6"/>
      <c r="HZ591" s="6"/>
      <c r="IA591" s="6"/>
      <c r="IF591" s="6"/>
      <c r="IJ591" s="6"/>
      <c r="IK591" s="6"/>
      <c r="IP591" s="6"/>
      <c r="JA591" s="6"/>
      <c r="JB591" s="6"/>
      <c r="JG591" s="6"/>
      <c r="JK591" s="6"/>
      <c r="JL591" s="6"/>
      <c r="JQ591" s="6"/>
      <c r="KB591" s="6"/>
      <c r="KC591" s="6"/>
      <c r="KH591" s="6"/>
      <c r="KL591" s="6"/>
      <c r="KM591" s="6"/>
      <c r="KR591" s="6"/>
      <c r="LC591" s="6"/>
      <c r="LD591" s="6"/>
      <c r="LI591" s="6"/>
      <c r="LM591" s="6"/>
      <c r="LN591" s="6"/>
      <c r="LS591" s="6"/>
      <c r="MD591" s="6"/>
      <c r="ME591" s="6"/>
      <c r="MJ591" s="6"/>
      <c r="MN591" s="6"/>
      <c r="MO591" s="6"/>
      <c r="MT591" s="6"/>
      <c r="NE591" s="6"/>
      <c r="NF591" s="6"/>
      <c r="NK591" s="6"/>
      <c r="NO591" s="6"/>
      <c r="NP591" s="6"/>
      <c r="NU591" s="6"/>
      <c r="OF591" s="6"/>
      <c r="OG591" s="6"/>
      <c r="OL591" s="6"/>
      <c r="OP591" s="6"/>
      <c r="OQ591" s="6"/>
      <c r="OV591" s="6"/>
      <c r="PG591" s="6"/>
      <c r="PH591" s="6"/>
      <c r="PM591" s="6"/>
      <c r="PQ591" s="6"/>
      <c r="PR591" s="6"/>
      <c r="PW591" s="6"/>
      <c r="QH591" s="6"/>
      <c r="QI591" s="6"/>
      <c r="QN591" s="6"/>
      <c r="QR591" s="6"/>
      <c r="QS591" s="6"/>
      <c r="QX591" s="6"/>
      <c r="RI591" s="6"/>
      <c r="RJ591" s="6"/>
      <c r="RO591" s="6"/>
      <c r="RS591" s="6"/>
      <c r="RT591" s="6"/>
      <c r="RY591" s="6"/>
      <c r="SJ591" s="6"/>
      <c r="SK591" s="6"/>
      <c r="SP591" s="6"/>
      <c r="ST591" s="6"/>
      <c r="SU591" s="6"/>
      <c r="SZ591" s="6"/>
    </row>
    <row r="592" spans="18:520" x14ac:dyDescent="0.3">
      <c r="S592" s="6"/>
      <c r="T592" s="6"/>
      <c r="U592" s="6"/>
      <c r="W592" s="6"/>
      <c r="AA592" s="6"/>
      <c r="AB592" s="6"/>
      <c r="AH592" s="6"/>
      <c r="AT592" s="6"/>
      <c r="AY592" s="6"/>
      <c r="BC592" s="6"/>
      <c r="BD592" s="6"/>
      <c r="BI592" s="6"/>
      <c r="BT592" s="6"/>
      <c r="BU592" s="6"/>
      <c r="BZ592" s="6"/>
      <c r="CD592" s="6"/>
      <c r="CE592" s="6"/>
      <c r="CJ592" s="6"/>
      <c r="CU592" s="6"/>
      <c r="CV592" s="6"/>
      <c r="DA592" s="6"/>
      <c r="DE592" s="6"/>
      <c r="DF592" s="6"/>
      <c r="DK592" s="6"/>
      <c r="DP592" s="8"/>
      <c r="DQ592" s="8"/>
      <c r="DR592" s="8"/>
      <c r="DV592" s="6"/>
      <c r="DW592" s="6"/>
      <c r="EB592" s="6"/>
      <c r="EF592" s="6"/>
      <c r="EG592" s="6"/>
      <c r="EL592" s="6"/>
      <c r="EW592" s="6"/>
      <c r="EX592" s="6"/>
      <c r="FC592" s="6"/>
      <c r="FG592" s="6"/>
      <c r="FH592" s="6"/>
      <c r="FM592" s="6"/>
      <c r="FX592" s="6"/>
      <c r="FY592" s="6"/>
      <c r="GD592" s="6"/>
      <c r="GH592" s="6"/>
      <c r="GI592" s="6"/>
      <c r="GN592" s="6"/>
      <c r="GY592" s="6"/>
      <c r="GZ592" s="6"/>
      <c r="HE592" s="6"/>
      <c r="HI592" s="6"/>
      <c r="HJ592" s="6"/>
      <c r="HO592" s="6"/>
      <c r="HZ592" s="6"/>
      <c r="IA592" s="6"/>
      <c r="IF592" s="6"/>
      <c r="IJ592" s="6"/>
      <c r="IK592" s="6"/>
      <c r="IP592" s="6"/>
      <c r="JA592" s="6"/>
      <c r="JB592" s="6"/>
      <c r="JG592" s="6"/>
      <c r="JK592" s="6"/>
      <c r="JL592" s="6"/>
      <c r="JQ592" s="6"/>
      <c r="KB592" s="6"/>
      <c r="KC592" s="6"/>
      <c r="KH592" s="6"/>
      <c r="KL592" s="6"/>
      <c r="KM592" s="6"/>
      <c r="KR592" s="6"/>
      <c r="LC592" s="6"/>
      <c r="LD592" s="6"/>
      <c r="LI592" s="6"/>
      <c r="LM592" s="6"/>
      <c r="LN592" s="6"/>
      <c r="LS592" s="6"/>
      <c r="MD592" s="6"/>
      <c r="ME592" s="6"/>
      <c r="MJ592" s="6"/>
      <c r="MN592" s="6"/>
      <c r="MO592" s="6"/>
      <c r="MT592" s="6"/>
      <c r="NE592" s="6"/>
      <c r="NF592" s="6"/>
      <c r="NK592" s="6"/>
      <c r="NO592" s="6"/>
      <c r="NP592" s="6"/>
      <c r="NU592" s="6"/>
      <c r="OF592" s="6"/>
      <c r="OG592" s="6"/>
      <c r="OL592" s="6"/>
      <c r="OP592" s="6"/>
      <c r="OQ592" s="6"/>
      <c r="OV592" s="6"/>
      <c r="PG592" s="6"/>
      <c r="PH592" s="6"/>
      <c r="PM592" s="6"/>
      <c r="PQ592" s="6"/>
      <c r="PR592" s="6"/>
      <c r="PW592" s="6"/>
      <c r="QH592" s="6"/>
      <c r="QI592" s="6"/>
      <c r="QN592" s="6"/>
      <c r="QR592" s="6"/>
      <c r="QS592" s="6"/>
      <c r="QX592" s="6"/>
      <c r="RI592" s="6"/>
      <c r="RJ592" s="6"/>
      <c r="RO592" s="6"/>
      <c r="RS592" s="6"/>
      <c r="RT592" s="6"/>
      <c r="RY592" s="6"/>
      <c r="SJ592" s="6"/>
      <c r="SK592" s="6"/>
      <c r="SP592" s="6"/>
      <c r="ST592" s="6"/>
      <c r="SU592" s="6"/>
      <c r="SZ592" s="6"/>
    </row>
    <row r="593" spans="12:520" x14ac:dyDescent="0.3">
      <c r="S593" s="6"/>
      <c r="T593" s="6"/>
      <c r="U593" s="6"/>
      <c r="W593" s="6"/>
      <c r="AA593" s="6"/>
      <c r="AB593" s="6"/>
      <c r="AH593" s="6"/>
      <c r="AT593" s="6"/>
      <c r="AY593" s="6"/>
      <c r="BC593" s="6"/>
      <c r="BD593" s="6"/>
      <c r="BI593" s="6"/>
      <c r="BT593" s="6"/>
      <c r="BU593" s="6"/>
      <c r="BZ593" s="6"/>
      <c r="CD593" s="6"/>
      <c r="CE593" s="6"/>
      <c r="CJ593" s="6"/>
      <c r="CU593" s="6"/>
      <c r="CV593" s="6"/>
      <c r="DA593" s="6"/>
      <c r="DE593" s="6"/>
      <c r="DF593" s="6"/>
      <c r="DK593" s="6"/>
      <c r="EW593" s="6"/>
      <c r="EX593" s="6"/>
      <c r="FC593" s="6"/>
      <c r="FG593" s="6"/>
      <c r="FH593" s="6"/>
      <c r="FM593" s="6"/>
      <c r="FX593" s="6"/>
      <c r="FY593" s="6"/>
      <c r="GD593" s="6"/>
      <c r="GH593" s="6"/>
      <c r="GI593" s="6"/>
      <c r="GN593" s="6"/>
      <c r="GY593" s="6"/>
      <c r="GZ593" s="6"/>
      <c r="HE593" s="6"/>
      <c r="HI593" s="6"/>
      <c r="HJ593" s="6"/>
      <c r="HO593" s="6"/>
      <c r="HZ593" s="6"/>
      <c r="IA593" s="6"/>
      <c r="IF593" s="6"/>
      <c r="IJ593" s="6"/>
      <c r="IK593" s="6"/>
      <c r="IP593" s="6"/>
      <c r="JA593" s="6"/>
      <c r="JB593" s="6"/>
      <c r="JG593" s="6"/>
      <c r="JK593" s="6"/>
      <c r="JL593" s="6"/>
      <c r="JQ593" s="6"/>
      <c r="KB593" s="6"/>
      <c r="KC593" s="6"/>
      <c r="KH593" s="6"/>
      <c r="KL593" s="6"/>
      <c r="KM593" s="6"/>
      <c r="KR593" s="6"/>
      <c r="LC593" s="6"/>
      <c r="LD593" s="6"/>
      <c r="LI593" s="6"/>
      <c r="LM593" s="6"/>
      <c r="LN593" s="6"/>
      <c r="LS593" s="6"/>
      <c r="MD593" s="6"/>
      <c r="ME593" s="6"/>
      <c r="MJ593" s="6"/>
      <c r="MN593" s="6"/>
      <c r="MO593" s="6"/>
      <c r="MT593" s="6"/>
      <c r="NE593" s="6"/>
      <c r="NF593" s="6"/>
      <c r="NK593" s="6"/>
      <c r="NO593" s="6"/>
      <c r="NP593" s="6"/>
      <c r="NU593" s="6"/>
      <c r="OF593" s="6"/>
      <c r="OG593" s="6"/>
      <c r="OL593" s="6"/>
      <c r="OP593" s="6"/>
      <c r="OQ593" s="6"/>
      <c r="OV593" s="6"/>
      <c r="PG593" s="6"/>
      <c r="PH593" s="6"/>
      <c r="PM593" s="6"/>
      <c r="PQ593" s="6"/>
      <c r="PR593" s="6"/>
      <c r="PW593" s="6"/>
      <c r="QH593" s="6"/>
      <c r="QI593" s="6"/>
      <c r="QN593" s="6"/>
      <c r="QR593" s="6"/>
      <c r="QS593" s="6"/>
      <c r="QX593" s="6"/>
      <c r="RI593" s="6"/>
      <c r="RJ593" s="6"/>
      <c r="RO593" s="6"/>
      <c r="RS593" s="6"/>
      <c r="RT593" s="6"/>
      <c r="RY593" s="6"/>
      <c r="SJ593" s="6"/>
      <c r="SK593" s="6"/>
      <c r="SP593" s="6"/>
      <c r="ST593" s="6"/>
      <c r="SU593" s="6"/>
      <c r="SZ593" s="6"/>
    </row>
    <row r="594" spans="12:520" x14ac:dyDescent="0.3">
      <c r="S594" s="6"/>
      <c r="T594" s="6"/>
      <c r="U594" s="6"/>
      <c r="W594" s="6"/>
      <c r="AA594" s="6"/>
      <c r="AB594" s="6"/>
      <c r="AH594" s="6"/>
      <c r="AR594" s="6"/>
      <c r="AS594" s="7"/>
      <c r="AT594" s="6"/>
      <c r="AY594" s="6"/>
      <c r="BC594" s="6"/>
      <c r="BD594" s="6"/>
      <c r="BI594" s="6"/>
      <c r="BN594" s="8"/>
      <c r="BO594" s="8"/>
      <c r="BP594" s="8"/>
      <c r="BT594" s="6"/>
      <c r="BU594" s="6"/>
      <c r="BZ594" s="6"/>
      <c r="CD594" s="6"/>
      <c r="CE594" s="6"/>
      <c r="CJ594" s="6"/>
      <c r="CU594" s="6"/>
      <c r="CV594" s="6"/>
      <c r="DA594" s="6"/>
      <c r="DE594" s="6"/>
      <c r="DF594" s="6"/>
      <c r="DK594" s="6"/>
      <c r="EW594" s="6"/>
      <c r="EX594" s="6"/>
      <c r="FC594" s="6"/>
      <c r="FG594" s="6"/>
      <c r="FH594" s="6"/>
      <c r="FM594" s="6"/>
      <c r="FX594" s="6"/>
      <c r="FY594" s="6"/>
      <c r="GD594" s="6"/>
      <c r="GH594" s="6"/>
      <c r="GI594" s="6"/>
      <c r="GN594" s="6"/>
      <c r="GY594" s="6"/>
      <c r="GZ594" s="6"/>
      <c r="HE594" s="6"/>
      <c r="HI594" s="6"/>
      <c r="HJ594" s="6"/>
      <c r="HO594" s="6"/>
      <c r="HZ594" s="6"/>
      <c r="IA594" s="6"/>
      <c r="IF594" s="6"/>
      <c r="IJ594" s="6"/>
      <c r="IK594" s="6"/>
      <c r="IP594" s="6"/>
      <c r="JA594" s="6"/>
      <c r="JB594" s="6"/>
      <c r="JG594" s="6"/>
      <c r="JK594" s="6"/>
      <c r="JL594" s="6"/>
      <c r="JQ594" s="6"/>
      <c r="KB594" s="6"/>
      <c r="KC594" s="6"/>
      <c r="KH594" s="6"/>
      <c r="KL594" s="6"/>
      <c r="KM594" s="6"/>
      <c r="KR594" s="6"/>
      <c r="LC594" s="6"/>
      <c r="LD594" s="6"/>
      <c r="LI594" s="6"/>
      <c r="LM594" s="6"/>
      <c r="LN594" s="6"/>
      <c r="LS594" s="6"/>
      <c r="MD594" s="6"/>
      <c r="ME594" s="6"/>
      <c r="MJ594" s="6"/>
      <c r="MN594" s="6"/>
      <c r="MO594" s="6"/>
      <c r="MT594" s="6"/>
      <c r="NE594" s="6"/>
      <c r="NF594" s="6"/>
      <c r="NK594" s="6"/>
      <c r="NO594" s="6"/>
      <c r="NP594" s="6"/>
      <c r="NU594" s="6"/>
      <c r="OF594" s="6"/>
      <c r="OG594" s="6"/>
      <c r="OL594" s="6"/>
      <c r="OP594" s="6"/>
      <c r="OQ594" s="6"/>
      <c r="OV594" s="6"/>
      <c r="PG594" s="6"/>
      <c r="PH594" s="6"/>
      <c r="PM594" s="6"/>
      <c r="PQ594" s="6"/>
      <c r="PR594" s="6"/>
      <c r="PW594" s="6"/>
      <c r="QH594" s="6"/>
      <c r="QI594" s="6"/>
      <c r="QN594" s="6"/>
      <c r="QR594" s="6"/>
      <c r="QS594" s="6"/>
      <c r="QX594" s="6"/>
      <c r="RI594" s="6"/>
      <c r="RJ594" s="6"/>
      <c r="RO594" s="6"/>
      <c r="RS594" s="6"/>
      <c r="RT594" s="6"/>
      <c r="RY594" s="6"/>
      <c r="SJ594" s="6"/>
      <c r="SK594" s="6"/>
      <c r="SP594" s="6"/>
      <c r="ST594" s="6"/>
      <c r="SU594" s="6"/>
      <c r="SZ594" s="6"/>
    </row>
    <row r="595" spans="12:520" x14ac:dyDescent="0.3">
      <c r="S595" s="6"/>
      <c r="T595" s="6"/>
      <c r="U595" s="6"/>
      <c r="W595" s="6"/>
      <c r="AA595" s="6"/>
      <c r="AB595" s="6"/>
      <c r="AH595" s="6"/>
      <c r="AS595" s="6"/>
      <c r="AT595" s="6"/>
      <c r="AY595" s="6"/>
      <c r="BC595" s="6"/>
      <c r="BD595" s="6"/>
      <c r="BI595" s="6"/>
      <c r="CU595" s="6"/>
      <c r="CV595" s="6"/>
      <c r="DA595" s="6"/>
      <c r="DE595" s="6"/>
      <c r="DF595" s="6"/>
      <c r="DK595" s="6"/>
      <c r="EW595" s="6"/>
      <c r="EX595" s="6"/>
      <c r="FC595" s="6"/>
      <c r="FG595" s="6"/>
      <c r="FH595" s="6"/>
      <c r="FM595" s="6"/>
      <c r="FX595" s="6"/>
      <c r="FY595" s="6"/>
      <c r="GD595" s="6"/>
      <c r="GH595" s="6"/>
      <c r="GI595" s="6"/>
      <c r="GN595" s="6"/>
      <c r="GY595" s="6"/>
      <c r="GZ595" s="6"/>
      <c r="HE595" s="6"/>
      <c r="HI595" s="6"/>
      <c r="HJ595" s="6"/>
      <c r="HO595" s="6"/>
      <c r="HZ595" s="6"/>
      <c r="IA595" s="6"/>
      <c r="IF595" s="6"/>
      <c r="IJ595" s="6"/>
      <c r="IK595" s="6"/>
      <c r="IP595" s="6"/>
      <c r="JA595" s="6"/>
      <c r="JB595" s="6"/>
      <c r="JG595" s="6"/>
      <c r="JK595" s="6"/>
      <c r="JL595" s="6"/>
      <c r="JQ595" s="6"/>
      <c r="KB595" s="6"/>
      <c r="KC595" s="6"/>
      <c r="KH595" s="6"/>
      <c r="KL595" s="6"/>
      <c r="KM595" s="6"/>
      <c r="KR595" s="6"/>
      <c r="LC595" s="6"/>
      <c r="LD595" s="6"/>
      <c r="LI595" s="6"/>
      <c r="LM595" s="6"/>
      <c r="LN595" s="6"/>
      <c r="LS595" s="6"/>
      <c r="MD595" s="6"/>
      <c r="ME595" s="6"/>
      <c r="MJ595" s="6"/>
      <c r="MN595" s="6"/>
      <c r="MO595" s="6"/>
      <c r="MT595" s="6"/>
      <c r="NE595" s="6"/>
      <c r="NF595" s="6"/>
      <c r="NK595" s="6"/>
      <c r="NO595" s="6"/>
      <c r="NP595" s="6"/>
      <c r="NU595" s="6"/>
      <c r="OF595" s="6"/>
      <c r="OG595" s="6"/>
      <c r="OL595" s="6"/>
      <c r="OP595" s="6"/>
      <c r="OQ595" s="6"/>
      <c r="OV595" s="6"/>
      <c r="PG595" s="6"/>
      <c r="PH595" s="6"/>
      <c r="PM595" s="6"/>
      <c r="PQ595" s="6"/>
      <c r="PR595" s="6"/>
      <c r="PW595" s="6"/>
      <c r="QH595" s="6"/>
      <c r="QI595" s="6"/>
      <c r="QN595" s="6"/>
      <c r="QR595" s="6"/>
      <c r="QS595" s="6"/>
      <c r="QX595" s="6"/>
      <c r="RI595" s="6"/>
      <c r="RJ595" s="6"/>
      <c r="RO595" s="6"/>
      <c r="RS595" s="6"/>
      <c r="RT595" s="6"/>
      <c r="RY595" s="6"/>
      <c r="SJ595" s="6"/>
      <c r="SK595" s="6"/>
      <c r="SP595" s="6"/>
      <c r="ST595" s="6"/>
      <c r="SU595" s="6"/>
      <c r="SZ595" s="6"/>
    </row>
    <row r="596" spans="12:520" x14ac:dyDescent="0.3">
      <c r="S596" s="6"/>
      <c r="T596" s="6"/>
      <c r="U596" s="6"/>
      <c r="W596" s="6"/>
      <c r="AA596" s="6"/>
      <c r="AB596" s="6"/>
      <c r="AH596" s="6"/>
      <c r="AS596" s="6"/>
      <c r="AT596" s="6"/>
      <c r="AY596" s="6"/>
      <c r="BC596" s="6"/>
      <c r="BD596" s="6"/>
      <c r="BI596" s="6"/>
      <c r="CU596" s="6"/>
      <c r="CV596" s="6"/>
      <c r="DA596" s="6"/>
      <c r="DE596" s="6"/>
      <c r="DF596" s="6"/>
      <c r="DK596" s="6"/>
      <c r="EQ596" s="8"/>
      <c r="ER596" s="8"/>
      <c r="ES596" s="8"/>
      <c r="EW596" s="6"/>
      <c r="EX596" s="6"/>
      <c r="FC596" s="6"/>
      <c r="FG596" s="6"/>
      <c r="FH596" s="6"/>
      <c r="FM596" s="6"/>
      <c r="FX596" s="6"/>
      <c r="FY596" s="6"/>
      <c r="GD596" s="6"/>
      <c r="GH596" s="6"/>
      <c r="GI596" s="6"/>
      <c r="GN596" s="6"/>
      <c r="GY596" s="6"/>
      <c r="GZ596" s="6"/>
      <c r="HE596" s="6"/>
      <c r="HI596" s="6"/>
      <c r="HJ596" s="6"/>
      <c r="HO596" s="6"/>
      <c r="HZ596" s="6"/>
      <c r="IA596" s="6"/>
      <c r="IF596" s="6"/>
      <c r="IJ596" s="6"/>
      <c r="IK596" s="6"/>
      <c r="IP596" s="6"/>
      <c r="JA596" s="6"/>
      <c r="JB596" s="6"/>
      <c r="JG596" s="6"/>
      <c r="JK596" s="6"/>
      <c r="JL596" s="6"/>
      <c r="JQ596" s="6"/>
      <c r="KB596" s="6"/>
      <c r="KC596" s="6"/>
      <c r="KH596" s="6"/>
      <c r="KL596" s="6"/>
      <c r="KM596" s="6"/>
      <c r="KR596" s="6"/>
      <c r="LC596" s="6"/>
      <c r="LD596" s="6"/>
      <c r="LI596" s="6"/>
      <c r="LM596" s="6"/>
      <c r="LN596" s="6"/>
      <c r="LS596" s="6"/>
      <c r="MD596" s="6"/>
      <c r="ME596" s="6"/>
      <c r="MJ596" s="6"/>
      <c r="MN596" s="6"/>
      <c r="MO596" s="6"/>
      <c r="MT596" s="6"/>
      <c r="NE596" s="6"/>
      <c r="NF596" s="6"/>
      <c r="NK596" s="6"/>
      <c r="NO596" s="6"/>
      <c r="NP596" s="6"/>
      <c r="NU596" s="6"/>
      <c r="OF596" s="6"/>
      <c r="OG596" s="6"/>
      <c r="OL596" s="6"/>
      <c r="OP596" s="6"/>
      <c r="OQ596" s="6"/>
      <c r="OV596" s="6"/>
      <c r="PG596" s="6"/>
      <c r="PH596" s="6"/>
      <c r="PM596" s="6"/>
      <c r="PQ596" s="6"/>
      <c r="PR596" s="6"/>
      <c r="PW596" s="6"/>
      <c r="QH596" s="6"/>
      <c r="QI596" s="6"/>
      <c r="QN596" s="6"/>
      <c r="QR596" s="6"/>
      <c r="QS596" s="6"/>
      <c r="QX596" s="6"/>
      <c r="RI596" s="6"/>
      <c r="RJ596" s="6"/>
      <c r="RO596" s="6"/>
      <c r="RS596" s="6"/>
      <c r="RT596" s="6"/>
      <c r="RY596" s="6"/>
      <c r="SJ596" s="6"/>
      <c r="SK596" s="6"/>
      <c r="SP596" s="6"/>
      <c r="ST596" s="6"/>
      <c r="SU596" s="6"/>
      <c r="SZ596" s="6"/>
    </row>
    <row r="597" spans="12:520" x14ac:dyDescent="0.3">
      <c r="S597" s="6"/>
      <c r="T597" s="6"/>
      <c r="U597" s="6"/>
      <c r="W597" s="6"/>
      <c r="AA597" s="6"/>
      <c r="AB597" s="6"/>
      <c r="AH597" s="6"/>
      <c r="AS597" s="6"/>
      <c r="AT597" s="6"/>
      <c r="AY597" s="6"/>
      <c r="BC597" s="6"/>
      <c r="BD597" s="6"/>
      <c r="BI597" s="6"/>
      <c r="CU597" s="6"/>
      <c r="CV597" s="6"/>
      <c r="DA597" s="6"/>
      <c r="DE597" s="6"/>
      <c r="DF597" s="6"/>
      <c r="DK597" s="6"/>
      <c r="FX597" s="6"/>
      <c r="FY597" s="6"/>
      <c r="GD597" s="6"/>
      <c r="GH597" s="6"/>
      <c r="GI597" s="6"/>
      <c r="GN597" s="6"/>
      <c r="GY597" s="6"/>
      <c r="GZ597" s="6"/>
      <c r="HE597" s="6"/>
      <c r="HI597" s="6"/>
      <c r="HJ597" s="6"/>
      <c r="HO597" s="6"/>
      <c r="HZ597" s="6"/>
      <c r="IA597" s="6"/>
      <c r="IF597" s="6"/>
      <c r="IJ597" s="6"/>
      <c r="IK597" s="6"/>
      <c r="IP597" s="6"/>
      <c r="JA597" s="6"/>
      <c r="JB597" s="6"/>
      <c r="JG597" s="6"/>
      <c r="JK597" s="6"/>
      <c r="JL597" s="6"/>
      <c r="JQ597" s="6"/>
      <c r="KB597" s="6"/>
      <c r="KC597" s="6"/>
      <c r="KH597" s="6"/>
      <c r="KL597" s="6"/>
      <c r="KM597" s="6"/>
      <c r="KR597" s="6"/>
      <c r="LC597" s="6"/>
      <c r="LD597" s="6"/>
      <c r="LI597" s="6"/>
      <c r="LM597" s="6"/>
      <c r="LN597" s="6"/>
      <c r="LS597" s="6"/>
      <c r="MD597" s="6"/>
      <c r="ME597" s="6"/>
      <c r="MJ597" s="6"/>
      <c r="MN597" s="6"/>
      <c r="MO597" s="6"/>
      <c r="MT597" s="6"/>
      <c r="NE597" s="6"/>
      <c r="NF597" s="6"/>
      <c r="NK597" s="6"/>
      <c r="NO597" s="6"/>
      <c r="NP597" s="6"/>
      <c r="NU597" s="6"/>
      <c r="OF597" s="6"/>
      <c r="OG597" s="6"/>
      <c r="OL597" s="6"/>
      <c r="OP597" s="6"/>
      <c r="OQ597" s="6"/>
      <c r="OV597" s="6"/>
      <c r="PG597" s="6"/>
      <c r="PH597" s="6"/>
      <c r="PM597" s="6"/>
      <c r="PQ597" s="6"/>
      <c r="PR597" s="6"/>
      <c r="PW597" s="6"/>
      <c r="QH597" s="6"/>
      <c r="QI597" s="6"/>
      <c r="QN597" s="6"/>
      <c r="QR597" s="6"/>
      <c r="QS597" s="6"/>
      <c r="QX597" s="6"/>
      <c r="RI597" s="6"/>
      <c r="RJ597" s="6"/>
      <c r="RO597" s="6"/>
      <c r="RS597" s="6"/>
      <c r="RT597" s="6"/>
      <c r="RY597" s="6"/>
      <c r="SJ597" s="6"/>
      <c r="SK597" s="6"/>
      <c r="SP597" s="6"/>
      <c r="ST597" s="6"/>
      <c r="SU597" s="6"/>
      <c r="SZ597" s="6"/>
    </row>
    <row r="598" spans="12:520" x14ac:dyDescent="0.3">
      <c r="S598" s="6"/>
      <c r="T598" s="6"/>
      <c r="U598" s="6"/>
      <c r="W598" s="6"/>
      <c r="AA598" s="6"/>
      <c r="AB598" s="6"/>
      <c r="AH598" s="6"/>
      <c r="AS598" s="6"/>
      <c r="AT598" s="6"/>
      <c r="AY598" s="6"/>
      <c r="BC598" s="6"/>
      <c r="BD598" s="6"/>
      <c r="BI598" s="6"/>
      <c r="CU598" s="6"/>
      <c r="CV598" s="6"/>
      <c r="DA598" s="6"/>
      <c r="DE598" s="6"/>
      <c r="DF598" s="6"/>
      <c r="DK598" s="6"/>
      <c r="FR598" s="8"/>
      <c r="FS598" s="8"/>
      <c r="FT598" s="8"/>
      <c r="FX598" s="6"/>
      <c r="FY598" s="6"/>
      <c r="GD598" s="6"/>
      <c r="GH598" s="6"/>
      <c r="GI598" s="6"/>
      <c r="GN598" s="6"/>
      <c r="GY598" s="6"/>
      <c r="GZ598" s="6"/>
      <c r="HE598" s="6"/>
      <c r="HI598" s="6"/>
      <c r="HJ598" s="6"/>
      <c r="HO598" s="6"/>
      <c r="HZ598" s="6"/>
      <c r="IA598" s="6"/>
      <c r="IF598" s="6"/>
      <c r="IJ598" s="6"/>
      <c r="IK598" s="6"/>
      <c r="IP598" s="6"/>
      <c r="JA598" s="6"/>
      <c r="JB598" s="6"/>
      <c r="JG598" s="6"/>
      <c r="JK598" s="6"/>
      <c r="JL598" s="6"/>
      <c r="JQ598" s="6"/>
      <c r="KB598" s="6"/>
      <c r="KC598" s="6"/>
      <c r="KH598" s="6"/>
      <c r="KL598" s="6"/>
      <c r="KM598" s="6"/>
      <c r="KR598" s="6"/>
      <c r="LC598" s="6"/>
      <c r="LD598" s="6"/>
      <c r="LI598" s="6"/>
      <c r="LM598" s="6"/>
      <c r="LN598" s="6"/>
      <c r="LS598" s="6"/>
      <c r="MD598" s="6"/>
      <c r="ME598" s="6"/>
      <c r="MJ598" s="6"/>
      <c r="MN598" s="6"/>
      <c r="MO598" s="6"/>
      <c r="MT598" s="6"/>
      <c r="NE598" s="6"/>
      <c r="NF598" s="6"/>
      <c r="NK598" s="6"/>
      <c r="NO598" s="6"/>
      <c r="NP598" s="6"/>
      <c r="NU598" s="6"/>
      <c r="OF598" s="6"/>
      <c r="OG598" s="6"/>
      <c r="OL598" s="6"/>
      <c r="OP598" s="6"/>
      <c r="OQ598" s="6"/>
      <c r="OV598" s="6"/>
      <c r="PG598" s="6"/>
      <c r="PH598" s="6"/>
      <c r="PM598" s="6"/>
      <c r="PQ598" s="6"/>
      <c r="PR598" s="6"/>
      <c r="PW598" s="6"/>
      <c r="QH598" s="6"/>
      <c r="QI598" s="6"/>
      <c r="QN598" s="6"/>
      <c r="QR598" s="6"/>
      <c r="QS598" s="6"/>
      <c r="QX598" s="6"/>
      <c r="RI598" s="6"/>
      <c r="RJ598" s="6"/>
      <c r="RO598" s="6"/>
      <c r="RS598" s="6"/>
      <c r="RT598" s="6"/>
      <c r="RY598" s="6"/>
      <c r="SJ598" s="6"/>
      <c r="SK598" s="6"/>
      <c r="SP598" s="6"/>
      <c r="ST598" s="6"/>
      <c r="SU598" s="6"/>
      <c r="SZ598" s="6"/>
    </row>
    <row r="599" spans="12:520" x14ac:dyDescent="0.3">
      <c r="S599" s="6"/>
      <c r="T599" s="6"/>
      <c r="U599" s="6"/>
      <c r="W599" s="6"/>
      <c r="AA599" s="6"/>
      <c r="AB599" s="6"/>
      <c r="AH599" s="6"/>
      <c r="AS599" s="6"/>
      <c r="AT599" s="6"/>
      <c r="AY599" s="6"/>
      <c r="BC599" s="6"/>
      <c r="BD599" s="6"/>
      <c r="BI599" s="6"/>
      <c r="CU599" s="6"/>
      <c r="CV599" s="6"/>
      <c r="DA599" s="6"/>
      <c r="DE599" s="6"/>
      <c r="DF599" s="6"/>
      <c r="DK599" s="6"/>
      <c r="GY599" s="6"/>
      <c r="GZ599" s="6"/>
      <c r="HE599" s="6"/>
      <c r="HI599" s="6"/>
      <c r="HJ599" s="6"/>
      <c r="HO599" s="6"/>
      <c r="HZ599" s="6"/>
      <c r="IA599" s="6"/>
      <c r="IF599" s="6"/>
      <c r="IJ599" s="6"/>
      <c r="IK599" s="6"/>
      <c r="IP599" s="6"/>
      <c r="JA599" s="6"/>
      <c r="JB599" s="6"/>
      <c r="JG599" s="6"/>
      <c r="JK599" s="6"/>
      <c r="JL599" s="6"/>
      <c r="JQ599" s="6"/>
      <c r="KB599" s="6"/>
      <c r="KC599" s="6"/>
      <c r="KH599" s="6"/>
      <c r="KL599" s="6"/>
      <c r="KM599" s="6"/>
      <c r="KR599" s="6"/>
      <c r="LC599" s="6"/>
      <c r="LD599" s="6"/>
      <c r="LI599" s="6"/>
      <c r="LM599" s="6"/>
      <c r="LN599" s="6"/>
      <c r="LS599" s="6"/>
      <c r="MD599" s="6"/>
      <c r="ME599" s="6"/>
      <c r="MJ599" s="6"/>
      <c r="MN599" s="6"/>
      <c r="MO599" s="6"/>
      <c r="MT599" s="6"/>
      <c r="NE599" s="6"/>
      <c r="NF599" s="6"/>
      <c r="NK599" s="6"/>
      <c r="NO599" s="6"/>
      <c r="NP599" s="6"/>
      <c r="NU599" s="6"/>
      <c r="OF599" s="6"/>
      <c r="OG599" s="6"/>
      <c r="OL599" s="6"/>
      <c r="OP599" s="6"/>
      <c r="OQ599" s="6"/>
      <c r="OV599" s="6"/>
      <c r="PG599" s="6"/>
      <c r="PH599" s="6"/>
      <c r="PM599" s="6"/>
      <c r="PQ599" s="6"/>
      <c r="PR599" s="6"/>
      <c r="PW599" s="6"/>
      <c r="QH599" s="6"/>
      <c r="QI599" s="6"/>
      <c r="QN599" s="6"/>
      <c r="QR599" s="6"/>
      <c r="QS599" s="6"/>
      <c r="QX599" s="6"/>
      <c r="RI599" s="6"/>
      <c r="RJ599" s="6"/>
      <c r="RO599" s="6"/>
      <c r="RS599" s="6"/>
      <c r="RT599" s="6"/>
      <c r="RY599" s="6"/>
      <c r="SJ599" s="6"/>
      <c r="SK599" s="6"/>
      <c r="SP599" s="6"/>
      <c r="ST599" s="6"/>
      <c r="SU599" s="6"/>
      <c r="SZ599" s="6"/>
    </row>
    <row r="600" spans="12:520" x14ac:dyDescent="0.3">
      <c r="S600" s="6"/>
      <c r="T600" s="6"/>
      <c r="U600" s="6"/>
      <c r="W600" s="6"/>
      <c r="AA600" s="6"/>
      <c r="AB600" s="6"/>
      <c r="AH600" s="6"/>
      <c r="AS600" s="6"/>
      <c r="AT600" s="6"/>
      <c r="AY600" s="6"/>
      <c r="BC600" s="6"/>
      <c r="BD600" s="6"/>
      <c r="BI600" s="6"/>
      <c r="CU600" s="6"/>
      <c r="CV600" s="6"/>
      <c r="DA600" s="6"/>
      <c r="DE600" s="6"/>
      <c r="DF600" s="6"/>
      <c r="DK600" s="6"/>
      <c r="GY600" s="6"/>
      <c r="GZ600" s="6"/>
      <c r="HE600" s="6"/>
      <c r="HI600" s="6"/>
      <c r="HJ600" s="6"/>
      <c r="HO600" s="6"/>
      <c r="HZ600" s="6"/>
      <c r="IA600" s="6"/>
      <c r="IF600" s="6"/>
      <c r="IJ600" s="6"/>
      <c r="IK600" s="6"/>
      <c r="IP600" s="6"/>
      <c r="JA600" s="6"/>
      <c r="JB600" s="6"/>
      <c r="JG600" s="6"/>
      <c r="JK600" s="6"/>
      <c r="JL600" s="6"/>
      <c r="JQ600" s="6"/>
      <c r="KB600" s="6"/>
      <c r="KC600" s="6"/>
      <c r="KH600" s="6"/>
      <c r="KL600" s="6"/>
      <c r="KM600" s="6"/>
      <c r="KR600" s="6"/>
      <c r="LC600" s="6"/>
      <c r="LD600" s="6"/>
      <c r="LI600" s="6"/>
      <c r="LM600" s="6"/>
      <c r="LN600" s="6"/>
      <c r="LS600" s="6"/>
      <c r="MD600" s="6"/>
      <c r="ME600" s="6"/>
      <c r="MJ600" s="6"/>
      <c r="MN600" s="6"/>
      <c r="MO600" s="6"/>
      <c r="MT600" s="6"/>
      <c r="NE600" s="6"/>
      <c r="NF600" s="6"/>
      <c r="NK600" s="6"/>
      <c r="NO600" s="6"/>
      <c r="NP600" s="6"/>
      <c r="NU600" s="6"/>
      <c r="OF600" s="6"/>
      <c r="OG600" s="6"/>
      <c r="OL600" s="6"/>
      <c r="OP600" s="6"/>
      <c r="OQ600" s="6"/>
      <c r="OV600" s="6"/>
      <c r="PG600" s="6"/>
      <c r="PH600" s="6"/>
      <c r="PM600" s="6"/>
      <c r="PQ600" s="6"/>
      <c r="PR600" s="6"/>
      <c r="PW600" s="6"/>
      <c r="QB600" s="8"/>
      <c r="QC600" s="8"/>
      <c r="QD600" s="8"/>
      <c r="QH600" s="6"/>
      <c r="QI600" s="6"/>
      <c r="QN600" s="6"/>
      <c r="QR600" s="6"/>
      <c r="QS600" s="6"/>
      <c r="QX600" s="6"/>
      <c r="RI600" s="6"/>
      <c r="RJ600" s="6"/>
      <c r="RO600" s="6"/>
      <c r="RS600" s="6"/>
      <c r="RT600" s="6"/>
      <c r="RY600" s="6"/>
      <c r="SJ600" s="6"/>
      <c r="SK600" s="6"/>
      <c r="SP600" s="6"/>
      <c r="ST600" s="6"/>
      <c r="SU600" s="6"/>
      <c r="SZ600" s="6"/>
    </row>
    <row r="601" spans="12:520" x14ac:dyDescent="0.3">
      <c r="L601" s="8"/>
      <c r="M601" s="8"/>
      <c r="N601" s="8"/>
      <c r="S601" s="6"/>
      <c r="T601" s="6"/>
      <c r="U601" s="6"/>
      <c r="W601" s="6"/>
      <c r="AA601" s="6"/>
      <c r="AB601" s="6"/>
      <c r="AH601" s="6"/>
      <c r="AS601" s="6"/>
      <c r="AT601" s="6"/>
      <c r="AY601" s="6"/>
      <c r="BC601" s="6"/>
      <c r="BD601" s="6"/>
      <c r="BI601" s="6"/>
      <c r="CO601" s="8"/>
      <c r="CP601" s="8"/>
      <c r="CQ601" s="8"/>
      <c r="CU601" s="6"/>
      <c r="CV601" s="6"/>
      <c r="DA601" s="6"/>
      <c r="DE601" s="6"/>
      <c r="DF601" s="6"/>
      <c r="DK601" s="6"/>
      <c r="GS601" s="8"/>
      <c r="GT601" s="8"/>
      <c r="GU601" s="8"/>
      <c r="GY601" s="6"/>
      <c r="GZ601" s="6"/>
      <c r="HE601" s="6"/>
      <c r="HI601" s="6"/>
      <c r="HJ601" s="6"/>
      <c r="HO601" s="6"/>
      <c r="HT601" s="8"/>
      <c r="HU601" s="8"/>
      <c r="HV601" s="8"/>
      <c r="HZ601" s="6"/>
      <c r="IA601" s="6"/>
      <c r="IF601" s="6"/>
      <c r="IJ601" s="6"/>
      <c r="IK601" s="6"/>
      <c r="IP601" s="6"/>
      <c r="IU601" s="8"/>
      <c r="IV601" s="8"/>
      <c r="IW601" s="8"/>
      <c r="JA601" s="6"/>
      <c r="JB601" s="6"/>
      <c r="JG601" s="6"/>
      <c r="JK601" s="6"/>
      <c r="JL601" s="6"/>
      <c r="JQ601" s="6"/>
      <c r="JV601" s="8"/>
      <c r="JW601" s="8"/>
      <c r="JX601" s="8"/>
      <c r="KB601" s="6"/>
      <c r="KC601" s="6"/>
      <c r="KH601" s="6"/>
      <c r="KL601" s="6"/>
      <c r="KM601" s="6"/>
      <c r="KR601" s="6"/>
      <c r="KW601" s="8"/>
      <c r="KX601" s="8"/>
      <c r="KY601" s="8"/>
      <c r="LC601" s="6"/>
      <c r="LD601" s="6"/>
      <c r="LI601" s="6"/>
      <c r="LM601" s="6"/>
      <c r="LN601" s="6"/>
      <c r="LS601" s="6"/>
      <c r="LX601" s="8"/>
      <c r="LY601" s="8"/>
      <c r="LZ601" s="8"/>
      <c r="MD601" s="6"/>
      <c r="ME601" s="6"/>
      <c r="MJ601" s="6"/>
      <c r="MN601" s="6"/>
      <c r="MO601" s="6"/>
      <c r="MT601" s="6"/>
      <c r="MY601" s="8"/>
      <c r="MZ601" s="8"/>
      <c r="NA601" s="8"/>
      <c r="NE601" s="6"/>
      <c r="NF601" s="6"/>
      <c r="NK601" s="6"/>
      <c r="NO601" s="6"/>
      <c r="NP601" s="6"/>
      <c r="NU601" s="6"/>
      <c r="NZ601" s="8"/>
      <c r="OA601" s="8"/>
      <c r="OB601" s="8"/>
      <c r="OF601" s="6"/>
      <c r="OG601" s="6"/>
      <c r="OL601" s="6"/>
      <c r="OP601" s="6"/>
      <c r="OQ601" s="6"/>
      <c r="OV601" s="6"/>
      <c r="PA601" s="8"/>
      <c r="PB601" s="8"/>
      <c r="PC601" s="8"/>
      <c r="PG601" s="6"/>
      <c r="PH601" s="6"/>
      <c r="PM601" s="6"/>
      <c r="PQ601" s="6"/>
      <c r="PR601" s="6"/>
      <c r="PW601" s="6"/>
      <c r="RC601" s="8"/>
      <c r="RD601" s="8"/>
      <c r="RE601" s="8"/>
      <c r="RI601" s="6"/>
      <c r="RJ601" s="6"/>
      <c r="RO601" s="6"/>
      <c r="RS601" s="6"/>
      <c r="RT601" s="6"/>
      <c r="RY601" s="6"/>
      <c r="SD601" s="8"/>
      <c r="SE601" s="8"/>
      <c r="SF601" s="8"/>
      <c r="SJ601" s="6"/>
      <c r="SK601" s="6"/>
      <c r="SP601" s="6"/>
      <c r="ST601" s="6"/>
      <c r="SU601" s="6"/>
      <c r="SZ601" s="6"/>
    </row>
    <row r="602" spans="12:520" x14ac:dyDescent="0.3">
      <c r="AS602" s="6"/>
    </row>
    <row r="603" spans="12:520" x14ac:dyDescent="0.3">
      <c r="R603" s="6"/>
      <c r="S603" s="7"/>
      <c r="T603" s="7"/>
      <c r="Z603" s="6"/>
      <c r="AA603" s="7"/>
      <c r="AG603" s="6"/>
      <c r="AS603" s="6"/>
      <c r="AX603" s="6"/>
      <c r="BB603" s="6"/>
      <c r="BC603" s="7"/>
      <c r="BH603" s="6"/>
      <c r="BS603" s="6"/>
      <c r="BT603" s="7"/>
      <c r="BY603" s="6"/>
      <c r="CC603" s="6"/>
      <c r="CD603" s="7"/>
      <c r="CI603" s="6"/>
      <c r="CT603" s="6"/>
      <c r="CU603" s="7"/>
      <c r="CZ603" s="6"/>
      <c r="DD603" s="6"/>
      <c r="DE603" s="7"/>
      <c r="DJ603" s="6"/>
      <c r="DU603" s="6"/>
      <c r="DV603" s="7"/>
      <c r="EA603" s="6"/>
      <c r="EE603" s="6"/>
      <c r="EF603" s="7"/>
      <c r="EK603" s="6"/>
      <c r="EV603" s="6"/>
      <c r="EW603" s="7"/>
      <c r="FB603" s="6"/>
      <c r="FF603" s="6"/>
      <c r="FG603" s="7"/>
      <c r="FL603" s="6"/>
      <c r="FW603" s="6"/>
      <c r="FX603" s="7"/>
      <c r="GC603" s="6"/>
      <c r="GG603" s="6"/>
      <c r="GH603" s="7"/>
      <c r="GM603" s="6"/>
      <c r="GX603" s="6"/>
      <c r="GY603" s="7"/>
      <c r="HD603" s="6"/>
      <c r="HH603" s="6"/>
      <c r="HI603" s="7"/>
      <c r="HN603" s="6"/>
      <c r="HY603" s="6"/>
      <c r="HZ603" s="7"/>
      <c r="IE603" s="6"/>
      <c r="II603" s="6"/>
      <c r="IJ603" s="7"/>
      <c r="IO603" s="6"/>
      <c r="IZ603" s="6"/>
      <c r="JA603" s="7"/>
      <c r="JF603" s="6"/>
      <c r="JJ603" s="6"/>
      <c r="JK603" s="7"/>
      <c r="JP603" s="6"/>
      <c r="KA603" s="6"/>
      <c r="KB603" s="7"/>
      <c r="KG603" s="6"/>
      <c r="KK603" s="6"/>
      <c r="KL603" s="7"/>
      <c r="KQ603" s="6"/>
      <c r="LB603" s="6"/>
      <c r="LC603" s="7"/>
      <c r="LH603" s="6"/>
      <c r="LL603" s="6"/>
      <c r="LM603" s="7"/>
      <c r="LR603" s="6"/>
      <c r="MC603" s="6"/>
      <c r="MD603" s="7"/>
      <c r="MI603" s="6"/>
      <c r="MM603" s="6"/>
      <c r="MN603" s="7"/>
      <c r="MS603" s="6"/>
      <c r="ND603" s="6"/>
      <c r="NE603" s="7"/>
      <c r="NJ603" s="6"/>
      <c r="NN603" s="6"/>
      <c r="NO603" s="7"/>
      <c r="NT603" s="6"/>
      <c r="OE603" s="6"/>
      <c r="OF603" s="7"/>
      <c r="OK603" s="6"/>
      <c r="OO603" s="6"/>
      <c r="OP603" s="7"/>
      <c r="OU603" s="6"/>
      <c r="PF603" s="6"/>
      <c r="PG603" s="7"/>
      <c r="PL603" s="6"/>
      <c r="PP603" s="6"/>
      <c r="PQ603" s="7"/>
      <c r="PV603" s="6"/>
      <c r="QG603" s="6"/>
      <c r="QH603" s="7"/>
      <c r="QM603" s="6"/>
      <c r="QQ603" s="6"/>
      <c r="QR603" s="7"/>
      <c r="QW603" s="6"/>
      <c r="RH603" s="6"/>
      <c r="RI603" s="7"/>
      <c r="RN603" s="6"/>
      <c r="RR603" s="6"/>
      <c r="RS603" s="7"/>
      <c r="RX603" s="6"/>
      <c r="SI603" s="6"/>
      <c r="SJ603" s="7"/>
      <c r="SO603" s="6"/>
      <c r="SS603" s="6"/>
      <c r="ST603" s="7"/>
      <c r="SY603" s="6"/>
    </row>
    <row r="604" spans="12:520" x14ac:dyDescent="0.3">
      <c r="O604" s="5"/>
      <c r="R604" s="5"/>
      <c r="S604" s="6"/>
      <c r="T604" s="6"/>
      <c r="U604" s="7"/>
      <c r="W604" s="6"/>
      <c r="X604" s="5"/>
      <c r="Z604" s="5"/>
      <c r="AA604" s="6"/>
      <c r="AB604" s="7"/>
      <c r="AG604" s="5"/>
      <c r="AH604" s="6"/>
      <c r="AS604" s="6"/>
      <c r="AT604" s="7"/>
      <c r="AW604" s="5"/>
      <c r="AY604" s="6"/>
      <c r="BC604" s="6"/>
      <c r="BD604" s="6"/>
      <c r="BI604" s="6"/>
      <c r="BT604" s="6"/>
      <c r="BU604" s="6"/>
      <c r="BZ604" s="6"/>
      <c r="CD604" s="6"/>
      <c r="CE604" s="6"/>
      <c r="CJ604" s="6"/>
      <c r="CU604" s="6"/>
      <c r="CV604" s="6"/>
      <c r="DA604" s="6"/>
      <c r="DE604" s="6"/>
      <c r="DF604" s="6"/>
      <c r="DK604" s="6"/>
      <c r="DV604" s="6"/>
      <c r="DW604" s="6"/>
      <c r="EB604" s="6"/>
      <c r="EF604" s="6"/>
      <c r="EG604" s="6"/>
      <c r="EL604" s="6"/>
      <c r="EW604" s="6"/>
      <c r="EX604" s="6"/>
      <c r="FC604" s="6"/>
      <c r="FG604" s="6"/>
      <c r="FH604" s="6"/>
      <c r="FM604" s="6"/>
      <c r="FX604" s="6"/>
      <c r="FY604" s="6"/>
      <c r="GD604" s="6"/>
      <c r="GH604" s="6"/>
      <c r="GI604" s="6"/>
      <c r="GN604" s="6"/>
      <c r="GY604" s="6"/>
      <c r="GZ604" s="6"/>
      <c r="HE604" s="6"/>
      <c r="HI604" s="6"/>
      <c r="HJ604" s="6"/>
      <c r="HO604" s="6"/>
      <c r="HZ604" s="6"/>
      <c r="IA604" s="6"/>
      <c r="IF604" s="6"/>
      <c r="IJ604" s="6"/>
      <c r="IK604" s="6"/>
      <c r="IP604" s="6"/>
      <c r="JA604" s="6"/>
      <c r="JB604" s="6"/>
      <c r="JG604" s="6"/>
      <c r="JK604" s="6"/>
      <c r="JL604" s="6"/>
      <c r="JQ604" s="6"/>
      <c r="KB604" s="6"/>
      <c r="KC604" s="6"/>
      <c r="KH604" s="6"/>
      <c r="KL604" s="6"/>
      <c r="KM604" s="6"/>
      <c r="KR604" s="6"/>
      <c r="LC604" s="6"/>
      <c r="LD604" s="6"/>
      <c r="LI604" s="6"/>
      <c r="LM604" s="6"/>
      <c r="LN604" s="6"/>
      <c r="LS604" s="6"/>
      <c r="MD604" s="6"/>
      <c r="ME604" s="6"/>
      <c r="MJ604" s="6"/>
      <c r="MN604" s="6"/>
      <c r="MO604" s="6"/>
      <c r="MT604" s="6"/>
      <c r="NE604" s="6"/>
      <c r="NF604" s="6"/>
      <c r="NK604" s="6"/>
      <c r="NO604" s="6"/>
      <c r="NP604" s="6"/>
      <c r="NU604" s="6"/>
      <c r="OF604" s="6"/>
      <c r="OG604" s="6"/>
      <c r="OL604" s="6"/>
      <c r="OP604" s="6"/>
      <c r="OQ604" s="6"/>
      <c r="OV604" s="6"/>
      <c r="PG604" s="6"/>
      <c r="PH604" s="6"/>
      <c r="PM604" s="6"/>
      <c r="PQ604" s="6"/>
      <c r="PR604" s="6"/>
      <c r="PW604" s="6"/>
      <c r="QH604" s="6"/>
      <c r="QI604" s="6"/>
      <c r="QN604" s="6"/>
      <c r="QR604" s="6"/>
      <c r="QS604" s="6"/>
      <c r="QX604" s="6"/>
      <c r="RI604" s="6"/>
      <c r="RJ604" s="6"/>
      <c r="RO604" s="6"/>
      <c r="RS604" s="6"/>
      <c r="RT604" s="6"/>
      <c r="RY604" s="6"/>
      <c r="SJ604" s="6"/>
      <c r="SK604" s="6"/>
      <c r="SP604" s="6"/>
      <c r="ST604" s="6"/>
      <c r="SU604" s="6"/>
      <c r="SZ604" s="6"/>
    </row>
    <row r="605" spans="12:520" x14ac:dyDescent="0.3">
      <c r="O605" s="5"/>
      <c r="R605" s="5"/>
      <c r="S605" s="6"/>
      <c r="T605" s="6"/>
      <c r="U605" s="7"/>
      <c r="W605" s="6"/>
      <c r="X605" s="5"/>
      <c r="Z605" s="5"/>
      <c r="AA605" s="6"/>
      <c r="AB605" s="7"/>
      <c r="AG605" s="5"/>
      <c r="AH605" s="6"/>
      <c r="AM605" s="8"/>
      <c r="AN605" s="8"/>
      <c r="AO605" s="8"/>
      <c r="AS605" s="6"/>
      <c r="AT605" s="7"/>
      <c r="AW605" s="5"/>
      <c r="AY605" s="6"/>
      <c r="BC605" s="6"/>
      <c r="BD605" s="6"/>
      <c r="BI605" s="6"/>
      <c r="BT605" s="6"/>
      <c r="BU605" s="6"/>
      <c r="BZ605" s="6"/>
      <c r="CD605" s="6"/>
      <c r="CE605" s="6"/>
      <c r="CJ605" s="6"/>
      <c r="CU605" s="6"/>
      <c r="CV605" s="6"/>
      <c r="DA605" s="6"/>
      <c r="DE605" s="6"/>
      <c r="DF605" s="6"/>
      <c r="DK605" s="6"/>
      <c r="DP605" s="8"/>
      <c r="DQ605" s="8"/>
      <c r="DR605" s="8"/>
      <c r="DV605" s="6"/>
      <c r="DW605" s="6"/>
      <c r="EB605" s="6"/>
      <c r="EF605" s="6"/>
      <c r="EG605" s="6"/>
      <c r="EL605" s="6"/>
      <c r="EW605" s="6"/>
      <c r="EX605" s="6"/>
      <c r="FC605" s="6"/>
      <c r="FG605" s="6"/>
      <c r="FH605" s="6"/>
      <c r="FM605" s="6"/>
      <c r="FX605" s="6"/>
      <c r="FY605" s="6"/>
      <c r="GD605" s="6"/>
      <c r="GH605" s="6"/>
      <c r="GI605" s="6"/>
      <c r="GN605" s="6"/>
      <c r="GY605" s="6"/>
      <c r="GZ605" s="6"/>
      <c r="HE605" s="6"/>
      <c r="HI605" s="6"/>
      <c r="HJ605" s="6"/>
      <c r="HO605" s="6"/>
      <c r="HZ605" s="6"/>
      <c r="IA605" s="6"/>
      <c r="IF605" s="6"/>
      <c r="IJ605" s="6"/>
      <c r="IK605" s="6"/>
      <c r="IP605" s="6"/>
      <c r="JA605" s="6"/>
      <c r="JB605" s="6"/>
      <c r="JG605" s="6"/>
      <c r="JK605" s="6"/>
      <c r="JL605" s="6"/>
      <c r="JQ605" s="6"/>
      <c r="KB605" s="6"/>
      <c r="KC605" s="6"/>
      <c r="KH605" s="6"/>
      <c r="KL605" s="6"/>
      <c r="KM605" s="6"/>
      <c r="KR605" s="6"/>
      <c r="LC605" s="6"/>
      <c r="LD605" s="6"/>
      <c r="LI605" s="6"/>
      <c r="LM605" s="6"/>
      <c r="LN605" s="6"/>
      <c r="LS605" s="6"/>
      <c r="MD605" s="6"/>
      <c r="ME605" s="6"/>
      <c r="MJ605" s="6"/>
      <c r="MN605" s="6"/>
      <c r="MO605" s="6"/>
      <c r="MT605" s="6"/>
      <c r="NE605" s="6"/>
      <c r="NF605" s="6"/>
      <c r="NK605" s="6"/>
      <c r="NO605" s="6"/>
      <c r="NP605" s="6"/>
      <c r="NU605" s="6"/>
      <c r="OF605" s="6"/>
      <c r="OG605" s="6"/>
      <c r="OL605" s="6"/>
      <c r="OP605" s="6"/>
      <c r="OQ605" s="6"/>
      <c r="OV605" s="6"/>
      <c r="PG605" s="6"/>
      <c r="PH605" s="6"/>
      <c r="PM605" s="6"/>
      <c r="PQ605" s="6"/>
      <c r="PR605" s="6"/>
      <c r="PW605" s="6"/>
      <c r="QH605" s="6"/>
      <c r="QI605" s="6"/>
      <c r="QN605" s="6"/>
      <c r="QR605" s="6"/>
      <c r="QS605" s="6"/>
      <c r="QX605" s="6"/>
      <c r="RI605" s="6"/>
      <c r="RJ605" s="6"/>
      <c r="RO605" s="6"/>
      <c r="RS605" s="6"/>
      <c r="RT605" s="6"/>
      <c r="RY605" s="6"/>
      <c r="SJ605" s="6"/>
      <c r="SK605" s="6"/>
      <c r="SP605" s="6"/>
      <c r="ST605" s="6"/>
      <c r="SU605" s="6"/>
      <c r="SZ605" s="6"/>
    </row>
    <row r="606" spans="12:520" x14ac:dyDescent="0.3">
      <c r="R606" s="5"/>
      <c r="S606" s="6"/>
      <c r="T606" s="6"/>
      <c r="U606" s="7"/>
      <c r="W606" s="6"/>
      <c r="Z606" s="5"/>
      <c r="AA606" s="6"/>
      <c r="AB606" s="7"/>
      <c r="AG606" s="5"/>
      <c r="AH606" s="6"/>
      <c r="AT606" s="7"/>
      <c r="AW606" s="5"/>
      <c r="AY606" s="6"/>
      <c r="BC606" s="6"/>
      <c r="BD606" s="6"/>
      <c r="BI606" s="6"/>
      <c r="BT606" s="6"/>
      <c r="BU606" s="6"/>
      <c r="BZ606" s="6"/>
      <c r="CD606" s="6"/>
      <c r="CE606" s="6"/>
      <c r="CJ606" s="6"/>
      <c r="CU606" s="6"/>
      <c r="CV606" s="6"/>
      <c r="DA606" s="6"/>
      <c r="DE606" s="6"/>
      <c r="DF606" s="6"/>
      <c r="DK606" s="6"/>
      <c r="EW606" s="6"/>
      <c r="EX606" s="6"/>
      <c r="FC606" s="6"/>
      <c r="FG606" s="6"/>
      <c r="FH606" s="6"/>
      <c r="FM606" s="6"/>
      <c r="FX606" s="6"/>
      <c r="FY606" s="6"/>
      <c r="GD606" s="6"/>
      <c r="GH606" s="6"/>
      <c r="GI606" s="6"/>
      <c r="GN606" s="6"/>
      <c r="GY606" s="6"/>
      <c r="GZ606" s="6"/>
      <c r="HE606" s="6"/>
      <c r="HI606" s="6"/>
      <c r="HJ606" s="6"/>
      <c r="HO606" s="6"/>
      <c r="HZ606" s="6"/>
      <c r="IA606" s="6"/>
      <c r="IF606" s="6"/>
      <c r="IJ606" s="6"/>
      <c r="IK606" s="6"/>
      <c r="IP606" s="6"/>
      <c r="JA606" s="6"/>
      <c r="JB606" s="6"/>
      <c r="JG606" s="6"/>
      <c r="JK606" s="6"/>
      <c r="JL606" s="6"/>
      <c r="JQ606" s="6"/>
      <c r="KB606" s="6"/>
      <c r="KC606" s="6"/>
      <c r="KH606" s="6"/>
      <c r="KL606" s="6"/>
      <c r="KM606" s="6"/>
      <c r="KR606" s="6"/>
      <c r="LC606" s="6"/>
      <c r="LD606" s="6"/>
      <c r="LI606" s="6"/>
      <c r="LM606" s="6"/>
      <c r="LN606" s="6"/>
      <c r="LS606" s="6"/>
      <c r="MD606" s="6"/>
      <c r="ME606" s="6"/>
      <c r="MJ606" s="6"/>
      <c r="MN606" s="6"/>
      <c r="MO606" s="6"/>
      <c r="MT606" s="6"/>
      <c r="NE606" s="6"/>
      <c r="NF606" s="6"/>
      <c r="NK606" s="6"/>
      <c r="NO606" s="6"/>
      <c r="NP606" s="6"/>
      <c r="NU606" s="6"/>
      <c r="OF606" s="6"/>
      <c r="OG606" s="6"/>
      <c r="OL606" s="6"/>
      <c r="OP606" s="6"/>
      <c r="OQ606" s="6"/>
      <c r="OV606" s="6"/>
      <c r="PG606" s="6"/>
      <c r="PH606" s="6"/>
      <c r="PM606" s="6"/>
      <c r="PQ606" s="6"/>
      <c r="PR606" s="6"/>
      <c r="PW606" s="6"/>
      <c r="QH606" s="6"/>
      <c r="QI606" s="6"/>
      <c r="QN606" s="6"/>
      <c r="QR606" s="6"/>
      <c r="QS606" s="6"/>
      <c r="QX606" s="6"/>
      <c r="RI606" s="6"/>
      <c r="RJ606" s="6"/>
      <c r="RO606" s="6"/>
      <c r="RS606" s="6"/>
      <c r="RT606" s="6"/>
      <c r="RY606" s="6"/>
      <c r="SJ606" s="6"/>
      <c r="SK606" s="6"/>
      <c r="SP606" s="6"/>
      <c r="ST606" s="6"/>
      <c r="SU606" s="6"/>
      <c r="SZ606" s="6"/>
    </row>
    <row r="607" spans="12:520" x14ac:dyDescent="0.3">
      <c r="O607" s="5"/>
      <c r="R607" s="5"/>
      <c r="S607" s="6"/>
      <c r="T607" s="6"/>
      <c r="U607" s="7"/>
      <c r="W607" s="6"/>
      <c r="X607" s="5"/>
      <c r="Z607" s="5"/>
      <c r="AA607" s="6"/>
      <c r="AB607" s="7"/>
      <c r="AG607" s="5"/>
      <c r="AH607" s="6"/>
      <c r="AR607" s="6"/>
      <c r="AS607" s="7"/>
      <c r="AT607" s="7"/>
      <c r="AW607" s="5"/>
      <c r="AY607" s="6"/>
      <c r="BC607" s="6"/>
      <c r="BD607" s="6"/>
      <c r="BI607" s="6"/>
      <c r="BN607" s="8"/>
      <c r="BO607" s="8"/>
      <c r="BP607" s="8"/>
      <c r="BT607" s="6"/>
      <c r="BU607" s="6"/>
      <c r="BZ607" s="6"/>
      <c r="CD607" s="6"/>
      <c r="CE607" s="6"/>
      <c r="CJ607" s="6"/>
      <c r="CU607" s="6"/>
      <c r="CV607" s="6"/>
      <c r="DA607" s="6"/>
      <c r="DE607" s="6"/>
      <c r="DF607" s="6"/>
      <c r="DK607" s="6"/>
      <c r="EW607" s="6"/>
      <c r="EX607" s="6"/>
      <c r="FC607" s="6"/>
      <c r="FG607" s="6"/>
      <c r="FH607" s="6"/>
      <c r="FM607" s="6"/>
      <c r="FX607" s="6"/>
      <c r="FY607" s="6"/>
      <c r="GD607" s="6"/>
      <c r="GH607" s="6"/>
      <c r="GI607" s="6"/>
      <c r="GN607" s="6"/>
      <c r="GY607" s="6"/>
      <c r="GZ607" s="6"/>
      <c r="HE607" s="6"/>
      <c r="HI607" s="6"/>
      <c r="HJ607" s="6"/>
      <c r="HO607" s="6"/>
      <c r="HZ607" s="6"/>
      <c r="IA607" s="6"/>
      <c r="IF607" s="6"/>
      <c r="IJ607" s="6"/>
      <c r="IK607" s="6"/>
      <c r="IP607" s="6"/>
      <c r="JA607" s="6"/>
      <c r="JB607" s="6"/>
      <c r="JG607" s="6"/>
      <c r="JK607" s="6"/>
      <c r="JL607" s="6"/>
      <c r="JQ607" s="6"/>
      <c r="KB607" s="6"/>
      <c r="KC607" s="6"/>
      <c r="KH607" s="6"/>
      <c r="KL607" s="6"/>
      <c r="KM607" s="6"/>
      <c r="KR607" s="6"/>
      <c r="LC607" s="6"/>
      <c r="LD607" s="6"/>
      <c r="LI607" s="6"/>
      <c r="LM607" s="6"/>
      <c r="LN607" s="6"/>
      <c r="LS607" s="6"/>
      <c r="MD607" s="6"/>
      <c r="ME607" s="6"/>
      <c r="MJ607" s="6"/>
      <c r="MN607" s="6"/>
      <c r="MO607" s="6"/>
      <c r="MT607" s="6"/>
      <c r="NE607" s="6"/>
      <c r="NF607" s="6"/>
      <c r="NK607" s="6"/>
      <c r="NO607" s="6"/>
      <c r="NP607" s="6"/>
      <c r="NU607" s="6"/>
      <c r="OF607" s="6"/>
      <c r="OG607" s="6"/>
      <c r="OL607" s="6"/>
      <c r="OP607" s="6"/>
      <c r="OQ607" s="6"/>
      <c r="OV607" s="6"/>
      <c r="PG607" s="6"/>
      <c r="PH607" s="6"/>
      <c r="PM607" s="6"/>
      <c r="PQ607" s="6"/>
      <c r="PR607" s="6"/>
      <c r="PW607" s="6"/>
      <c r="QH607" s="6"/>
      <c r="QI607" s="6"/>
      <c r="QN607" s="6"/>
      <c r="QR607" s="6"/>
      <c r="QS607" s="6"/>
      <c r="QX607" s="6"/>
      <c r="RI607" s="6"/>
      <c r="RJ607" s="6"/>
      <c r="RO607" s="6"/>
      <c r="RS607" s="6"/>
      <c r="RT607" s="6"/>
      <c r="RY607" s="6"/>
      <c r="SJ607" s="6"/>
      <c r="SK607" s="6"/>
      <c r="SP607" s="6"/>
      <c r="ST607" s="6"/>
      <c r="SU607" s="6"/>
      <c r="SZ607" s="6"/>
    </row>
    <row r="608" spans="12:520" x14ac:dyDescent="0.3">
      <c r="O608" s="5"/>
      <c r="R608" s="5"/>
      <c r="S608" s="6"/>
      <c r="T608" s="6"/>
      <c r="U608" s="7"/>
      <c r="W608" s="6"/>
      <c r="X608" s="5"/>
      <c r="Z608" s="5"/>
      <c r="AA608" s="6"/>
      <c r="AB608" s="7"/>
      <c r="AG608" s="5"/>
      <c r="AH608" s="6"/>
      <c r="AQ608" s="5"/>
      <c r="AR608" s="5"/>
      <c r="AS608" s="6"/>
      <c r="AT608" s="7"/>
      <c r="AW608" s="5"/>
      <c r="AY608" s="7"/>
      <c r="BC608" s="6"/>
      <c r="BD608" s="6"/>
      <c r="BI608" s="6"/>
      <c r="CU608" s="6"/>
      <c r="CV608" s="6"/>
      <c r="DA608" s="6"/>
      <c r="DE608" s="6"/>
      <c r="DF608" s="6"/>
      <c r="DK608" s="6"/>
      <c r="EW608" s="6"/>
      <c r="EX608" s="6"/>
      <c r="FC608" s="6"/>
      <c r="FG608" s="6"/>
      <c r="FH608" s="6"/>
      <c r="FM608" s="6"/>
      <c r="FX608" s="6"/>
      <c r="FY608" s="6"/>
      <c r="GD608" s="6"/>
      <c r="GH608" s="6"/>
      <c r="GI608" s="6"/>
      <c r="GN608" s="6"/>
      <c r="GY608" s="6"/>
      <c r="GZ608" s="6"/>
      <c r="HE608" s="6"/>
      <c r="HI608" s="6"/>
      <c r="HJ608" s="6"/>
      <c r="HO608" s="6"/>
      <c r="HZ608" s="6"/>
      <c r="IA608" s="6"/>
      <c r="IF608" s="6"/>
      <c r="IJ608" s="6"/>
      <c r="IK608" s="6"/>
      <c r="IP608" s="6"/>
      <c r="JA608" s="6"/>
      <c r="JB608" s="6"/>
      <c r="JG608" s="6"/>
      <c r="JK608" s="6"/>
      <c r="JL608" s="6"/>
      <c r="JQ608" s="6"/>
      <c r="KB608" s="6"/>
      <c r="KC608" s="6"/>
      <c r="KH608" s="6"/>
      <c r="KL608" s="6"/>
      <c r="KM608" s="6"/>
      <c r="KR608" s="6"/>
      <c r="LC608" s="6"/>
      <c r="LD608" s="6"/>
      <c r="LI608" s="6"/>
      <c r="LM608" s="6"/>
      <c r="LN608" s="6"/>
      <c r="LS608" s="6"/>
      <c r="MD608" s="6"/>
      <c r="ME608" s="6"/>
      <c r="MJ608" s="6"/>
      <c r="MN608" s="6"/>
      <c r="MO608" s="6"/>
      <c r="MT608" s="6"/>
      <c r="NE608" s="6"/>
      <c r="NF608" s="6"/>
      <c r="NK608" s="6"/>
      <c r="NO608" s="6"/>
      <c r="NP608" s="6"/>
      <c r="NU608" s="6"/>
      <c r="OF608" s="6"/>
      <c r="OG608" s="6"/>
      <c r="OL608" s="6"/>
      <c r="OP608" s="6"/>
      <c r="OQ608" s="6"/>
      <c r="OV608" s="6"/>
      <c r="PG608" s="6"/>
      <c r="PH608" s="6"/>
      <c r="PM608" s="6"/>
      <c r="PQ608" s="6"/>
      <c r="PR608" s="6"/>
      <c r="PW608" s="6"/>
      <c r="QH608" s="6"/>
      <c r="QI608" s="6"/>
      <c r="QN608" s="6"/>
      <c r="QR608" s="6"/>
      <c r="QS608" s="6"/>
      <c r="QX608" s="6"/>
      <c r="RI608" s="6"/>
      <c r="RJ608" s="6"/>
      <c r="RO608" s="6"/>
      <c r="RS608" s="6"/>
      <c r="RT608" s="6"/>
      <c r="RY608" s="6"/>
      <c r="SJ608" s="6"/>
      <c r="SK608" s="6"/>
      <c r="SP608" s="6"/>
      <c r="ST608" s="6"/>
      <c r="SU608" s="6"/>
      <c r="SZ608" s="6"/>
    </row>
    <row r="609" spans="12:520" x14ac:dyDescent="0.3">
      <c r="O609" s="5"/>
      <c r="R609" s="5"/>
      <c r="S609" s="6"/>
      <c r="T609" s="6"/>
      <c r="U609" s="7"/>
      <c r="W609" s="6"/>
      <c r="X609" s="5"/>
      <c r="Z609" s="5"/>
      <c r="AA609" s="6"/>
      <c r="AB609" s="7"/>
      <c r="AG609" s="5"/>
      <c r="AH609" s="6"/>
      <c r="AQ609" s="5"/>
      <c r="AR609" s="5"/>
      <c r="AS609" s="6"/>
      <c r="AT609" s="7"/>
      <c r="AW609" s="5"/>
      <c r="AY609" s="6"/>
      <c r="BC609" s="6"/>
      <c r="BD609" s="6"/>
      <c r="BI609" s="6"/>
      <c r="CU609" s="6"/>
      <c r="CV609" s="6"/>
      <c r="DA609" s="6"/>
      <c r="DE609" s="6"/>
      <c r="DF609" s="6"/>
      <c r="DK609" s="6"/>
      <c r="EQ609" s="8"/>
      <c r="ER609" s="8"/>
      <c r="ES609" s="8"/>
      <c r="EW609" s="6"/>
      <c r="EX609" s="6"/>
      <c r="FC609" s="6"/>
      <c r="FG609" s="6"/>
      <c r="FH609" s="6"/>
      <c r="FM609" s="6"/>
      <c r="FX609" s="6"/>
      <c r="FY609" s="6"/>
      <c r="GD609" s="6"/>
      <c r="GH609" s="6"/>
      <c r="GI609" s="6"/>
      <c r="GN609" s="6"/>
      <c r="GY609" s="6"/>
      <c r="GZ609" s="6"/>
      <c r="HE609" s="6"/>
      <c r="HI609" s="6"/>
      <c r="HJ609" s="6"/>
      <c r="HO609" s="6"/>
      <c r="HZ609" s="6"/>
      <c r="IA609" s="6"/>
      <c r="IF609" s="6"/>
      <c r="IJ609" s="6"/>
      <c r="IK609" s="6"/>
      <c r="IP609" s="6"/>
      <c r="JA609" s="6"/>
      <c r="JB609" s="6"/>
      <c r="JG609" s="6"/>
      <c r="JK609" s="6"/>
      <c r="JL609" s="6"/>
      <c r="JQ609" s="6"/>
      <c r="KB609" s="6"/>
      <c r="KC609" s="6"/>
      <c r="KH609" s="6"/>
      <c r="KL609" s="6"/>
      <c r="KM609" s="6"/>
      <c r="KR609" s="6"/>
      <c r="LC609" s="6"/>
      <c r="LD609" s="6"/>
      <c r="LI609" s="6"/>
      <c r="LM609" s="6"/>
      <c r="LN609" s="6"/>
      <c r="LS609" s="6"/>
      <c r="MD609" s="6"/>
      <c r="ME609" s="6"/>
      <c r="MJ609" s="6"/>
      <c r="MN609" s="6"/>
      <c r="MO609" s="6"/>
      <c r="MT609" s="6"/>
      <c r="NE609" s="6"/>
      <c r="NF609" s="6"/>
      <c r="NK609" s="6"/>
      <c r="NO609" s="6"/>
      <c r="NP609" s="6"/>
      <c r="NU609" s="6"/>
      <c r="OF609" s="6"/>
      <c r="OG609" s="6"/>
      <c r="OL609" s="6"/>
      <c r="OP609" s="6"/>
      <c r="OQ609" s="6"/>
      <c r="OV609" s="6"/>
      <c r="PG609" s="6"/>
      <c r="PH609" s="6"/>
      <c r="PM609" s="6"/>
      <c r="PQ609" s="6"/>
      <c r="PR609" s="6"/>
      <c r="PW609" s="6"/>
      <c r="QH609" s="6"/>
      <c r="QI609" s="6"/>
      <c r="QN609" s="6"/>
      <c r="QR609" s="6"/>
      <c r="QS609" s="6"/>
      <c r="QX609" s="6"/>
      <c r="RI609" s="6"/>
      <c r="RJ609" s="6"/>
      <c r="RO609" s="6"/>
      <c r="RS609" s="6"/>
      <c r="RT609" s="6"/>
      <c r="RY609" s="6"/>
      <c r="SJ609" s="6"/>
      <c r="SK609" s="6"/>
      <c r="SP609" s="6"/>
      <c r="ST609" s="6"/>
      <c r="SU609" s="6"/>
      <c r="SZ609" s="6"/>
    </row>
    <row r="610" spans="12:520" x14ac:dyDescent="0.3">
      <c r="O610" s="5"/>
      <c r="R610" s="5"/>
      <c r="S610" s="6"/>
      <c r="T610" s="6"/>
      <c r="U610" s="7"/>
      <c r="W610" s="6"/>
      <c r="X610" s="5"/>
      <c r="Z610" s="5"/>
      <c r="AA610" s="6"/>
      <c r="AB610" s="7"/>
      <c r="AG610" s="5"/>
      <c r="AH610" s="6"/>
      <c r="AQ610" s="5"/>
      <c r="AR610" s="5"/>
      <c r="AS610" s="6"/>
      <c r="AT610" s="7"/>
      <c r="AW610" s="5"/>
      <c r="AY610" s="6"/>
      <c r="BC610" s="6"/>
      <c r="BD610" s="6"/>
      <c r="BI610" s="6"/>
      <c r="CU610" s="6"/>
      <c r="CV610" s="6"/>
      <c r="DA610" s="6"/>
      <c r="DE610" s="6"/>
      <c r="DF610" s="6"/>
      <c r="DK610" s="6"/>
      <c r="FX610" s="6"/>
      <c r="FY610" s="6"/>
      <c r="GD610" s="6"/>
      <c r="GH610" s="6"/>
      <c r="GI610" s="6"/>
      <c r="GN610" s="6"/>
      <c r="GY610" s="6"/>
      <c r="GZ610" s="6"/>
      <c r="HE610" s="6"/>
      <c r="HI610" s="6"/>
      <c r="HJ610" s="6"/>
      <c r="HO610" s="6"/>
      <c r="HZ610" s="6"/>
      <c r="IA610" s="6"/>
      <c r="IF610" s="6"/>
      <c r="IJ610" s="6"/>
      <c r="IK610" s="6"/>
      <c r="IP610" s="6"/>
      <c r="JA610" s="6"/>
      <c r="JB610" s="6"/>
      <c r="JG610" s="6"/>
      <c r="JK610" s="6"/>
      <c r="JL610" s="6"/>
      <c r="JQ610" s="6"/>
      <c r="KB610" s="6"/>
      <c r="KC610" s="6"/>
      <c r="KH610" s="6"/>
      <c r="KL610" s="6"/>
      <c r="KM610" s="6"/>
      <c r="KR610" s="6"/>
      <c r="LC610" s="6"/>
      <c r="LD610" s="6"/>
      <c r="LI610" s="6"/>
      <c r="LM610" s="6"/>
      <c r="LN610" s="6"/>
      <c r="LS610" s="6"/>
      <c r="MD610" s="6"/>
      <c r="ME610" s="6"/>
      <c r="MJ610" s="6"/>
      <c r="MN610" s="6"/>
      <c r="MO610" s="6"/>
      <c r="MT610" s="6"/>
      <c r="NE610" s="6"/>
      <c r="NF610" s="6"/>
      <c r="NK610" s="6"/>
      <c r="NO610" s="6"/>
      <c r="NP610" s="6"/>
      <c r="NU610" s="6"/>
      <c r="OF610" s="6"/>
      <c r="OG610" s="6"/>
      <c r="OL610" s="6"/>
      <c r="OP610" s="6"/>
      <c r="OQ610" s="6"/>
      <c r="OV610" s="6"/>
      <c r="PG610" s="6"/>
      <c r="PH610" s="6"/>
      <c r="PM610" s="6"/>
      <c r="PQ610" s="6"/>
      <c r="PR610" s="6"/>
      <c r="PW610" s="6"/>
      <c r="QH610" s="6"/>
      <c r="QI610" s="6"/>
      <c r="QN610" s="6"/>
      <c r="QR610" s="6"/>
      <c r="QS610" s="6"/>
      <c r="QX610" s="6"/>
      <c r="RI610" s="6"/>
      <c r="RJ610" s="6"/>
      <c r="RO610" s="6"/>
      <c r="RS610" s="6"/>
      <c r="RT610" s="6"/>
      <c r="RY610" s="6"/>
      <c r="SJ610" s="6"/>
      <c r="SK610" s="6"/>
      <c r="SP610" s="6"/>
      <c r="ST610" s="6"/>
      <c r="SU610" s="6"/>
      <c r="SZ610" s="6"/>
    </row>
    <row r="611" spans="12:520" x14ac:dyDescent="0.3">
      <c r="O611" s="5"/>
      <c r="R611" s="5"/>
      <c r="S611" s="6"/>
      <c r="T611" s="6"/>
      <c r="U611" s="7"/>
      <c r="W611" s="6"/>
      <c r="X611" s="5"/>
      <c r="Z611" s="5"/>
      <c r="AA611" s="6"/>
      <c r="AB611" s="7"/>
      <c r="AG611" s="5"/>
      <c r="AH611" s="6"/>
      <c r="AQ611" s="5"/>
      <c r="AR611" s="5"/>
      <c r="AS611" s="6"/>
      <c r="AT611" s="7"/>
      <c r="AW611" s="5"/>
      <c r="AY611" s="6"/>
      <c r="BC611" s="6"/>
      <c r="BD611" s="6"/>
      <c r="BI611" s="6"/>
      <c r="CU611" s="6"/>
      <c r="CV611" s="6"/>
      <c r="DA611" s="6"/>
      <c r="DE611" s="6"/>
      <c r="DF611" s="6"/>
      <c r="DK611" s="6"/>
      <c r="FR611" s="8"/>
      <c r="FS611" s="8"/>
      <c r="FT611" s="8"/>
      <c r="FX611" s="6"/>
      <c r="FY611" s="6"/>
      <c r="GD611" s="6"/>
      <c r="GH611" s="6"/>
      <c r="GI611" s="6"/>
      <c r="GN611" s="6"/>
      <c r="GY611" s="6"/>
      <c r="GZ611" s="6"/>
      <c r="HE611" s="6"/>
      <c r="HI611" s="6"/>
      <c r="HJ611" s="6"/>
      <c r="HO611" s="6"/>
      <c r="HZ611" s="6"/>
      <c r="IA611" s="6"/>
      <c r="IF611" s="6"/>
      <c r="IJ611" s="6"/>
      <c r="IK611" s="6"/>
      <c r="IP611" s="6"/>
      <c r="JA611" s="6"/>
      <c r="JB611" s="6"/>
      <c r="JG611" s="6"/>
      <c r="JK611" s="6"/>
      <c r="JL611" s="6"/>
      <c r="JQ611" s="6"/>
      <c r="KB611" s="6"/>
      <c r="KC611" s="6"/>
      <c r="KH611" s="6"/>
      <c r="KL611" s="6"/>
      <c r="KM611" s="6"/>
      <c r="KR611" s="6"/>
      <c r="LC611" s="6"/>
      <c r="LD611" s="6"/>
      <c r="LI611" s="6"/>
      <c r="LM611" s="6"/>
      <c r="LN611" s="6"/>
      <c r="LS611" s="6"/>
      <c r="MD611" s="6"/>
      <c r="ME611" s="6"/>
      <c r="MJ611" s="6"/>
      <c r="MN611" s="6"/>
      <c r="MO611" s="6"/>
      <c r="MT611" s="6"/>
      <c r="NE611" s="6"/>
      <c r="NF611" s="6"/>
      <c r="NK611" s="6"/>
      <c r="NO611" s="6"/>
      <c r="NP611" s="6"/>
      <c r="NU611" s="6"/>
      <c r="OF611" s="6"/>
      <c r="OG611" s="6"/>
      <c r="OL611" s="6"/>
      <c r="OP611" s="6"/>
      <c r="OQ611" s="6"/>
      <c r="OV611" s="6"/>
      <c r="PG611" s="6"/>
      <c r="PH611" s="6"/>
      <c r="PM611" s="6"/>
      <c r="PQ611" s="6"/>
      <c r="PR611" s="6"/>
      <c r="PW611" s="6"/>
      <c r="QH611" s="6"/>
      <c r="QI611" s="6"/>
      <c r="QN611" s="6"/>
      <c r="QR611" s="6"/>
      <c r="QS611" s="6"/>
      <c r="QX611" s="6"/>
      <c r="RI611" s="6"/>
      <c r="RJ611" s="6"/>
      <c r="RO611" s="6"/>
      <c r="RS611" s="6"/>
      <c r="RT611" s="6"/>
      <c r="RY611" s="6"/>
      <c r="SJ611" s="6"/>
      <c r="SK611" s="6"/>
      <c r="SP611" s="6"/>
      <c r="ST611" s="6"/>
      <c r="SU611" s="6"/>
      <c r="SZ611" s="6"/>
    </row>
    <row r="612" spans="12:520" x14ac:dyDescent="0.3">
      <c r="O612" s="5"/>
      <c r="R612" s="5"/>
      <c r="S612" s="6"/>
      <c r="T612" s="6"/>
      <c r="U612" s="7"/>
      <c r="W612" s="6"/>
      <c r="X612" s="5"/>
      <c r="Z612" s="5"/>
      <c r="AA612" s="6"/>
      <c r="AB612" s="7"/>
      <c r="AG612" s="5"/>
      <c r="AH612" s="6"/>
      <c r="AQ612" s="5"/>
      <c r="AR612" s="5"/>
      <c r="AS612" s="6"/>
      <c r="AT612" s="7"/>
      <c r="AW612" s="5"/>
      <c r="AY612" s="6"/>
      <c r="BC612" s="6"/>
      <c r="BD612" s="6"/>
      <c r="BI612" s="6"/>
      <c r="CU612" s="6"/>
      <c r="CV612" s="6"/>
      <c r="DA612" s="6"/>
      <c r="DE612" s="6"/>
      <c r="DF612" s="6"/>
      <c r="DK612" s="6"/>
      <c r="GY612" s="6"/>
      <c r="GZ612" s="6"/>
      <c r="HE612" s="6"/>
      <c r="HI612" s="6"/>
      <c r="HJ612" s="6"/>
      <c r="HO612" s="6"/>
      <c r="HZ612" s="6"/>
      <c r="IA612" s="6"/>
      <c r="IF612" s="6"/>
      <c r="IJ612" s="6"/>
      <c r="IK612" s="6"/>
      <c r="IP612" s="6"/>
      <c r="JA612" s="6"/>
      <c r="JB612" s="6"/>
      <c r="JG612" s="6"/>
      <c r="JK612" s="6"/>
      <c r="JL612" s="6"/>
      <c r="JQ612" s="6"/>
      <c r="KB612" s="6"/>
      <c r="KC612" s="6"/>
      <c r="KH612" s="6"/>
      <c r="KL612" s="6"/>
      <c r="KM612" s="6"/>
      <c r="KR612" s="6"/>
      <c r="LC612" s="6"/>
      <c r="LD612" s="6"/>
      <c r="LI612" s="6"/>
      <c r="LM612" s="6"/>
      <c r="LN612" s="6"/>
      <c r="LS612" s="6"/>
      <c r="MD612" s="6"/>
      <c r="ME612" s="6"/>
      <c r="MJ612" s="6"/>
      <c r="MN612" s="6"/>
      <c r="MO612" s="6"/>
      <c r="MT612" s="6"/>
      <c r="NE612" s="6"/>
      <c r="NF612" s="6"/>
      <c r="NK612" s="6"/>
      <c r="NO612" s="6"/>
      <c r="NP612" s="6"/>
      <c r="NU612" s="6"/>
      <c r="OF612" s="6"/>
      <c r="OG612" s="6"/>
      <c r="OL612" s="6"/>
      <c r="OP612" s="6"/>
      <c r="OQ612" s="6"/>
      <c r="OV612" s="6"/>
      <c r="PG612" s="6"/>
      <c r="PH612" s="6"/>
      <c r="PM612" s="6"/>
      <c r="PQ612" s="6"/>
      <c r="PR612" s="6"/>
      <c r="PW612" s="6"/>
      <c r="QH612" s="6"/>
      <c r="QI612" s="6"/>
      <c r="QN612" s="6"/>
      <c r="QR612" s="6"/>
      <c r="QS612" s="6"/>
      <c r="QX612" s="6"/>
      <c r="RI612" s="6"/>
      <c r="RJ612" s="6"/>
      <c r="RO612" s="6"/>
      <c r="RS612" s="6"/>
      <c r="RT612" s="6"/>
      <c r="RY612" s="6"/>
      <c r="SJ612" s="6"/>
      <c r="SK612" s="6"/>
      <c r="SP612" s="6"/>
      <c r="ST612" s="6"/>
      <c r="SU612" s="6"/>
      <c r="SZ612" s="6"/>
    </row>
    <row r="613" spans="12:520" x14ac:dyDescent="0.3">
      <c r="R613" s="5"/>
      <c r="S613" s="6"/>
      <c r="T613" s="6"/>
      <c r="U613" s="7"/>
      <c r="W613" s="6"/>
      <c r="Z613" s="5"/>
      <c r="AA613" s="6"/>
      <c r="AB613" s="7"/>
      <c r="AG613" s="5"/>
      <c r="AH613" s="6"/>
      <c r="AQ613" s="5"/>
      <c r="AR613" s="5"/>
      <c r="AS613" s="6"/>
      <c r="AT613" s="7"/>
      <c r="AW613" s="5"/>
      <c r="AY613" s="6"/>
      <c r="BC613" s="6"/>
      <c r="BD613" s="6"/>
      <c r="BI613" s="6"/>
      <c r="CU613" s="6"/>
      <c r="CV613" s="6"/>
      <c r="DA613" s="6"/>
      <c r="DE613" s="6"/>
      <c r="DF613" s="6"/>
      <c r="DK613" s="6"/>
      <c r="GY613" s="6"/>
      <c r="GZ613" s="6"/>
      <c r="HE613" s="6"/>
      <c r="HI613" s="6"/>
      <c r="HJ613" s="6"/>
      <c r="HO613" s="6"/>
      <c r="HZ613" s="6"/>
      <c r="IA613" s="6"/>
      <c r="IF613" s="6"/>
      <c r="IJ613" s="6"/>
      <c r="IK613" s="6"/>
      <c r="IP613" s="6"/>
      <c r="JA613" s="6"/>
      <c r="JB613" s="6"/>
      <c r="JG613" s="6"/>
      <c r="JK613" s="6"/>
      <c r="JL613" s="6"/>
      <c r="JQ613" s="6"/>
      <c r="KB613" s="6"/>
      <c r="KC613" s="6"/>
      <c r="KH613" s="6"/>
      <c r="KL613" s="6"/>
      <c r="KM613" s="6"/>
      <c r="KR613" s="6"/>
      <c r="LC613" s="6"/>
      <c r="LD613" s="6"/>
      <c r="LI613" s="6"/>
      <c r="LM613" s="6"/>
      <c r="LN613" s="6"/>
      <c r="LS613" s="6"/>
      <c r="MD613" s="6"/>
      <c r="ME613" s="6"/>
      <c r="MJ613" s="6"/>
      <c r="MN613" s="6"/>
      <c r="MO613" s="6"/>
      <c r="MT613" s="6"/>
      <c r="NE613" s="6"/>
      <c r="NF613" s="6"/>
      <c r="NK613" s="6"/>
      <c r="NO613" s="6"/>
      <c r="NP613" s="6"/>
      <c r="NU613" s="6"/>
      <c r="OF613" s="6"/>
      <c r="OG613" s="6"/>
      <c r="OL613" s="6"/>
      <c r="OP613" s="6"/>
      <c r="OQ613" s="6"/>
      <c r="OV613" s="6"/>
      <c r="PG613" s="6"/>
      <c r="PH613" s="6"/>
      <c r="PM613" s="6"/>
      <c r="PQ613" s="6"/>
      <c r="PR613" s="6"/>
      <c r="PW613" s="6"/>
      <c r="QB613" s="8"/>
      <c r="QC613" s="8"/>
      <c r="QD613" s="8"/>
      <c r="QH613" s="6"/>
      <c r="QI613" s="6"/>
      <c r="QN613" s="6"/>
      <c r="QR613" s="6"/>
      <c r="QS613" s="6"/>
      <c r="QX613" s="6"/>
      <c r="RI613" s="6"/>
      <c r="RJ613" s="6"/>
      <c r="RO613" s="6"/>
      <c r="RS613" s="6"/>
      <c r="RT613" s="6"/>
      <c r="RY613" s="6"/>
      <c r="SJ613" s="6"/>
      <c r="SK613" s="6"/>
      <c r="SP613" s="6"/>
      <c r="ST613" s="6"/>
      <c r="SU613" s="6"/>
      <c r="SZ613" s="6"/>
    </row>
    <row r="614" spans="12:520" x14ac:dyDescent="0.3">
      <c r="L614" s="8"/>
      <c r="M614" s="8"/>
      <c r="N614" s="8"/>
      <c r="R614" s="5"/>
      <c r="S614" s="6"/>
      <c r="T614" s="6"/>
      <c r="U614" s="7"/>
      <c r="W614" s="7"/>
      <c r="Z614" s="5"/>
      <c r="AA614" s="6"/>
      <c r="AB614" s="7"/>
      <c r="AG614" s="5"/>
      <c r="AH614" s="7"/>
      <c r="AQ614" s="5"/>
      <c r="AR614" s="5"/>
      <c r="AS614" s="6"/>
      <c r="AT614" s="7"/>
      <c r="AW614" s="5"/>
      <c r="AY614" s="6"/>
      <c r="BC614" s="6"/>
      <c r="BD614" s="6"/>
      <c r="BI614" s="6"/>
      <c r="CO614" s="8"/>
      <c r="CP614" s="8"/>
      <c r="CQ614" s="8"/>
      <c r="CU614" s="6"/>
      <c r="CV614" s="6"/>
      <c r="DA614" s="6"/>
      <c r="DE614" s="6"/>
      <c r="DF614" s="6"/>
      <c r="DK614" s="6"/>
      <c r="GS614" s="8"/>
      <c r="GT614" s="8"/>
      <c r="GU614" s="8"/>
      <c r="GY614" s="6"/>
      <c r="GZ614" s="6"/>
      <c r="HE614" s="6"/>
      <c r="HI614" s="6"/>
      <c r="HJ614" s="6"/>
      <c r="HO614" s="6"/>
      <c r="HT614" s="8"/>
      <c r="HU614" s="8"/>
      <c r="HV614" s="8"/>
      <c r="HZ614" s="6"/>
      <c r="IA614" s="6"/>
      <c r="IF614" s="6"/>
      <c r="IJ614" s="6"/>
      <c r="IK614" s="6"/>
      <c r="IP614" s="6"/>
      <c r="IU614" s="8"/>
      <c r="IV614" s="8"/>
      <c r="IW614" s="8"/>
      <c r="JA614" s="6"/>
      <c r="JB614" s="6"/>
      <c r="JG614" s="6"/>
      <c r="JK614" s="6"/>
      <c r="JL614" s="6"/>
      <c r="JQ614" s="6"/>
      <c r="JV614" s="8"/>
      <c r="JW614" s="8"/>
      <c r="JX614" s="8"/>
      <c r="KB614" s="6"/>
      <c r="KC614" s="6"/>
      <c r="KH614" s="6"/>
      <c r="KL614" s="6"/>
      <c r="KM614" s="6"/>
      <c r="KR614" s="6"/>
      <c r="KW614" s="8"/>
      <c r="KX614" s="8"/>
      <c r="KY614" s="8"/>
      <c r="LC614" s="6"/>
      <c r="LD614" s="6"/>
      <c r="LI614" s="6"/>
      <c r="LM614" s="6"/>
      <c r="LN614" s="6"/>
      <c r="LS614" s="6"/>
      <c r="LX614" s="8"/>
      <c r="LY614" s="8"/>
      <c r="LZ614" s="8"/>
      <c r="MD614" s="6"/>
      <c r="ME614" s="6"/>
      <c r="MJ614" s="6"/>
      <c r="MN614" s="6"/>
      <c r="MO614" s="6"/>
      <c r="MT614" s="6"/>
      <c r="MY614" s="8"/>
      <c r="MZ614" s="8"/>
      <c r="NA614" s="8"/>
      <c r="NE614" s="6"/>
      <c r="NF614" s="6"/>
      <c r="NK614" s="6"/>
      <c r="NO614" s="6"/>
      <c r="NP614" s="6"/>
      <c r="NU614" s="6"/>
      <c r="NZ614" s="8"/>
      <c r="OA614" s="8"/>
      <c r="OB614" s="8"/>
      <c r="OF614" s="6"/>
      <c r="OG614" s="6"/>
      <c r="OL614" s="6"/>
      <c r="OP614" s="6"/>
      <c r="OQ614" s="6"/>
      <c r="OV614" s="6"/>
      <c r="PA614" s="8"/>
      <c r="PB614" s="8"/>
      <c r="PC614" s="8"/>
      <c r="PG614" s="6"/>
      <c r="PH614" s="6"/>
      <c r="PM614" s="6"/>
      <c r="PQ614" s="6"/>
      <c r="PR614" s="6"/>
      <c r="PW614" s="6"/>
      <c r="RC614" s="8"/>
      <c r="RD614" s="8"/>
      <c r="RE614" s="8"/>
      <c r="RI614" s="6"/>
      <c r="RJ614" s="6"/>
      <c r="RO614" s="6"/>
      <c r="RS614" s="6"/>
      <c r="RT614" s="6"/>
      <c r="RY614" s="6"/>
      <c r="SD614" s="8"/>
      <c r="SE614" s="8"/>
      <c r="SF614" s="8"/>
      <c r="SJ614" s="6"/>
      <c r="SK614" s="6"/>
      <c r="SP614" s="6"/>
      <c r="ST614" s="6"/>
      <c r="SU614" s="6"/>
      <c r="SZ614" s="6"/>
    </row>
    <row r="615" spans="12:520" x14ac:dyDescent="0.3">
      <c r="AQ615" s="5"/>
      <c r="AR615" s="5"/>
      <c r="AS615" s="6"/>
    </row>
    <row r="616" spans="12:520" x14ac:dyDescent="0.3">
      <c r="AQ616" s="5"/>
      <c r="AR616" s="5"/>
      <c r="AS616" s="6"/>
    </row>
    <row r="617" spans="12:520" x14ac:dyDescent="0.3">
      <c r="AQ617" s="5"/>
      <c r="AR617" s="5"/>
      <c r="AS617" s="6"/>
    </row>
    <row r="618" spans="12:520" x14ac:dyDescent="0.3">
      <c r="AM618" s="8"/>
      <c r="AN618" s="8"/>
      <c r="AO618" s="8"/>
      <c r="AQ618" s="5"/>
      <c r="AR618" s="5"/>
      <c r="AS618" s="6"/>
    </row>
    <row r="635" spans="18:520" x14ac:dyDescent="0.3">
      <c r="R635" s="6"/>
      <c r="S635" s="7"/>
      <c r="T635" s="7"/>
      <c r="Z635" s="6"/>
      <c r="AA635" s="7"/>
      <c r="AG635" s="6"/>
      <c r="AX635" s="6"/>
      <c r="BB635" s="6"/>
      <c r="BC635" s="7"/>
      <c r="BH635" s="6"/>
      <c r="BS635" s="6"/>
      <c r="BT635" s="7"/>
      <c r="BY635" s="6"/>
      <c r="CC635" s="6"/>
      <c r="CD635" s="7"/>
      <c r="CI635" s="6"/>
      <c r="CT635" s="6"/>
      <c r="CU635" s="7"/>
      <c r="CZ635" s="6"/>
      <c r="DD635" s="6"/>
      <c r="DE635" s="7"/>
      <c r="DJ635" s="6"/>
      <c r="DU635" s="6"/>
      <c r="DV635" s="7"/>
      <c r="EA635" s="6"/>
      <c r="EE635" s="6"/>
      <c r="EF635" s="7"/>
      <c r="EK635" s="6"/>
      <c r="EV635" s="6"/>
      <c r="EW635" s="7"/>
      <c r="FB635" s="6"/>
      <c r="FF635" s="6"/>
      <c r="FG635" s="7"/>
      <c r="FL635" s="6"/>
      <c r="FW635" s="6"/>
      <c r="FX635" s="7"/>
      <c r="GC635" s="6"/>
      <c r="GG635" s="6"/>
      <c r="GH635" s="7"/>
      <c r="GM635" s="6"/>
      <c r="GX635" s="6"/>
      <c r="GY635" s="7"/>
      <c r="HD635" s="6"/>
      <c r="HH635" s="6"/>
      <c r="HI635" s="7"/>
      <c r="HN635" s="6"/>
      <c r="HY635" s="6"/>
      <c r="HZ635" s="7"/>
      <c r="IE635" s="6"/>
      <c r="II635" s="6"/>
      <c r="IJ635" s="7"/>
      <c r="IO635" s="6"/>
      <c r="IZ635" s="6"/>
      <c r="JA635" s="7"/>
      <c r="JF635" s="6"/>
      <c r="JJ635" s="6"/>
      <c r="JK635" s="7"/>
      <c r="JP635" s="6"/>
      <c r="KA635" s="6"/>
      <c r="KB635" s="7"/>
      <c r="KG635" s="6"/>
      <c r="KK635" s="6"/>
      <c r="KL635" s="7"/>
      <c r="KQ635" s="6"/>
      <c r="LB635" s="6"/>
      <c r="LC635" s="7"/>
      <c r="LH635" s="6"/>
      <c r="LL635" s="6"/>
      <c r="LM635" s="7"/>
      <c r="LR635" s="6"/>
      <c r="MC635" s="6"/>
      <c r="MD635" s="7"/>
      <c r="MI635" s="6"/>
      <c r="MM635" s="6"/>
      <c r="MN635" s="7"/>
      <c r="MS635" s="6"/>
      <c r="ND635" s="6"/>
      <c r="NE635" s="7"/>
      <c r="NJ635" s="6"/>
      <c r="NN635" s="6"/>
      <c r="NO635" s="7"/>
      <c r="NT635" s="6"/>
      <c r="OE635" s="6"/>
      <c r="OF635" s="7"/>
      <c r="OK635" s="6"/>
      <c r="OO635" s="6"/>
      <c r="OP635" s="7"/>
      <c r="OU635" s="6"/>
      <c r="PF635" s="6"/>
      <c r="PG635" s="7"/>
      <c r="PL635" s="6"/>
      <c r="PP635" s="6"/>
      <c r="PQ635" s="7"/>
      <c r="PV635" s="6"/>
      <c r="QG635" s="6"/>
      <c r="QH635" s="7"/>
      <c r="QM635" s="6"/>
      <c r="QQ635" s="6"/>
      <c r="QR635" s="7"/>
      <c r="QW635" s="6"/>
      <c r="RH635" s="6"/>
      <c r="RI635" s="7"/>
      <c r="RN635" s="6"/>
      <c r="RR635" s="6"/>
      <c r="RS635" s="7"/>
      <c r="RX635" s="6"/>
      <c r="SI635" s="6"/>
      <c r="SJ635" s="7"/>
      <c r="SO635" s="6"/>
      <c r="SS635" s="6"/>
      <c r="ST635" s="7"/>
      <c r="SY635" s="6"/>
    </row>
    <row r="636" spans="18:520" x14ac:dyDescent="0.3">
      <c r="S636" s="6"/>
      <c r="T636" s="6"/>
      <c r="U636" s="6"/>
      <c r="W636" s="6"/>
      <c r="AA636" s="6"/>
      <c r="AB636" s="6"/>
      <c r="AH636" s="6"/>
      <c r="AT636" s="6"/>
      <c r="AY636" s="6"/>
      <c r="BC636" s="6"/>
      <c r="BD636" s="6"/>
      <c r="BI636" s="6"/>
      <c r="BT636" s="6"/>
      <c r="BU636" s="6"/>
      <c r="BZ636" s="6"/>
      <c r="CD636" s="6"/>
      <c r="CE636" s="6"/>
      <c r="CJ636" s="6"/>
      <c r="CU636" s="6"/>
      <c r="CV636" s="6"/>
      <c r="DA636" s="6"/>
      <c r="DE636" s="6"/>
      <c r="DF636" s="6"/>
      <c r="DK636" s="6"/>
      <c r="DV636" s="6"/>
      <c r="DW636" s="6"/>
      <c r="EB636" s="6"/>
      <c r="EF636" s="6"/>
      <c r="EG636" s="6"/>
      <c r="EL636" s="6"/>
      <c r="EW636" s="6"/>
      <c r="EX636" s="6"/>
      <c r="FC636" s="6"/>
      <c r="FG636" s="6"/>
      <c r="FH636" s="6"/>
      <c r="FM636" s="6"/>
      <c r="FX636" s="6"/>
      <c r="FY636" s="6"/>
      <c r="GD636" s="6"/>
      <c r="GH636" s="6"/>
      <c r="GI636" s="6"/>
      <c r="GN636" s="6"/>
      <c r="GY636" s="6"/>
      <c r="GZ636" s="6"/>
      <c r="HE636" s="6"/>
      <c r="HI636" s="6"/>
      <c r="HJ636" s="6"/>
      <c r="HO636" s="6"/>
      <c r="HT636" s="8"/>
      <c r="HU636" s="8"/>
      <c r="HV636" s="8"/>
      <c r="HZ636" s="6"/>
      <c r="IA636" s="6"/>
      <c r="IF636" s="6"/>
      <c r="IJ636" s="6"/>
      <c r="IK636" s="6"/>
      <c r="IP636" s="6"/>
      <c r="JA636" s="6"/>
      <c r="JB636" s="6"/>
      <c r="JG636" s="6"/>
      <c r="JK636" s="6"/>
      <c r="JL636" s="6"/>
      <c r="JQ636" s="6"/>
      <c r="KB636" s="6"/>
      <c r="KC636" s="6"/>
      <c r="KH636" s="6"/>
      <c r="KL636" s="6"/>
      <c r="KM636" s="6"/>
      <c r="KR636" s="6"/>
      <c r="LC636" s="6"/>
      <c r="LD636" s="6"/>
      <c r="LI636" s="6"/>
      <c r="LM636" s="6"/>
      <c r="LN636" s="6"/>
      <c r="LS636" s="6"/>
      <c r="MD636" s="6"/>
      <c r="ME636" s="6"/>
      <c r="MJ636" s="6"/>
      <c r="MN636" s="6"/>
      <c r="MO636" s="6"/>
      <c r="MT636" s="6"/>
      <c r="NE636" s="6"/>
      <c r="NF636" s="6"/>
      <c r="NK636" s="6"/>
      <c r="NO636" s="6"/>
      <c r="NP636" s="6"/>
      <c r="NU636" s="6"/>
      <c r="OF636" s="6"/>
      <c r="OG636" s="6"/>
      <c r="OL636" s="6"/>
      <c r="OP636" s="6"/>
      <c r="OQ636" s="6"/>
      <c r="OV636" s="6"/>
      <c r="PG636" s="6"/>
      <c r="PH636" s="6"/>
      <c r="PM636" s="6"/>
      <c r="PQ636" s="6"/>
      <c r="PR636" s="6"/>
      <c r="PW636" s="6"/>
      <c r="QH636" s="6"/>
      <c r="QI636" s="6"/>
      <c r="QN636" s="6"/>
      <c r="QR636" s="6"/>
      <c r="QS636" s="6"/>
      <c r="QX636" s="6"/>
      <c r="RI636" s="6"/>
      <c r="RJ636" s="6"/>
      <c r="RO636" s="6"/>
      <c r="RS636" s="6"/>
      <c r="RT636" s="6"/>
      <c r="RY636" s="6"/>
      <c r="SJ636" s="6"/>
      <c r="SK636" s="6"/>
      <c r="SP636" s="6"/>
      <c r="ST636" s="6"/>
      <c r="SU636" s="6"/>
      <c r="SZ636" s="6"/>
    </row>
    <row r="637" spans="18:520" x14ac:dyDescent="0.3">
      <c r="S637" s="6"/>
      <c r="T637" s="6"/>
      <c r="U637" s="6"/>
      <c r="W637" s="6"/>
      <c r="AA637" s="6"/>
      <c r="AB637" s="6"/>
      <c r="AH637" s="6"/>
      <c r="AT637" s="6"/>
      <c r="AY637" s="6"/>
      <c r="BC637" s="6"/>
      <c r="BD637" s="6"/>
      <c r="BI637" s="6"/>
      <c r="BT637" s="6"/>
      <c r="BU637" s="6"/>
      <c r="BZ637" s="6"/>
      <c r="CD637" s="6"/>
      <c r="CE637" s="6"/>
      <c r="CJ637" s="6"/>
      <c r="CU637" s="6"/>
      <c r="CV637" s="6"/>
      <c r="DA637" s="6"/>
      <c r="DE637" s="6"/>
      <c r="DF637" s="6"/>
      <c r="DK637" s="6"/>
      <c r="DV637" s="6"/>
      <c r="DW637" s="6"/>
      <c r="EB637" s="6"/>
      <c r="EF637" s="6"/>
      <c r="EG637" s="6"/>
      <c r="EL637" s="6"/>
      <c r="EW637" s="6"/>
      <c r="EX637" s="6"/>
      <c r="FC637" s="6"/>
      <c r="FG637" s="6"/>
      <c r="FH637" s="6"/>
      <c r="FM637" s="6"/>
      <c r="FX637" s="6"/>
      <c r="FY637" s="6"/>
      <c r="GD637" s="6"/>
      <c r="GH637" s="6"/>
      <c r="GI637" s="6"/>
      <c r="GN637" s="6"/>
      <c r="GY637" s="6"/>
      <c r="GZ637" s="6"/>
      <c r="HE637" s="6"/>
      <c r="HI637" s="6"/>
      <c r="HJ637" s="6"/>
      <c r="HO637" s="6"/>
      <c r="JA637" s="6"/>
      <c r="JB637" s="6"/>
      <c r="JG637" s="6"/>
      <c r="JK637" s="6"/>
      <c r="JL637" s="6"/>
      <c r="JQ637" s="6"/>
      <c r="KB637" s="6"/>
      <c r="KC637" s="6"/>
      <c r="KH637" s="6"/>
      <c r="KL637" s="6"/>
      <c r="KM637" s="6"/>
      <c r="KR637" s="6"/>
      <c r="LC637" s="6"/>
      <c r="LD637" s="6"/>
      <c r="LI637" s="6"/>
      <c r="LM637" s="6"/>
      <c r="LN637" s="6"/>
      <c r="LS637" s="6"/>
      <c r="MD637" s="6"/>
      <c r="ME637" s="6"/>
      <c r="MJ637" s="6"/>
      <c r="MN637" s="6"/>
      <c r="MO637" s="6"/>
      <c r="MT637" s="6"/>
      <c r="NE637" s="6"/>
      <c r="NF637" s="6"/>
      <c r="NK637" s="6"/>
      <c r="NO637" s="6"/>
      <c r="NP637" s="6"/>
      <c r="NU637" s="6"/>
      <c r="OF637" s="6"/>
      <c r="OG637" s="6"/>
      <c r="OL637" s="6"/>
      <c r="OP637" s="6"/>
      <c r="OQ637" s="6"/>
      <c r="OV637" s="6"/>
      <c r="PG637" s="6"/>
      <c r="PH637" s="6"/>
      <c r="PM637" s="6"/>
      <c r="PQ637" s="6"/>
      <c r="PR637" s="6"/>
      <c r="PW637" s="6"/>
      <c r="QH637" s="6"/>
      <c r="QI637" s="6"/>
      <c r="QN637" s="6"/>
      <c r="QR637" s="6"/>
      <c r="QS637" s="6"/>
      <c r="QX637" s="6"/>
      <c r="RI637" s="6"/>
      <c r="RJ637" s="6"/>
      <c r="RO637" s="6"/>
      <c r="RS637" s="6"/>
      <c r="RT637" s="6"/>
      <c r="RY637" s="6"/>
      <c r="SJ637" s="6"/>
      <c r="SK637" s="6"/>
      <c r="SP637" s="6"/>
      <c r="ST637" s="6"/>
      <c r="SU637" s="6"/>
      <c r="SZ637" s="6"/>
    </row>
    <row r="638" spans="18:520" x14ac:dyDescent="0.3">
      <c r="S638" s="6"/>
      <c r="T638" s="6"/>
      <c r="U638" s="6"/>
      <c r="W638" s="6"/>
      <c r="AA638" s="6"/>
      <c r="AB638" s="6"/>
      <c r="AH638" s="6"/>
      <c r="AT638" s="6"/>
      <c r="AY638" s="6"/>
      <c r="BC638" s="6"/>
      <c r="BD638" s="6"/>
      <c r="BI638" s="6"/>
      <c r="BT638" s="6"/>
      <c r="BU638" s="6"/>
      <c r="BZ638" s="6"/>
      <c r="CD638" s="6"/>
      <c r="CE638" s="6"/>
      <c r="CJ638" s="6"/>
      <c r="CU638" s="6"/>
      <c r="CV638" s="6"/>
      <c r="DA638" s="6"/>
      <c r="DE638" s="6"/>
      <c r="DF638" s="6"/>
      <c r="DK638" s="6"/>
      <c r="DV638" s="6"/>
      <c r="DW638" s="6"/>
      <c r="EB638" s="6"/>
      <c r="EF638" s="6"/>
      <c r="EG638" s="6"/>
      <c r="EL638" s="6"/>
      <c r="EW638" s="6"/>
      <c r="EX638" s="6"/>
      <c r="FC638" s="6"/>
      <c r="FG638" s="6"/>
      <c r="FH638" s="6"/>
      <c r="FM638" s="6"/>
      <c r="FX638" s="6"/>
      <c r="FY638" s="6"/>
      <c r="GD638" s="6"/>
      <c r="GH638" s="6"/>
      <c r="GI638" s="6"/>
      <c r="GN638" s="6"/>
      <c r="GY638" s="6"/>
      <c r="GZ638" s="6"/>
      <c r="HE638" s="6"/>
      <c r="HI638" s="6"/>
      <c r="HJ638" s="6"/>
      <c r="HO638" s="6"/>
      <c r="JA638" s="6"/>
      <c r="JB638" s="6"/>
      <c r="JG638" s="6"/>
      <c r="JK638" s="6"/>
      <c r="JL638" s="6"/>
      <c r="JQ638" s="6"/>
      <c r="KB638" s="6"/>
      <c r="KC638" s="6"/>
      <c r="KH638" s="6"/>
      <c r="KL638" s="6"/>
      <c r="KM638" s="6"/>
      <c r="KR638" s="6"/>
      <c r="LC638" s="6"/>
      <c r="LD638" s="6"/>
      <c r="LI638" s="6"/>
      <c r="LM638" s="6"/>
      <c r="LN638" s="6"/>
      <c r="LS638" s="6"/>
      <c r="MD638" s="6"/>
      <c r="ME638" s="6"/>
      <c r="MJ638" s="6"/>
      <c r="MN638" s="6"/>
      <c r="MO638" s="6"/>
      <c r="MT638" s="6"/>
      <c r="NE638" s="6"/>
      <c r="NF638" s="6"/>
      <c r="NK638" s="6"/>
      <c r="NO638" s="6"/>
      <c r="NP638" s="6"/>
      <c r="NU638" s="6"/>
      <c r="OF638" s="6"/>
      <c r="OG638" s="6"/>
      <c r="OL638" s="6"/>
      <c r="OP638" s="6"/>
      <c r="OQ638" s="6"/>
      <c r="OV638" s="6"/>
      <c r="PG638" s="6"/>
      <c r="PH638" s="6"/>
      <c r="PM638" s="6"/>
      <c r="PQ638" s="6"/>
      <c r="PR638" s="6"/>
      <c r="PW638" s="6"/>
      <c r="QH638" s="6"/>
      <c r="QI638" s="6"/>
      <c r="QN638" s="6"/>
      <c r="QR638" s="6"/>
      <c r="QS638" s="6"/>
      <c r="QX638" s="6"/>
      <c r="RI638" s="6"/>
      <c r="RJ638" s="6"/>
      <c r="RO638" s="6"/>
      <c r="RS638" s="6"/>
      <c r="RT638" s="6"/>
      <c r="RY638" s="6"/>
      <c r="SJ638" s="6"/>
      <c r="SK638" s="6"/>
      <c r="SP638" s="6"/>
      <c r="ST638" s="6"/>
      <c r="SU638" s="6"/>
      <c r="SZ638" s="6"/>
    </row>
    <row r="639" spans="18:520" x14ac:dyDescent="0.3">
      <c r="S639" s="6"/>
      <c r="T639" s="6"/>
      <c r="U639" s="6"/>
      <c r="W639" s="6"/>
      <c r="AA639" s="6"/>
      <c r="AB639" s="6"/>
      <c r="AH639" s="6"/>
      <c r="AR639" s="6"/>
      <c r="AS639" s="7"/>
      <c r="AT639" s="6"/>
      <c r="AY639" s="6"/>
      <c r="BC639" s="6"/>
      <c r="BD639" s="6"/>
      <c r="BI639" s="6"/>
      <c r="BT639" s="6"/>
      <c r="BU639" s="6"/>
      <c r="BZ639" s="6"/>
      <c r="CD639" s="6"/>
      <c r="CE639" s="6"/>
      <c r="CJ639" s="6"/>
      <c r="CU639" s="6"/>
      <c r="CV639" s="6"/>
      <c r="DA639" s="6"/>
      <c r="DE639" s="6"/>
      <c r="DF639" s="6"/>
      <c r="DK639" s="6"/>
      <c r="DV639" s="6"/>
      <c r="DW639" s="6"/>
      <c r="EB639" s="6"/>
      <c r="EF639" s="6"/>
      <c r="EG639" s="6"/>
      <c r="EL639" s="6"/>
      <c r="EW639" s="6"/>
      <c r="EX639" s="6"/>
      <c r="FC639" s="6"/>
      <c r="FG639" s="6"/>
      <c r="FH639" s="6"/>
      <c r="FM639" s="6"/>
      <c r="FX639" s="6"/>
      <c r="FY639" s="6"/>
      <c r="GD639" s="6"/>
      <c r="GH639" s="6"/>
      <c r="GI639" s="6"/>
      <c r="GN639" s="6"/>
      <c r="GY639" s="6"/>
      <c r="GZ639" s="6"/>
      <c r="HE639" s="6"/>
      <c r="HI639" s="6"/>
      <c r="HJ639" s="6"/>
      <c r="HO639" s="6"/>
      <c r="JA639" s="6"/>
      <c r="JB639" s="6"/>
      <c r="JG639" s="6"/>
      <c r="JK639" s="6"/>
      <c r="JL639" s="6"/>
      <c r="JQ639" s="6"/>
      <c r="KB639" s="6"/>
      <c r="KC639" s="6"/>
      <c r="KH639" s="6"/>
      <c r="KL639" s="6"/>
      <c r="KM639" s="6"/>
      <c r="KR639" s="6"/>
      <c r="LC639" s="6"/>
      <c r="LD639" s="6"/>
      <c r="LI639" s="6"/>
      <c r="LM639" s="6"/>
      <c r="LN639" s="6"/>
      <c r="LS639" s="6"/>
      <c r="MD639" s="6"/>
      <c r="ME639" s="6"/>
      <c r="MJ639" s="6"/>
      <c r="MN639" s="6"/>
      <c r="MO639" s="6"/>
      <c r="MT639" s="6"/>
      <c r="NE639" s="6"/>
      <c r="NF639" s="6"/>
      <c r="NK639" s="6"/>
      <c r="NO639" s="6"/>
      <c r="NP639" s="6"/>
      <c r="NU639" s="6"/>
      <c r="OF639" s="6"/>
      <c r="OG639" s="6"/>
      <c r="OL639" s="6"/>
      <c r="OP639" s="6"/>
      <c r="OQ639" s="6"/>
      <c r="OV639" s="6"/>
      <c r="PA639" s="8"/>
      <c r="PB639" s="8"/>
      <c r="PC639" s="8"/>
      <c r="PG639" s="6"/>
      <c r="PH639" s="6"/>
      <c r="PM639" s="6"/>
      <c r="PQ639" s="6"/>
      <c r="PR639" s="6"/>
      <c r="PW639" s="6"/>
      <c r="QH639" s="6"/>
      <c r="QI639" s="6"/>
      <c r="QN639" s="6"/>
      <c r="QR639" s="6"/>
      <c r="QS639" s="6"/>
      <c r="QX639" s="6"/>
      <c r="RI639" s="6"/>
      <c r="RJ639" s="6"/>
      <c r="RO639" s="6"/>
      <c r="RS639" s="6"/>
      <c r="RT639" s="6"/>
      <c r="RY639" s="6"/>
      <c r="SJ639" s="6"/>
      <c r="SK639" s="6"/>
      <c r="SP639" s="6"/>
      <c r="ST639" s="6"/>
      <c r="SU639" s="6"/>
      <c r="SZ639" s="6"/>
    </row>
    <row r="640" spans="18:520" x14ac:dyDescent="0.3">
      <c r="S640" s="6"/>
      <c r="T640" s="6"/>
      <c r="U640" s="6"/>
      <c r="W640" s="6"/>
      <c r="AA640" s="6"/>
      <c r="AB640" s="6"/>
      <c r="AH640" s="6"/>
      <c r="AS640" s="6"/>
      <c r="AT640" s="6"/>
      <c r="AY640" s="6"/>
      <c r="BC640" s="6"/>
      <c r="BD640" s="6"/>
      <c r="BI640" s="6"/>
      <c r="BT640" s="6"/>
      <c r="BU640" s="6"/>
      <c r="BZ640" s="6"/>
      <c r="CD640" s="6"/>
      <c r="CE640" s="6"/>
      <c r="CJ640" s="6"/>
      <c r="CU640" s="6"/>
      <c r="CV640" s="6"/>
      <c r="DA640" s="6"/>
      <c r="DE640" s="6"/>
      <c r="DF640" s="6"/>
      <c r="DK640" s="6"/>
      <c r="DV640" s="6"/>
      <c r="DW640" s="6"/>
      <c r="EB640" s="6"/>
      <c r="EF640" s="6"/>
      <c r="EG640" s="6"/>
      <c r="EL640" s="6"/>
      <c r="EW640" s="6"/>
      <c r="EX640" s="6"/>
      <c r="FC640" s="6"/>
      <c r="FG640" s="6"/>
      <c r="FH640" s="6"/>
      <c r="FM640" s="6"/>
      <c r="FX640" s="6"/>
      <c r="FY640" s="6"/>
      <c r="GD640" s="6"/>
      <c r="GH640" s="6"/>
      <c r="GI640" s="6"/>
      <c r="GN640" s="6"/>
      <c r="GY640" s="6"/>
      <c r="GZ640" s="6"/>
      <c r="HE640" s="6"/>
      <c r="HI640" s="6"/>
      <c r="HJ640" s="6"/>
      <c r="HO640" s="6"/>
      <c r="JA640" s="6"/>
      <c r="JB640" s="6"/>
      <c r="JG640" s="6"/>
      <c r="JK640" s="6"/>
      <c r="JL640" s="6"/>
      <c r="JQ640" s="6"/>
      <c r="KB640" s="6"/>
      <c r="KC640" s="6"/>
      <c r="KH640" s="6"/>
      <c r="KL640" s="6"/>
      <c r="KM640" s="6"/>
      <c r="KR640" s="6"/>
      <c r="LC640" s="6"/>
      <c r="LD640" s="6"/>
      <c r="LI640" s="6"/>
      <c r="LM640" s="6"/>
      <c r="LN640" s="6"/>
      <c r="LS640" s="6"/>
      <c r="MD640" s="6"/>
      <c r="ME640" s="6"/>
      <c r="MJ640" s="6"/>
      <c r="MN640" s="6"/>
      <c r="MO640" s="6"/>
      <c r="MT640" s="6"/>
      <c r="NE640" s="6"/>
      <c r="NF640" s="6"/>
      <c r="NK640" s="6"/>
      <c r="NO640" s="6"/>
      <c r="NP640" s="6"/>
      <c r="NU640" s="6"/>
      <c r="OF640" s="6"/>
      <c r="OG640" s="6"/>
      <c r="OL640" s="6"/>
      <c r="OP640" s="6"/>
      <c r="OQ640" s="6"/>
      <c r="OV640" s="6"/>
      <c r="QH640" s="6"/>
      <c r="QI640" s="6"/>
      <c r="QN640" s="6"/>
      <c r="QR640" s="6"/>
      <c r="QS640" s="6"/>
      <c r="QX640" s="6"/>
      <c r="RI640" s="6"/>
      <c r="RJ640" s="6"/>
      <c r="RO640" s="6"/>
      <c r="RS640" s="6"/>
      <c r="RT640" s="6"/>
      <c r="RY640" s="6"/>
      <c r="SJ640" s="6"/>
      <c r="SK640" s="6"/>
      <c r="SP640" s="6"/>
      <c r="ST640" s="6"/>
      <c r="SU640" s="6"/>
      <c r="SZ640" s="6"/>
    </row>
    <row r="641" spans="12:520" x14ac:dyDescent="0.3">
      <c r="S641" s="6"/>
      <c r="T641" s="6"/>
      <c r="U641" s="6"/>
      <c r="W641" s="6"/>
      <c r="AA641" s="6"/>
      <c r="AB641" s="6"/>
      <c r="AH641" s="6"/>
      <c r="AS641" s="6"/>
      <c r="AT641" s="6"/>
      <c r="AY641" s="6"/>
      <c r="BC641" s="6"/>
      <c r="BD641" s="6"/>
      <c r="BI641" s="6"/>
      <c r="BT641" s="6"/>
      <c r="BU641" s="6"/>
      <c r="BZ641" s="6"/>
      <c r="CD641" s="6"/>
      <c r="CE641" s="6"/>
      <c r="CJ641" s="6"/>
      <c r="CU641" s="6"/>
      <c r="CV641" s="6"/>
      <c r="DA641" s="6"/>
      <c r="DE641" s="6"/>
      <c r="DF641" s="6"/>
      <c r="DK641" s="6"/>
      <c r="DV641" s="6"/>
      <c r="DW641" s="6"/>
      <c r="EB641" s="6"/>
      <c r="EF641" s="6"/>
      <c r="EG641" s="6"/>
      <c r="EL641" s="6"/>
      <c r="EW641" s="6"/>
      <c r="EX641" s="6"/>
      <c r="FC641" s="6"/>
      <c r="FG641" s="6"/>
      <c r="FH641" s="6"/>
      <c r="FM641" s="6"/>
      <c r="FX641" s="6"/>
      <c r="FY641" s="6"/>
      <c r="GD641" s="6"/>
      <c r="GH641" s="6"/>
      <c r="GI641" s="6"/>
      <c r="GN641" s="6"/>
      <c r="GY641" s="6"/>
      <c r="GZ641" s="6"/>
      <c r="HE641" s="6"/>
      <c r="HI641" s="6"/>
      <c r="HJ641" s="6"/>
      <c r="HO641" s="6"/>
      <c r="JA641" s="6"/>
      <c r="JB641" s="6"/>
      <c r="JG641" s="6"/>
      <c r="JK641" s="6"/>
      <c r="JL641" s="6"/>
      <c r="JQ641" s="6"/>
      <c r="KB641" s="6"/>
      <c r="KC641" s="6"/>
      <c r="KH641" s="6"/>
      <c r="KL641" s="6"/>
      <c r="KM641" s="6"/>
      <c r="KR641" s="6"/>
      <c r="LC641" s="6"/>
      <c r="LD641" s="6"/>
      <c r="LI641" s="6"/>
      <c r="LM641" s="6"/>
      <c r="LN641" s="6"/>
      <c r="LS641" s="6"/>
      <c r="LX641" s="8"/>
      <c r="LY641" s="8"/>
      <c r="LZ641" s="8"/>
      <c r="MD641" s="6"/>
      <c r="ME641" s="6"/>
      <c r="MJ641" s="6"/>
      <c r="MN641" s="6"/>
      <c r="MO641" s="6"/>
      <c r="MT641" s="6"/>
      <c r="NE641" s="6"/>
      <c r="NF641" s="6"/>
      <c r="NK641" s="6"/>
      <c r="NO641" s="6"/>
      <c r="NP641" s="6"/>
      <c r="NU641" s="6"/>
      <c r="OF641" s="6"/>
      <c r="OG641" s="6"/>
      <c r="OL641" s="6"/>
      <c r="OP641" s="6"/>
      <c r="OQ641" s="6"/>
      <c r="OV641" s="6"/>
      <c r="QH641" s="6"/>
      <c r="QI641" s="6"/>
      <c r="QN641" s="6"/>
      <c r="QR641" s="6"/>
      <c r="QS641" s="6"/>
      <c r="QX641" s="6"/>
      <c r="RI641" s="6"/>
      <c r="RJ641" s="6"/>
      <c r="RO641" s="6"/>
      <c r="RS641" s="6"/>
      <c r="RT641" s="6"/>
      <c r="RY641" s="6"/>
      <c r="SJ641" s="6"/>
      <c r="SK641" s="6"/>
      <c r="SP641" s="6"/>
      <c r="ST641" s="6"/>
      <c r="SU641" s="6"/>
      <c r="SZ641" s="6"/>
    </row>
    <row r="642" spans="12:520" x14ac:dyDescent="0.3">
      <c r="S642" s="6"/>
      <c r="T642" s="6"/>
      <c r="U642" s="6"/>
      <c r="W642" s="6"/>
      <c r="AA642" s="6"/>
      <c r="AB642" s="6"/>
      <c r="AH642" s="6"/>
      <c r="AS642" s="6"/>
      <c r="AT642" s="6"/>
      <c r="AY642" s="6"/>
      <c r="BC642" s="6"/>
      <c r="BD642" s="6"/>
      <c r="BI642" s="6"/>
      <c r="BT642" s="6"/>
      <c r="BU642" s="6"/>
      <c r="BZ642" s="6"/>
      <c r="CD642" s="6"/>
      <c r="CE642" s="6"/>
      <c r="CJ642" s="6"/>
      <c r="CU642" s="6"/>
      <c r="CV642" s="6"/>
      <c r="DA642" s="6"/>
      <c r="DE642" s="6"/>
      <c r="DF642" s="6"/>
      <c r="DK642" s="6"/>
      <c r="DV642" s="6"/>
      <c r="DW642" s="6"/>
      <c r="EB642" s="6"/>
      <c r="EF642" s="6"/>
      <c r="EG642" s="6"/>
      <c r="EL642" s="6"/>
      <c r="EW642" s="6"/>
      <c r="EX642" s="6"/>
      <c r="FC642" s="6"/>
      <c r="FG642" s="6"/>
      <c r="FH642" s="6"/>
      <c r="FM642" s="6"/>
      <c r="FX642" s="6"/>
      <c r="FY642" s="6"/>
      <c r="GD642" s="6"/>
      <c r="GH642" s="6"/>
      <c r="GI642" s="6"/>
      <c r="GN642" s="6"/>
      <c r="GY642" s="6"/>
      <c r="GZ642" s="6"/>
      <c r="HE642" s="6"/>
      <c r="HI642" s="6"/>
      <c r="HJ642" s="6"/>
      <c r="HO642" s="6"/>
      <c r="JA642" s="6"/>
      <c r="JB642" s="6"/>
      <c r="JG642" s="6"/>
      <c r="JK642" s="6"/>
      <c r="JL642" s="6"/>
      <c r="JQ642" s="6"/>
      <c r="KB642" s="6"/>
      <c r="KC642" s="6"/>
      <c r="KH642" s="6"/>
      <c r="KL642" s="6"/>
      <c r="KM642" s="6"/>
      <c r="KR642" s="6"/>
      <c r="LC642" s="6"/>
      <c r="LD642" s="6"/>
      <c r="LI642" s="6"/>
      <c r="LM642" s="6"/>
      <c r="LN642" s="6"/>
      <c r="LS642" s="6"/>
      <c r="NE642" s="6"/>
      <c r="NF642" s="6"/>
      <c r="NK642" s="6"/>
      <c r="NO642" s="6"/>
      <c r="NP642" s="6"/>
      <c r="NU642" s="6"/>
      <c r="OF642" s="6"/>
      <c r="OG642" s="6"/>
      <c r="OL642" s="6"/>
      <c r="OP642" s="6"/>
      <c r="OQ642" s="6"/>
      <c r="OV642" s="6"/>
      <c r="QH642" s="6"/>
      <c r="QI642" s="6"/>
      <c r="QN642" s="6"/>
      <c r="QR642" s="6"/>
      <c r="QS642" s="6"/>
      <c r="QX642" s="6"/>
      <c r="RI642" s="6"/>
      <c r="RJ642" s="6"/>
      <c r="RO642" s="6"/>
      <c r="RS642" s="6"/>
      <c r="RT642" s="6"/>
      <c r="RY642" s="6"/>
      <c r="SJ642" s="6"/>
      <c r="SK642" s="6"/>
      <c r="SP642" s="6"/>
      <c r="ST642" s="6"/>
      <c r="SU642" s="6"/>
      <c r="SZ642" s="6"/>
    </row>
    <row r="643" spans="12:520" x14ac:dyDescent="0.3">
      <c r="S643" s="6"/>
      <c r="T643" s="6"/>
      <c r="U643" s="6"/>
      <c r="W643" s="6"/>
      <c r="AA643" s="6"/>
      <c r="AB643" s="6"/>
      <c r="AH643" s="6"/>
      <c r="AS643" s="6"/>
      <c r="AT643" s="6"/>
      <c r="AY643" s="6"/>
      <c r="BC643" s="6"/>
      <c r="BD643" s="6"/>
      <c r="BI643" s="6"/>
      <c r="BT643" s="6"/>
      <c r="BU643" s="6"/>
      <c r="BZ643" s="6"/>
      <c r="CD643" s="6"/>
      <c r="CE643" s="6"/>
      <c r="CJ643" s="6"/>
      <c r="CU643" s="6"/>
      <c r="CV643" s="6"/>
      <c r="DA643" s="6"/>
      <c r="DE643" s="6"/>
      <c r="DF643" s="6"/>
      <c r="DK643" s="6"/>
      <c r="DP643" s="8"/>
      <c r="DQ643" s="8"/>
      <c r="DR643" s="8"/>
      <c r="DV643" s="6"/>
      <c r="DW643" s="6"/>
      <c r="EB643" s="6"/>
      <c r="EF643" s="6"/>
      <c r="EG643" s="6"/>
      <c r="EL643" s="6"/>
      <c r="EW643" s="6"/>
      <c r="EX643" s="6"/>
      <c r="FC643" s="6"/>
      <c r="FG643" s="6"/>
      <c r="FH643" s="6"/>
      <c r="FM643" s="6"/>
      <c r="FX643" s="6"/>
      <c r="FY643" s="6"/>
      <c r="GD643" s="6"/>
      <c r="GH643" s="6"/>
      <c r="GI643" s="6"/>
      <c r="GN643" s="6"/>
      <c r="GY643" s="6"/>
      <c r="GZ643" s="6"/>
      <c r="HE643" s="6"/>
      <c r="HI643" s="6"/>
      <c r="HJ643" s="6"/>
      <c r="HO643" s="6"/>
      <c r="JA643" s="6"/>
      <c r="JB643" s="6"/>
      <c r="JG643" s="6"/>
      <c r="JK643" s="6"/>
      <c r="JL643" s="6"/>
      <c r="JQ643" s="6"/>
      <c r="KB643" s="6"/>
      <c r="KC643" s="6"/>
      <c r="KH643" s="6"/>
      <c r="KL643" s="6"/>
      <c r="KM643" s="6"/>
      <c r="KR643" s="6"/>
      <c r="LC643" s="6"/>
      <c r="LD643" s="6"/>
      <c r="LI643" s="6"/>
      <c r="LM643" s="6"/>
      <c r="LN643" s="6"/>
      <c r="LS643" s="6"/>
      <c r="NE643" s="6"/>
      <c r="NF643" s="6"/>
      <c r="NK643" s="6"/>
      <c r="NO643" s="6"/>
      <c r="NP643" s="6"/>
      <c r="NU643" s="6"/>
      <c r="OF643" s="6"/>
      <c r="OG643" s="6"/>
      <c r="OL643" s="6"/>
      <c r="OP643" s="6"/>
      <c r="OQ643" s="6"/>
      <c r="OV643" s="6"/>
      <c r="QH643" s="6"/>
      <c r="QI643" s="6"/>
      <c r="QN643" s="6"/>
      <c r="QR643" s="6"/>
      <c r="QS643" s="6"/>
      <c r="QX643" s="6"/>
      <c r="RI643" s="6"/>
      <c r="RJ643" s="6"/>
      <c r="RO643" s="6"/>
      <c r="RS643" s="6"/>
      <c r="RT643" s="6"/>
      <c r="RY643" s="6"/>
      <c r="SJ643" s="6"/>
      <c r="SK643" s="6"/>
      <c r="SP643" s="6"/>
      <c r="ST643" s="6"/>
      <c r="SU643" s="6"/>
      <c r="SZ643" s="6"/>
    </row>
    <row r="644" spans="12:520" x14ac:dyDescent="0.3">
      <c r="S644" s="6"/>
      <c r="T644" s="6"/>
      <c r="U644" s="6"/>
      <c r="W644" s="6"/>
      <c r="AA644" s="6"/>
      <c r="AB644" s="6"/>
      <c r="AH644" s="6"/>
      <c r="AS644" s="6"/>
      <c r="AT644" s="6"/>
      <c r="AY644" s="6"/>
      <c r="BC644" s="6"/>
      <c r="BD644" s="6"/>
      <c r="BI644" s="6"/>
      <c r="BT644" s="6"/>
      <c r="BU644" s="6"/>
      <c r="BZ644" s="6"/>
      <c r="CD644" s="6"/>
      <c r="CE644" s="6"/>
      <c r="CJ644" s="6"/>
      <c r="CU644" s="6"/>
      <c r="CV644" s="6"/>
      <c r="DA644" s="6"/>
      <c r="DE644" s="6"/>
      <c r="DF644" s="6"/>
      <c r="DK644" s="6"/>
      <c r="EW644" s="6"/>
      <c r="EX644" s="6"/>
      <c r="FC644" s="6"/>
      <c r="FG644" s="6"/>
      <c r="FH644" s="6"/>
      <c r="FM644" s="6"/>
      <c r="FX644" s="6"/>
      <c r="FY644" s="6"/>
      <c r="GD644" s="6"/>
      <c r="GH644" s="6"/>
      <c r="GI644" s="6"/>
      <c r="GN644" s="6"/>
      <c r="GY644" s="6"/>
      <c r="GZ644" s="6"/>
      <c r="HE644" s="6"/>
      <c r="HI644" s="6"/>
      <c r="HJ644" s="6"/>
      <c r="HO644" s="6"/>
      <c r="JA644" s="6"/>
      <c r="JB644" s="6"/>
      <c r="JG644" s="6"/>
      <c r="JK644" s="6"/>
      <c r="JL644" s="6"/>
      <c r="JQ644" s="6"/>
      <c r="KB644" s="6"/>
      <c r="KC644" s="6"/>
      <c r="KH644" s="6"/>
      <c r="KL644" s="6"/>
      <c r="KM644" s="6"/>
      <c r="KR644" s="6"/>
      <c r="LC644" s="6"/>
      <c r="LD644" s="6"/>
      <c r="LI644" s="6"/>
      <c r="LM644" s="6"/>
      <c r="LN644" s="6"/>
      <c r="LS644" s="6"/>
      <c r="NE644" s="6"/>
      <c r="NF644" s="6"/>
      <c r="NK644" s="6"/>
      <c r="NO644" s="6"/>
      <c r="NP644" s="6"/>
      <c r="NU644" s="6"/>
      <c r="OF644" s="6"/>
      <c r="OG644" s="6"/>
      <c r="OL644" s="6"/>
      <c r="OP644" s="6"/>
      <c r="OQ644" s="6"/>
      <c r="OV644" s="6"/>
      <c r="QH644" s="6"/>
      <c r="QI644" s="6"/>
      <c r="QN644" s="6"/>
      <c r="QR644" s="6"/>
      <c r="QS644" s="6"/>
      <c r="QX644" s="6"/>
      <c r="RI644" s="6"/>
      <c r="RJ644" s="6"/>
      <c r="RO644" s="6"/>
      <c r="RS644" s="6"/>
      <c r="RT644" s="6"/>
      <c r="RY644" s="6"/>
      <c r="SJ644" s="6"/>
      <c r="SK644" s="6"/>
      <c r="SP644" s="6"/>
      <c r="ST644" s="6"/>
      <c r="SU644" s="6"/>
      <c r="SZ644" s="6"/>
    </row>
    <row r="645" spans="12:520" x14ac:dyDescent="0.3">
      <c r="S645" s="6"/>
      <c r="T645" s="6"/>
      <c r="U645" s="6"/>
      <c r="W645" s="6"/>
      <c r="AA645" s="6"/>
      <c r="AB645" s="6"/>
      <c r="AH645" s="6"/>
      <c r="AS645" s="6"/>
      <c r="AT645" s="6"/>
      <c r="AY645" s="6"/>
      <c r="BC645" s="6"/>
      <c r="BD645" s="6"/>
      <c r="BI645" s="6"/>
      <c r="BN645" s="8"/>
      <c r="BO645" s="8"/>
      <c r="BP645" s="8"/>
      <c r="BT645" s="6"/>
      <c r="BU645" s="6"/>
      <c r="BZ645" s="6"/>
      <c r="CD645" s="6"/>
      <c r="CE645" s="6"/>
      <c r="CJ645" s="6"/>
      <c r="CU645" s="6"/>
      <c r="CV645" s="6"/>
      <c r="DA645" s="6"/>
      <c r="DE645" s="6"/>
      <c r="DF645" s="6"/>
      <c r="DK645" s="6"/>
      <c r="EW645" s="6"/>
      <c r="EX645" s="6"/>
      <c r="FC645" s="6"/>
      <c r="FG645" s="6"/>
      <c r="FH645" s="6"/>
      <c r="FM645" s="6"/>
      <c r="FX645" s="6"/>
      <c r="FY645" s="6"/>
      <c r="GD645" s="6"/>
      <c r="GH645" s="6"/>
      <c r="GI645" s="6"/>
      <c r="GN645" s="6"/>
      <c r="GY645" s="6"/>
      <c r="GZ645" s="6"/>
      <c r="HE645" s="6"/>
      <c r="HI645" s="6"/>
      <c r="HJ645" s="6"/>
      <c r="HO645" s="6"/>
      <c r="JA645" s="6"/>
      <c r="JB645" s="6"/>
      <c r="JG645" s="6"/>
      <c r="JK645" s="6"/>
      <c r="JL645" s="6"/>
      <c r="JQ645" s="6"/>
      <c r="KB645" s="6"/>
      <c r="KC645" s="6"/>
      <c r="KH645" s="6"/>
      <c r="KL645" s="6"/>
      <c r="KM645" s="6"/>
      <c r="KR645" s="6"/>
      <c r="LC645" s="6"/>
      <c r="LD645" s="6"/>
      <c r="LI645" s="6"/>
      <c r="LM645" s="6"/>
      <c r="LN645" s="6"/>
      <c r="LS645" s="6"/>
      <c r="NE645" s="6"/>
      <c r="NF645" s="6"/>
      <c r="NK645" s="6"/>
      <c r="NO645" s="6"/>
      <c r="NP645" s="6"/>
      <c r="NU645" s="6"/>
      <c r="OF645" s="6"/>
      <c r="OG645" s="6"/>
      <c r="OL645" s="6"/>
      <c r="OP645" s="6"/>
      <c r="OQ645" s="6"/>
      <c r="OV645" s="6"/>
      <c r="QH645" s="6"/>
      <c r="QI645" s="6"/>
      <c r="QN645" s="6"/>
      <c r="QR645" s="6"/>
      <c r="QS645" s="6"/>
      <c r="QX645" s="6"/>
      <c r="RI645" s="6"/>
      <c r="RJ645" s="6"/>
      <c r="RO645" s="6"/>
      <c r="RS645" s="6"/>
      <c r="RT645" s="6"/>
      <c r="RY645" s="6"/>
      <c r="SJ645" s="6"/>
      <c r="SK645" s="6"/>
      <c r="SP645" s="6"/>
      <c r="ST645" s="6"/>
      <c r="SU645" s="6"/>
      <c r="SZ645" s="6"/>
    </row>
    <row r="646" spans="12:520" x14ac:dyDescent="0.3">
      <c r="L646" s="8"/>
      <c r="M646" s="8"/>
      <c r="N646" s="8"/>
      <c r="S646" s="6"/>
      <c r="T646" s="6"/>
      <c r="U646" s="6"/>
      <c r="W646" s="6"/>
      <c r="AA646" s="6"/>
      <c r="AB646" s="6"/>
      <c r="AH646" s="6"/>
      <c r="AS646" s="6"/>
      <c r="AT646" s="6"/>
      <c r="AY646" s="6"/>
      <c r="BC646" s="6"/>
      <c r="BD646" s="6"/>
      <c r="BI646" s="6"/>
      <c r="CO646" s="8"/>
      <c r="CP646" s="8"/>
      <c r="CQ646" s="8"/>
      <c r="CU646" s="6"/>
      <c r="CV646" s="6"/>
      <c r="DA646" s="6"/>
      <c r="DE646" s="6"/>
      <c r="DF646" s="6"/>
      <c r="DK646" s="6"/>
      <c r="EQ646" s="8"/>
      <c r="ER646" s="8"/>
      <c r="ES646" s="8"/>
      <c r="EW646" s="6"/>
      <c r="EX646" s="6"/>
      <c r="FC646" s="6"/>
      <c r="FG646" s="6"/>
      <c r="FH646" s="6"/>
      <c r="FM646" s="6"/>
      <c r="FR646" s="8"/>
      <c r="FS646" s="8"/>
      <c r="FT646" s="8"/>
      <c r="FX646" s="6"/>
      <c r="FY646" s="6"/>
      <c r="GD646" s="6"/>
      <c r="GH646" s="6"/>
      <c r="GI646" s="6"/>
      <c r="GN646" s="6"/>
      <c r="GS646" s="8"/>
      <c r="GT646" s="8"/>
      <c r="GU646" s="8"/>
      <c r="GY646" s="6"/>
      <c r="GZ646" s="6"/>
      <c r="HE646" s="6"/>
      <c r="HI646" s="6"/>
      <c r="HJ646" s="6"/>
      <c r="HO646" s="6"/>
      <c r="IU646" s="8"/>
      <c r="IV646" s="8"/>
      <c r="IW646" s="8"/>
      <c r="JA646" s="6"/>
      <c r="JB646" s="6"/>
      <c r="JG646" s="6"/>
      <c r="JK646" s="6"/>
      <c r="JL646" s="6"/>
      <c r="JQ646" s="6"/>
      <c r="JV646" s="8"/>
      <c r="JW646" s="8"/>
      <c r="JX646" s="8"/>
      <c r="KB646" s="6"/>
      <c r="KC646" s="6"/>
      <c r="KH646" s="6"/>
      <c r="KL646" s="6"/>
      <c r="KM646" s="6"/>
      <c r="KR646" s="6"/>
      <c r="KW646" s="8"/>
      <c r="KX646" s="8"/>
      <c r="KY646" s="8"/>
      <c r="LC646" s="6"/>
      <c r="LD646" s="6"/>
      <c r="LI646" s="6"/>
      <c r="LM646" s="6"/>
      <c r="LN646" s="6"/>
      <c r="LS646" s="6"/>
      <c r="MY646" s="8"/>
      <c r="MZ646" s="8"/>
      <c r="NA646" s="8"/>
      <c r="NE646" s="6"/>
      <c r="NF646" s="6"/>
      <c r="NK646" s="6"/>
      <c r="NO646" s="6"/>
      <c r="NP646" s="6"/>
      <c r="NU646" s="6"/>
      <c r="NZ646" s="8"/>
      <c r="OA646" s="8"/>
      <c r="OB646" s="8"/>
      <c r="OF646" s="6"/>
      <c r="OG646" s="6"/>
      <c r="OL646" s="6"/>
      <c r="OP646" s="6"/>
      <c r="OQ646" s="6"/>
      <c r="OV646" s="6"/>
      <c r="QB646" s="8"/>
      <c r="QC646" s="8"/>
      <c r="QD646" s="8"/>
      <c r="QH646" s="6"/>
      <c r="QI646" s="6"/>
      <c r="QN646" s="6"/>
      <c r="QR646" s="6"/>
      <c r="QS646" s="6"/>
      <c r="QX646" s="6"/>
      <c r="RC646" s="8"/>
      <c r="RD646" s="8"/>
      <c r="RE646" s="8"/>
      <c r="RI646" s="6"/>
      <c r="RJ646" s="6"/>
      <c r="RO646" s="6"/>
      <c r="RS646" s="6"/>
      <c r="RT646" s="6"/>
      <c r="RY646" s="6"/>
      <c r="SD646" s="8"/>
      <c r="SE646" s="8"/>
      <c r="SF646" s="8"/>
      <c r="SJ646" s="6"/>
      <c r="SK646" s="6"/>
      <c r="SP646" s="6"/>
      <c r="ST646" s="6"/>
      <c r="SU646" s="6"/>
      <c r="SZ646" s="6"/>
    </row>
    <row r="647" spans="12:520" x14ac:dyDescent="0.3">
      <c r="AS647" s="6"/>
    </row>
    <row r="648" spans="12:520" x14ac:dyDescent="0.3">
      <c r="R648" s="6"/>
      <c r="S648" s="7"/>
      <c r="T648" s="7"/>
      <c r="Z648" s="6"/>
      <c r="AA648" s="7"/>
      <c r="AG648" s="6"/>
      <c r="AS648" s="6"/>
      <c r="AX648" s="6"/>
      <c r="BB648" s="6"/>
      <c r="BC648" s="7"/>
      <c r="BH648" s="6"/>
      <c r="BS648" s="6"/>
      <c r="BT648" s="7"/>
      <c r="BY648" s="6"/>
      <c r="CC648" s="6"/>
      <c r="CD648" s="7"/>
      <c r="CI648" s="6"/>
      <c r="CT648" s="6"/>
      <c r="CU648" s="7"/>
      <c r="CZ648" s="6"/>
      <c r="DD648" s="6"/>
      <c r="DE648" s="7"/>
      <c r="DJ648" s="6"/>
      <c r="DU648" s="6"/>
      <c r="DV648" s="7"/>
      <c r="EA648" s="6"/>
      <c r="EE648" s="6"/>
      <c r="EF648" s="7"/>
      <c r="EK648" s="6"/>
      <c r="EV648" s="6"/>
      <c r="EW648" s="7"/>
      <c r="FB648" s="6"/>
      <c r="FF648" s="6"/>
      <c r="FG648" s="7"/>
      <c r="FL648" s="6"/>
      <c r="FW648" s="6"/>
      <c r="FX648" s="7"/>
      <c r="GC648" s="6"/>
      <c r="GG648" s="6"/>
      <c r="GH648" s="7"/>
      <c r="GM648" s="6"/>
      <c r="GX648" s="6"/>
      <c r="GY648" s="7"/>
      <c r="HD648" s="6"/>
      <c r="HH648" s="6"/>
      <c r="HI648" s="7"/>
      <c r="HN648" s="6"/>
      <c r="HY648" s="6"/>
      <c r="HZ648" s="7"/>
      <c r="IE648" s="6"/>
      <c r="II648" s="6"/>
      <c r="IJ648" s="7"/>
      <c r="IO648" s="6"/>
      <c r="IZ648" s="6"/>
      <c r="JA648" s="7"/>
      <c r="JF648" s="6"/>
      <c r="JJ648" s="6"/>
      <c r="JK648" s="7"/>
      <c r="JP648" s="6"/>
      <c r="KA648" s="6"/>
      <c r="KB648" s="7"/>
      <c r="KG648" s="6"/>
      <c r="KK648" s="6"/>
      <c r="KL648" s="7"/>
      <c r="KQ648" s="6"/>
      <c r="LB648" s="6"/>
      <c r="LC648" s="7"/>
      <c r="LH648" s="6"/>
      <c r="LL648" s="6"/>
      <c r="LM648" s="7"/>
      <c r="LR648" s="6"/>
      <c r="MC648" s="6"/>
      <c r="MD648" s="7"/>
      <c r="MI648" s="6"/>
      <c r="MM648" s="6"/>
      <c r="MN648" s="7"/>
      <c r="MS648" s="6"/>
      <c r="ND648" s="6"/>
      <c r="NE648" s="7"/>
      <c r="NJ648" s="6"/>
      <c r="NN648" s="6"/>
      <c r="NO648" s="7"/>
      <c r="NT648" s="6"/>
      <c r="OE648" s="6"/>
      <c r="OF648" s="7"/>
      <c r="OK648" s="6"/>
      <c r="OO648" s="6"/>
      <c r="OP648" s="7"/>
      <c r="OU648" s="6"/>
      <c r="PF648" s="6"/>
      <c r="PG648" s="7"/>
      <c r="PL648" s="6"/>
      <c r="PP648" s="6"/>
      <c r="PQ648" s="7"/>
      <c r="PV648" s="6"/>
      <c r="QG648" s="6"/>
      <c r="QH648" s="7"/>
      <c r="QM648" s="6"/>
      <c r="QQ648" s="6"/>
      <c r="QR648" s="7"/>
      <c r="QW648" s="6"/>
      <c r="RH648" s="6"/>
      <c r="RI648" s="7"/>
      <c r="RN648" s="6"/>
      <c r="RR648" s="6"/>
      <c r="RS648" s="7"/>
      <c r="RX648" s="6"/>
      <c r="SI648" s="6"/>
      <c r="SJ648" s="7"/>
      <c r="SO648" s="6"/>
      <c r="SS648" s="6"/>
      <c r="ST648" s="7"/>
      <c r="SY648" s="6"/>
    </row>
    <row r="649" spans="12:520" x14ac:dyDescent="0.3">
      <c r="O649" s="5"/>
      <c r="R649" s="5"/>
      <c r="S649" s="6"/>
      <c r="T649" s="6"/>
      <c r="U649" s="7"/>
      <c r="W649" s="6"/>
      <c r="X649" s="5"/>
      <c r="Z649" s="5"/>
      <c r="AA649" s="6"/>
      <c r="AB649" s="7"/>
      <c r="AG649" s="5"/>
      <c r="AH649" s="6"/>
      <c r="AS649" s="6"/>
      <c r="AT649" s="7"/>
      <c r="AW649" s="5"/>
      <c r="AY649" s="6"/>
      <c r="BC649" s="6"/>
      <c r="BD649" s="6"/>
      <c r="BI649" s="6"/>
      <c r="BT649" s="6"/>
      <c r="BU649" s="6"/>
      <c r="BZ649" s="6"/>
      <c r="CD649" s="6"/>
      <c r="CE649" s="6"/>
      <c r="CJ649" s="6"/>
      <c r="CU649" s="6"/>
      <c r="CV649" s="6"/>
      <c r="DA649" s="6"/>
      <c r="DE649" s="6"/>
      <c r="DF649" s="6"/>
      <c r="DK649" s="6"/>
      <c r="DV649" s="6"/>
      <c r="DW649" s="6"/>
      <c r="EB649" s="6"/>
      <c r="EF649" s="6"/>
      <c r="EG649" s="6"/>
      <c r="EL649" s="6"/>
      <c r="EW649" s="6"/>
      <c r="EX649" s="6"/>
      <c r="FC649" s="6"/>
      <c r="FG649" s="6"/>
      <c r="FH649" s="6"/>
      <c r="FM649" s="6"/>
      <c r="FX649" s="6"/>
      <c r="FY649" s="6"/>
      <c r="GD649" s="6"/>
      <c r="GH649" s="6"/>
      <c r="GI649" s="6"/>
      <c r="GN649" s="6"/>
      <c r="GY649" s="6"/>
      <c r="GZ649" s="6"/>
      <c r="HE649" s="6"/>
      <c r="HI649" s="6"/>
      <c r="HJ649" s="6"/>
      <c r="HO649" s="6"/>
      <c r="HT649" s="8"/>
      <c r="HU649" s="8"/>
      <c r="HV649" s="8"/>
      <c r="HZ649" s="6"/>
      <c r="IA649" s="6"/>
      <c r="IF649" s="6"/>
      <c r="IJ649" s="6"/>
      <c r="IK649" s="6"/>
      <c r="IP649" s="6"/>
      <c r="JA649" s="6"/>
      <c r="JB649" s="6"/>
      <c r="JG649" s="6"/>
      <c r="JK649" s="6"/>
      <c r="JL649" s="6"/>
      <c r="JQ649" s="6"/>
      <c r="KB649" s="6"/>
      <c r="KC649" s="6"/>
      <c r="KH649" s="6"/>
      <c r="KL649" s="6"/>
      <c r="KM649" s="6"/>
      <c r="KR649" s="6"/>
      <c r="LC649" s="6"/>
      <c r="LD649" s="6"/>
      <c r="LI649" s="6"/>
      <c r="LM649" s="6"/>
      <c r="LN649" s="6"/>
      <c r="LS649" s="6"/>
      <c r="MD649" s="6"/>
      <c r="ME649" s="6"/>
      <c r="MJ649" s="6"/>
      <c r="MN649" s="6"/>
      <c r="MO649" s="6"/>
      <c r="MT649" s="6"/>
      <c r="NE649" s="6"/>
      <c r="NF649" s="6"/>
      <c r="NK649" s="6"/>
      <c r="NO649" s="6"/>
      <c r="NP649" s="6"/>
      <c r="NU649" s="6"/>
      <c r="OF649" s="6"/>
      <c r="OG649" s="6"/>
      <c r="OL649" s="6"/>
      <c r="OP649" s="6"/>
      <c r="OQ649" s="6"/>
      <c r="OV649" s="6"/>
      <c r="PG649" s="6"/>
      <c r="PH649" s="6"/>
      <c r="PM649" s="6"/>
      <c r="PQ649" s="6"/>
      <c r="PR649" s="6"/>
      <c r="PW649" s="6"/>
      <c r="QH649" s="6"/>
      <c r="QI649" s="6"/>
      <c r="QN649" s="6"/>
      <c r="QR649" s="6"/>
      <c r="QS649" s="6"/>
      <c r="QX649" s="6"/>
      <c r="RI649" s="6"/>
      <c r="RJ649" s="6"/>
      <c r="RO649" s="6"/>
      <c r="RS649" s="6"/>
      <c r="RT649" s="6"/>
      <c r="RY649" s="6"/>
      <c r="SJ649" s="6"/>
      <c r="SK649" s="6"/>
      <c r="SP649" s="6"/>
      <c r="ST649" s="6"/>
      <c r="SU649" s="6"/>
      <c r="SZ649" s="6"/>
    </row>
    <row r="650" spans="12:520" x14ac:dyDescent="0.3">
      <c r="O650" s="5"/>
      <c r="R650" s="5"/>
      <c r="S650" s="6"/>
      <c r="T650" s="6"/>
      <c r="U650" s="7"/>
      <c r="W650" s="6"/>
      <c r="X650" s="5"/>
      <c r="Z650" s="5"/>
      <c r="AA650" s="6"/>
      <c r="AB650" s="7"/>
      <c r="AG650" s="5"/>
      <c r="AH650" s="6"/>
      <c r="AM650" s="8"/>
      <c r="AN650" s="8"/>
      <c r="AO650" s="8"/>
      <c r="AS650" s="6"/>
      <c r="AT650" s="7"/>
      <c r="AW650" s="5"/>
      <c r="AY650" s="6"/>
      <c r="BC650" s="6"/>
      <c r="BD650" s="6"/>
      <c r="BI650" s="6"/>
      <c r="BT650" s="6"/>
      <c r="BU650" s="6"/>
      <c r="BZ650" s="6"/>
      <c r="CD650" s="6"/>
      <c r="CE650" s="6"/>
      <c r="CJ650" s="6"/>
      <c r="CU650" s="6"/>
      <c r="CV650" s="6"/>
      <c r="DA650" s="6"/>
      <c r="DE650" s="6"/>
      <c r="DF650" s="6"/>
      <c r="DK650" s="6"/>
      <c r="DV650" s="6"/>
      <c r="DW650" s="6"/>
      <c r="EB650" s="6"/>
      <c r="EF650" s="6"/>
      <c r="EG650" s="6"/>
      <c r="EL650" s="6"/>
      <c r="EW650" s="6"/>
      <c r="EX650" s="6"/>
      <c r="FC650" s="6"/>
      <c r="FG650" s="6"/>
      <c r="FH650" s="6"/>
      <c r="FM650" s="6"/>
      <c r="FX650" s="6"/>
      <c r="FY650" s="6"/>
      <c r="GD650" s="6"/>
      <c r="GH650" s="6"/>
      <c r="GI650" s="6"/>
      <c r="GN650" s="6"/>
      <c r="GY650" s="6"/>
      <c r="GZ650" s="6"/>
      <c r="HE650" s="6"/>
      <c r="HI650" s="6"/>
      <c r="HJ650" s="6"/>
      <c r="HO650" s="6"/>
      <c r="JA650" s="6"/>
      <c r="JB650" s="6"/>
      <c r="JG650" s="6"/>
      <c r="JK650" s="6"/>
      <c r="JL650" s="6"/>
      <c r="JQ650" s="6"/>
      <c r="KB650" s="6"/>
      <c r="KC650" s="6"/>
      <c r="KH650" s="6"/>
      <c r="KL650" s="6"/>
      <c r="KM650" s="6"/>
      <c r="KR650" s="6"/>
      <c r="LC650" s="6"/>
      <c r="LD650" s="6"/>
      <c r="LI650" s="6"/>
      <c r="LM650" s="6"/>
      <c r="LN650" s="6"/>
      <c r="LS650" s="6"/>
      <c r="MD650" s="6"/>
      <c r="ME650" s="6"/>
      <c r="MJ650" s="6"/>
      <c r="MN650" s="6"/>
      <c r="MO650" s="6"/>
      <c r="MT650" s="6"/>
      <c r="NE650" s="6"/>
      <c r="NF650" s="6"/>
      <c r="NK650" s="6"/>
      <c r="NO650" s="6"/>
      <c r="NP650" s="6"/>
      <c r="NU650" s="6"/>
      <c r="OF650" s="6"/>
      <c r="OG650" s="6"/>
      <c r="OL650" s="6"/>
      <c r="OP650" s="6"/>
      <c r="OQ650" s="6"/>
      <c r="OV650" s="6"/>
      <c r="PG650" s="6"/>
      <c r="PH650" s="6"/>
      <c r="PM650" s="6"/>
      <c r="PQ650" s="6"/>
      <c r="PR650" s="6"/>
      <c r="PW650" s="6"/>
      <c r="QH650" s="6"/>
      <c r="QI650" s="6"/>
      <c r="QN650" s="6"/>
      <c r="QR650" s="6"/>
      <c r="QS650" s="6"/>
      <c r="QX650" s="6"/>
      <c r="RI650" s="6"/>
      <c r="RJ650" s="6"/>
      <c r="RO650" s="6"/>
      <c r="RS650" s="6"/>
      <c r="RT650" s="6"/>
      <c r="RY650" s="6"/>
      <c r="SJ650" s="6"/>
      <c r="SK650" s="6"/>
      <c r="SP650" s="6"/>
      <c r="ST650" s="6"/>
      <c r="SU650" s="6"/>
      <c r="SZ650" s="6"/>
    </row>
    <row r="651" spans="12:520" x14ac:dyDescent="0.3">
      <c r="O651" s="5"/>
      <c r="R651" s="5"/>
      <c r="S651" s="6"/>
      <c r="T651" s="6"/>
      <c r="U651" s="7"/>
      <c r="W651" s="6"/>
      <c r="X651" s="5"/>
      <c r="Z651" s="5"/>
      <c r="AA651" s="6"/>
      <c r="AB651" s="7"/>
      <c r="AG651" s="5"/>
      <c r="AH651" s="6"/>
      <c r="AT651" s="7"/>
      <c r="AW651" s="5"/>
      <c r="AY651" s="6"/>
      <c r="BC651" s="6"/>
      <c r="BD651" s="6"/>
      <c r="BI651" s="6"/>
      <c r="BT651" s="6"/>
      <c r="BU651" s="6"/>
      <c r="BZ651" s="6"/>
      <c r="CD651" s="6"/>
      <c r="CE651" s="6"/>
      <c r="CJ651" s="6"/>
      <c r="CU651" s="6"/>
      <c r="CV651" s="6"/>
      <c r="DA651" s="6"/>
      <c r="DE651" s="6"/>
      <c r="DF651" s="6"/>
      <c r="DK651" s="6"/>
      <c r="DV651" s="6"/>
      <c r="DW651" s="6"/>
      <c r="EB651" s="6"/>
      <c r="EF651" s="6"/>
      <c r="EG651" s="6"/>
      <c r="EL651" s="6"/>
      <c r="EW651" s="6"/>
      <c r="EX651" s="6"/>
      <c r="FC651" s="6"/>
      <c r="FG651" s="6"/>
      <c r="FH651" s="6"/>
      <c r="FM651" s="6"/>
      <c r="FX651" s="6"/>
      <c r="FY651" s="6"/>
      <c r="GD651" s="6"/>
      <c r="GH651" s="6"/>
      <c r="GI651" s="6"/>
      <c r="GN651" s="6"/>
      <c r="GY651" s="6"/>
      <c r="GZ651" s="6"/>
      <c r="HE651" s="6"/>
      <c r="HI651" s="6"/>
      <c r="HJ651" s="6"/>
      <c r="HO651" s="6"/>
      <c r="JA651" s="6"/>
      <c r="JB651" s="6"/>
      <c r="JG651" s="6"/>
      <c r="JK651" s="6"/>
      <c r="JL651" s="6"/>
      <c r="JQ651" s="6"/>
      <c r="KB651" s="6"/>
      <c r="KC651" s="6"/>
      <c r="KH651" s="6"/>
      <c r="KL651" s="6"/>
      <c r="KM651" s="6"/>
      <c r="KR651" s="6"/>
      <c r="LC651" s="6"/>
      <c r="LD651" s="6"/>
      <c r="LI651" s="6"/>
      <c r="LM651" s="6"/>
      <c r="LN651" s="6"/>
      <c r="LS651" s="6"/>
      <c r="MD651" s="6"/>
      <c r="ME651" s="6"/>
      <c r="MJ651" s="6"/>
      <c r="MN651" s="6"/>
      <c r="MO651" s="6"/>
      <c r="MT651" s="6"/>
      <c r="NE651" s="6"/>
      <c r="NF651" s="6"/>
      <c r="NK651" s="6"/>
      <c r="NO651" s="6"/>
      <c r="NP651" s="6"/>
      <c r="NU651" s="6"/>
      <c r="OF651" s="6"/>
      <c r="OG651" s="6"/>
      <c r="OL651" s="6"/>
      <c r="OP651" s="6"/>
      <c r="OQ651" s="6"/>
      <c r="OV651" s="6"/>
      <c r="PG651" s="6"/>
      <c r="PH651" s="6"/>
      <c r="PM651" s="6"/>
      <c r="PQ651" s="6"/>
      <c r="PR651" s="6"/>
      <c r="PW651" s="6"/>
      <c r="QH651" s="6"/>
      <c r="QI651" s="6"/>
      <c r="QN651" s="6"/>
      <c r="QR651" s="6"/>
      <c r="QS651" s="6"/>
      <c r="QX651" s="6"/>
      <c r="RI651" s="6"/>
      <c r="RJ651" s="6"/>
      <c r="RO651" s="6"/>
      <c r="RS651" s="6"/>
      <c r="RT651" s="6"/>
      <c r="RY651" s="6"/>
      <c r="SJ651" s="6"/>
      <c r="SK651" s="6"/>
      <c r="SP651" s="6"/>
      <c r="ST651" s="6"/>
      <c r="SU651" s="6"/>
      <c r="SZ651" s="6"/>
    </row>
    <row r="652" spans="12:520" x14ac:dyDescent="0.3">
      <c r="R652" s="5"/>
      <c r="S652" s="6"/>
      <c r="T652" s="6"/>
      <c r="U652" s="7"/>
      <c r="W652" s="6"/>
      <c r="Z652" s="5"/>
      <c r="AA652" s="6"/>
      <c r="AB652" s="7"/>
      <c r="AG652" s="5"/>
      <c r="AH652" s="6"/>
      <c r="AR652" s="6"/>
      <c r="AS652" s="7"/>
      <c r="AT652" s="7"/>
      <c r="AW652" s="5"/>
      <c r="AY652" s="7"/>
      <c r="BC652" s="6"/>
      <c r="BD652" s="6"/>
      <c r="BI652" s="6"/>
      <c r="BT652" s="6"/>
      <c r="BU652" s="6"/>
      <c r="BZ652" s="6"/>
      <c r="CD652" s="6"/>
      <c r="CE652" s="6"/>
      <c r="CJ652" s="6"/>
      <c r="CU652" s="6"/>
      <c r="CV652" s="6"/>
      <c r="DA652" s="6"/>
      <c r="DE652" s="6"/>
      <c r="DF652" s="6"/>
      <c r="DK652" s="6"/>
      <c r="DV652" s="6"/>
      <c r="DW652" s="6"/>
      <c r="EB652" s="6"/>
      <c r="EF652" s="6"/>
      <c r="EG652" s="6"/>
      <c r="EL652" s="6"/>
      <c r="EW652" s="6"/>
      <c r="EX652" s="6"/>
      <c r="FC652" s="6"/>
      <c r="FG652" s="6"/>
      <c r="FH652" s="6"/>
      <c r="FM652" s="6"/>
      <c r="FX652" s="6"/>
      <c r="FY652" s="6"/>
      <c r="GD652" s="6"/>
      <c r="GH652" s="6"/>
      <c r="GI652" s="6"/>
      <c r="GN652" s="6"/>
      <c r="GY652" s="6"/>
      <c r="GZ652" s="6"/>
      <c r="HE652" s="6"/>
      <c r="HI652" s="6"/>
      <c r="HJ652" s="6"/>
      <c r="HO652" s="6"/>
      <c r="JA652" s="6"/>
      <c r="JB652" s="6"/>
      <c r="JG652" s="6"/>
      <c r="JK652" s="6"/>
      <c r="JL652" s="6"/>
      <c r="JQ652" s="6"/>
      <c r="KB652" s="6"/>
      <c r="KC652" s="6"/>
      <c r="KH652" s="6"/>
      <c r="KL652" s="6"/>
      <c r="KM652" s="6"/>
      <c r="KR652" s="6"/>
      <c r="LC652" s="6"/>
      <c r="LD652" s="6"/>
      <c r="LI652" s="6"/>
      <c r="LM652" s="6"/>
      <c r="LN652" s="6"/>
      <c r="LS652" s="6"/>
      <c r="MD652" s="6"/>
      <c r="ME652" s="6"/>
      <c r="MJ652" s="6"/>
      <c r="MN652" s="6"/>
      <c r="MO652" s="6"/>
      <c r="MT652" s="6"/>
      <c r="NE652" s="6"/>
      <c r="NF652" s="6"/>
      <c r="NK652" s="6"/>
      <c r="NO652" s="6"/>
      <c r="NP652" s="6"/>
      <c r="NU652" s="6"/>
      <c r="OF652" s="6"/>
      <c r="OG652" s="6"/>
      <c r="OL652" s="6"/>
      <c r="OP652" s="6"/>
      <c r="OQ652" s="6"/>
      <c r="OV652" s="6"/>
      <c r="PA652" s="8"/>
      <c r="PB652" s="8"/>
      <c r="PC652" s="8"/>
      <c r="PG652" s="6"/>
      <c r="PH652" s="6"/>
      <c r="PM652" s="6"/>
      <c r="PQ652" s="6"/>
      <c r="PR652" s="6"/>
      <c r="PW652" s="6"/>
      <c r="QH652" s="6"/>
      <c r="QI652" s="6"/>
      <c r="QN652" s="6"/>
      <c r="QR652" s="6"/>
      <c r="QS652" s="6"/>
      <c r="QX652" s="6"/>
      <c r="RI652" s="6"/>
      <c r="RJ652" s="6"/>
      <c r="RO652" s="6"/>
      <c r="RS652" s="6"/>
      <c r="RT652" s="6"/>
      <c r="RY652" s="6"/>
      <c r="SJ652" s="6"/>
      <c r="SK652" s="6"/>
      <c r="SP652" s="6"/>
      <c r="ST652" s="6"/>
      <c r="SU652" s="6"/>
      <c r="SZ652" s="6"/>
    </row>
    <row r="653" spans="12:520" x14ac:dyDescent="0.3">
      <c r="R653" s="5"/>
      <c r="S653" s="6"/>
      <c r="T653" s="6"/>
      <c r="U653" s="7"/>
      <c r="W653" s="7"/>
      <c r="Z653" s="5"/>
      <c r="AA653" s="6"/>
      <c r="AB653" s="7"/>
      <c r="AG653" s="5"/>
      <c r="AH653" s="7"/>
      <c r="AQ653" s="5"/>
      <c r="AR653" s="5"/>
      <c r="AS653" s="6"/>
      <c r="AT653" s="7"/>
      <c r="AW653" s="5"/>
      <c r="AY653" s="6"/>
      <c r="BC653" s="6"/>
      <c r="BD653" s="6"/>
      <c r="BI653" s="6"/>
      <c r="BT653" s="6"/>
      <c r="BU653" s="6"/>
      <c r="BZ653" s="6"/>
      <c r="CD653" s="6"/>
      <c r="CE653" s="6"/>
      <c r="CJ653" s="6"/>
      <c r="CU653" s="6"/>
      <c r="CV653" s="6"/>
      <c r="DA653" s="6"/>
      <c r="DE653" s="6"/>
      <c r="DF653" s="6"/>
      <c r="DK653" s="6"/>
      <c r="DV653" s="6"/>
      <c r="DW653" s="6"/>
      <c r="EB653" s="6"/>
      <c r="EF653" s="6"/>
      <c r="EG653" s="6"/>
      <c r="EL653" s="6"/>
      <c r="EW653" s="6"/>
      <c r="EX653" s="6"/>
      <c r="FC653" s="6"/>
      <c r="FG653" s="6"/>
      <c r="FH653" s="6"/>
      <c r="FM653" s="6"/>
      <c r="FX653" s="6"/>
      <c r="FY653" s="6"/>
      <c r="GD653" s="6"/>
      <c r="GH653" s="6"/>
      <c r="GI653" s="6"/>
      <c r="GN653" s="6"/>
      <c r="GY653" s="6"/>
      <c r="GZ653" s="6"/>
      <c r="HE653" s="6"/>
      <c r="HI653" s="6"/>
      <c r="HJ653" s="6"/>
      <c r="HO653" s="6"/>
      <c r="JA653" s="6"/>
      <c r="JB653" s="6"/>
      <c r="JG653" s="6"/>
      <c r="JK653" s="6"/>
      <c r="JL653" s="6"/>
      <c r="JQ653" s="6"/>
      <c r="KB653" s="6"/>
      <c r="KC653" s="6"/>
      <c r="KH653" s="6"/>
      <c r="KL653" s="6"/>
      <c r="KM653" s="6"/>
      <c r="KR653" s="6"/>
      <c r="LC653" s="6"/>
      <c r="LD653" s="6"/>
      <c r="LI653" s="6"/>
      <c r="LM653" s="6"/>
      <c r="LN653" s="6"/>
      <c r="LS653" s="6"/>
      <c r="MD653" s="6"/>
      <c r="ME653" s="6"/>
      <c r="MJ653" s="6"/>
      <c r="MN653" s="6"/>
      <c r="MO653" s="6"/>
      <c r="MT653" s="6"/>
      <c r="NE653" s="6"/>
      <c r="NF653" s="6"/>
      <c r="NK653" s="6"/>
      <c r="NO653" s="6"/>
      <c r="NP653" s="6"/>
      <c r="NU653" s="6"/>
      <c r="OF653" s="6"/>
      <c r="OG653" s="6"/>
      <c r="OL653" s="6"/>
      <c r="OP653" s="6"/>
      <c r="OQ653" s="6"/>
      <c r="OV653" s="6"/>
      <c r="QH653" s="6"/>
      <c r="QI653" s="6"/>
      <c r="QN653" s="6"/>
      <c r="QR653" s="6"/>
      <c r="QS653" s="6"/>
      <c r="QX653" s="6"/>
      <c r="RI653" s="6"/>
      <c r="RJ653" s="6"/>
      <c r="RO653" s="6"/>
      <c r="RS653" s="6"/>
      <c r="RT653" s="6"/>
      <c r="RY653" s="6"/>
      <c r="SJ653" s="6"/>
      <c r="SK653" s="6"/>
      <c r="SP653" s="6"/>
      <c r="ST653" s="6"/>
      <c r="SU653" s="6"/>
      <c r="SZ653" s="6"/>
    </row>
    <row r="654" spans="12:520" x14ac:dyDescent="0.3">
      <c r="R654" s="5"/>
      <c r="S654" s="6"/>
      <c r="T654" s="6"/>
      <c r="U654" s="7"/>
      <c r="W654" s="6"/>
      <c r="Z654" s="5"/>
      <c r="AA654" s="6"/>
      <c r="AB654" s="7"/>
      <c r="AG654" s="5"/>
      <c r="AH654" s="6"/>
      <c r="AQ654" s="5"/>
      <c r="AR654" s="5"/>
      <c r="AS654" s="6"/>
      <c r="AT654" s="7"/>
      <c r="AW654" s="5"/>
      <c r="AY654" s="7"/>
      <c r="BC654" s="6"/>
      <c r="BD654" s="6"/>
      <c r="BI654" s="6"/>
      <c r="BT654" s="6"/>
      <c r="BU654" s="6"/>
      <c r="BZ654" s="6"/>
      <c r="CD654" s="6"/>
      <c r="CE654" s="6"/>
      <c r="CJ654" s="6"/>
      <c r="CU654" s="6"/>
      <c r="CV654" s="6"/>
      <c r="DA654" s="6"/>
      <c r="DE654" s="6"/>
      <c r="DF654" s="6"/>
      <c r="DK654" s="6"/>
      <c r="DV654" s="6"/>
      <c r="DW654" s="6"/>
      <c r="EB654" s="6"/>
      <c r="EF654" s="6"/>
      <c r="EG654" s="6"/>
      <c r="EL654" s="6"/>
      <c r="EW654" s="6"/>
      <c r="EX654" s="6"/>
      <c r="FC654" s="6"/>
      <c r="FG654" s="6"/>
      <c r="FH654" s="6"/>
      <c r="FM654" s="6"/>
      <c r="FX654" s="6"/>
      <c r="FY654" s="6"/>
      <c r="GD654" s="6"/>
      <c r="GH654" s="6"/>
      <c r="GI654" s="6"/>
      <c r="GN654" s="6"/>
      <c r="GY654" s="6"/>
      <c r="GZ654" s="6"/>
      <c r="HE654" s="6"/>
      <c r="HI654" s="6"/>
      <c r="HJ654" s="6"/>
      <c r="HO654" s="6"/>
      <c r="JA654" s="6"/>
      <c r="JB654" s="6"/>
      <c r="JG654" s="6"/>
      <c r="JK654" s="6"/>
      <c r="JL654" s="6"/>
      <c r="JQ654" s="6"/>
      <c r="KB654" s="6"/>
      <c r="KC654" s="6"/>
      <c r="KH654" s="6"/>
      <c r="KL654" s="6"/>
      <c r="KM654" s="6"/>
      <c r="KR654" s="6"/>
      <c r="LC654" s="6"/>
      <c r="LD654" s="6"/>
      <c r="LI654" s="6"/>
      <c r="LM654" s="6"/>
      <c r="LN654" s="6"/>
      <c r="LS654" s="6"/>
      <c r="LX654" s="8"/>
      <c r="LY654" s="8"/>
      <c r="LZ654" s="8"/>
      <c r="MD654" s="6"/>
      <c r="ME654" s="6"/>
      <c r="MJ654" s="6"/>
      <c r="MN654" s="6"/>
      <c r="MO654" s="6"/>
      <c r="MT654" s="6"/>
      <c r="NE654" s="6"/>
      <c r="NF654" s="6"/>
      <c r="NK654" s="6"/>
      <c r="NO654" s="6"/>
      <c r="NP654" s="6"/>
      <c r="NU654" s="6"/>
      <c r="OF654" s="6"/>
      <c r="OG654" s="6"/>
      <c r="OL654" s="6"/>
      <c r="OP654" s="6"/>
      <c r="OQ654" s="6"/>
      <c r="OV654" s="6"/>
      <c r="QH654" s="6"/>
      <c r="QI654" s="6"/>
      <c r="QN654" s="6"/>
      <c r="QR654" s="6"/>
      <c r="QS654" s="6"/>
      <c r="QX654" s="6"/>
      <c r="RI654" s="6"/>
      <c r="RJ654" s="6"/>
      <c r="RO654" s="6"/>
      <c r="RS654" s="6"/>
      <c r="RT654" s="6"/>
      <c r="RY654" s="6"/>
      <c r="SJ654" s="6"/>
      <c r="SK654" s="6"/>
      <c r="SP654" s="6"/>
      <c r="ST654" s="6"/>
      <c r="SU654" s="6"/>
      <c r="SZ654" s="6"/>
    </row>
    <row r="655" spans="12:520" x14ac:dyDescent="0.3">
      <c r="R655" s="5"/>
      <c r="S655" s="6"/>
      <c r="T655" s="6"/>
      <c r="U655" s="7"/>
      <c r="W655" s="6"/>
      <c r="Z655" s="5"/>
      <c r="AA655" s="6"/>
      <c r="AB655" s="7"/>
      <c r="AG655" s="5"/>
      <c r="AH655" s="6"/>
      <c r="AQ655" s="5"/>
      <c r="AR655" s="5"/>
      <c r="AS655" s="6"/>
      <c r="AT655" s="7"/>
      <c r="AW655" s="5"/>
      <c r="AY655" s="6"/>
      <c r="BC655" s="6"/>
      <c r="BD655" s="6"/>
      <c r="BI655" s="6"/>
      <c r="BT655" s="6"/>
      <c r="BU655" s="6"/>
      <c r="BZ655" s="6"/>
      <c r="CD655" s="6"/>
      <c r="CE655" s="6"/>
      <c r="CJ655" s="6"/>
      <c r="CU655" s="6"/>
      <c r="CV655" s="6"/>
      <c r="DA655" s="6"/>
      <c r="DE655" s="6"/>
      <c r="DF655" s="6"/>
      <c r="DK655" s="6"/>
      <c r="DV655" s="6"/>
      <c r="DW655" s="6"/>
      <c r="EB655" s="6"/>
      <c r="EF655" s="6"/>
      <c r="EG655" s="6"/>
      <c r="EL655" s="6"/>
      <c r="EW655" s="6"/>
      <c r="EX655" s="6"/>
      <c r="FC655" s="6"/>
      <c r="FG655" s="6"/>
      <c r="FH655" s="6"/>
      <c r="FM655" s="6"/>
      <c r="FX655" s="6"/>
      <c r="FY655" s="6"/>
      <c r="GD655" s="6"/>
      <c r="GH655" s="6"/>
      <c r="GI655" s="6"/>
      <c r="GN655" s="6"/>
      <c r="GY655" s="6"/>
      <c r="GZ655" s="6"/>
      <c r="HE655" s="6"/>
      <c r="HI655" s="6"/>
      <c r="HJ655" s="6"/>
      <c r="HO655" s="6"/>
      <c r="JA655" s="6"/>
      <c r="JB655" s="6"/>
      <c r="JG655" s="6"/>
      <c r="JK655" s="6"/>
      <c r="JL655" s="6"/>
      <c r="JQ655" s="6"/>
      <c r="KB655" s="6"/>
      <c r="KC655" s="6"/>
      <c r="KH655" s="6"/>
      <c r="KL655" s="6"/>
      <c r="KM655" s="6"/>
      <c r="KR655" s="6"/>
      <c r="LC655" s="6"/>
      <c r="LD655" s="6"/>
      <c r="LI655" s="6"/>
      <c r="LM655" s="6"/>
      <c r="LN655" s="6"/>
      <c r="LS655" s="6"/>
      <c r="NE655" s="6"/>
      <c r="NF655" s="6"/>
      <c r="NK655" s="6"/>
      <c r="NO655" s="6"/>
      <c r="NP655" s="6"/>
      <c r="NU655" s="6"/>
      <c r="OF655" s="6"/>
      <c r="OG655" s="6"/>
      <c r="OL655" s="6"/>
      <c r="OP655" s="6"/>
      <c r="OQ655" s="6"/>
      <c r="OV655" s="6"/>
      <c r="QH655" s="6"/>
      <c r="QI655" s="6"/>
      <c r="QN655" s="6"/>
      <c r="QR655" s="6"/>
      <c r="QS655" s="6"/>
      <c r="QX655" s="6"/>
      <c r="RI655" s="6"/>
      <c r="RJ655" s="6"/>
      <c r="RO655" s="6"/>
      <c r="RS655" s="6"/>
      <c r="RT655" s="6"/>
      <c r="RY655" s="6"/>
      <c r="SJ655" s="6"/>
      <c r="SK655" s="6"/>
      <c r="SP655" s="6"/>
      <c r="ST655" s="6"/>
      <c r="SU655" s="6"/>
      <c r="SZ655" s="6"/>
    </row>
    <row r="656" spans="12:520" x14ac:dyDescent="0.3">
      <c r="R656" s="5"/>
      <c r="S656" s="6"/>
      <c r="T656" s="6"/>
      <c r="U656" s="7"/>
      <c r="W656" s="7"/>
      <c r="Z656" s="5"/>
      <c r="AA656" s="6"/>
      <c r="AB656" s="7"/>
      <c r="AG656" s="5"/>
      <c r="AH656" s="7"/>
      <c r="AQ656" s="5"/>
      <c r="AR656" s="5"/>
      <c r="AS656" s="6"/>
      <c r="AT656" s="7"/>
      <c r="AW656" s="5"/>
      <c r="AY656" s="6"/>
      <c r="BC656" s="6"/>
      <c r="BD656" s="6"/>
      <c r="BI656" s="6"/>
      <c r="BT656" s="6"/>
      <c r="BU656" s="6"/>
      <c r="BZ656" s="6"/>
      <c r="CD656" s="6"/>
      <c r="CE656" s="6"/>
      <c r="CJ656" s="6"/>
      <c r="CU656" s="6"/>
      <c r="CV656" s="6"/>
      <c r="DA656" s="6"/>
      <c r="DE656" s="6"/>
      <c r="DF656" s="6"/>
      <c r="DK656" s="6"/>
      <c r="DP656" s="8"/>
      <c r="DQ656" s="8"/>
      <c r="DR656" s="8"/>
      <c r="DV656" s="6"/>
      <c r="DW656" s="6"/>
      <c r="EB656" s="6"/>
      <c r="EF656" s="6"/>
      <c r="EG656" s="6"/>
      <c r="EL656" s="6"/>
      <c r="EW656" s="6"/>
      <c r="EX656" s="6"/>
      <c r="FC656" s="6"/>
      <c r="FG656" s="6"/>
      <c r="FH656" s="6"/>
      <c r="FM656" s="6"/>
      <c r="FX656" s="6"/>
      <c r="FY656" s="6"/>
      <c r="GD656" s="6"/>
      <c r="GH656" s="6"/>
      <c r="GI656" s="6"/>
      <c r="GN656" s="6"/>
      <c r="GY656" s="6"/>
      <c r="GZ656" s="6"/>
      <c r="HE656" s="6"/>
      <c r="HI656" s="6"/>
      <c r="HJ656" s="6"/>
      <c r="HO656" s="6"/>
      <c r="JA656" s="6"/>
      <c r="JB656" s="6"/>
      <c r="JG656" s="6"/>
      <c r="JK656" s="6"/>
      <c r="JL656" s="6"/>
      <c r="JQ656" s="6"/>
      <c r="KB656" s="6"/>
      <c r="KC656" s="6"/>
      <c r="KH656" s="6"/>
      <c r="KL656" s="6"/>
      <c r="KM656" s="6"/>
      <c r="KR656" s="6"/>
      <c r="LC656" s="6"/>
      <c r="LD656" s="6"/>
      <c r="LI656" s="6"/>
      <c r="LM656" s="6"/>
      <c r="LN656" s="6"/>
      <c r="LS656" s="6"/>
      <c r="NE656" s="6"/>
      <c r="NF656" s="6"/>
      <c r="NK656" s="6"/>
      <c r="NO656" s="6"/>
      <c r="NP656" s="6"/>
      <c r="NU656" s="6"/>
      <c r="OF656" s="6"/>
      <c r="OG656" s="6"/>
      <c r="OL656" s="6"/>
      <c r="OP656" s="6"/>
      <c r="OQ656" s="6"/>
      <c r="OV656" s="6"/>
      <c r="QH656" s="6"/>
      <c r="QI656" s="6"/>
      <c r="QN656" s="6"/>
      <c r="QR656" s="6"/>
      <c r="QS656" s="6"/>
      <c r="QX656" s="6"/>
      <c r="RI656" s="6"/>
      <c r="RJ656" s="6"/>
      <c r="RO656" s="6"/>
      <c r="RS656" s="6"/>
      <c r="RT656" s="6"/>
      <c r="RY656" s="6"/>
      <c r="SJ656" s="6"/>
      <c r="SK656" s="6"/>
      <c r="SP656" s="6"/>
      <c r="ST656" s="6"/>
      <c r="SU656" s="6"/>
      <c r="SZ656" s="6"/>
    </row>
    <row r="657" spans="12:520" x14ac:dyDescent="0.3">
      <c r="R657" s="5"/>
      <c r="S657" s="6"/>
      <c r="T657" s="6"/>
      <c r="U657" s="7"/>
      <c r="W657" s="6"/>
      <c r="Z657" s="5"/>
      <c r="AA657" s="6"/>
      <c r="AB657" s="7"/>
      <c r="AG657" s="5"/>
      <c r="AH657" s="6"/>
      <c r="AQ657" s="5"/>
      <c r="AR657" s="5"/>
      <c r="AS657" s="6"/>
      <c r="AT657" s="7"/>
      <c r="AW657" s="5"/>
      <c r="AY657" s="6"/>
      <c r="BC657" s="6"/>
      <c r="BD657" s="6"/>
      <c r="BI657" s="6"/>
      <c r="BT657" s="6"/>
      <c r="BU657" s="6"/>
      <c r="BZ657" s="6"/>
      <c r="CD657" s="6"/>
      <c r="CE657" s="6"/>
      <c r="CJ657" s="6"/>
      <c r="CU657" s="6"/>
      <c r="CV657" s="6"/>
      <c r="DA657" s="6"/>
      <c r="DE657" s="6"/>
      <c r="DF657" s="6"/>
      <c r="DK657" s="6"/>
      <c r="EW657" s="6"/>
      <c r="EX657" s="6"/>
      <c r="FC657" s="6"/>
      <c r="FG657" s="6"/>
      <c r="FH657" s="6"/>
      <c r="FM657" s="6"/>
      <c r="FX657" s="6"/>
      <c r="FY657" s="6"/>
      <c r="GD657" s="6"/>
      <c r="GH657" s="6"/>
      <c r="GI657" s="6"/>
      <c r="GN657" s="6"/>
      <c r="GY657" s="6"/>
      <c r="GZ657" s="6"/>
      <c r="HE657" s="6"/>
      <c r="HI657" s="6"/>
      <c r="HJ657" s="6"/>
      <c r="HO657" s="6"/>
      <c r="JA657" s="6"/>
      <c r="JB657" s="6"/>
      <c r="JG657" s="6"/>
      <c r="JK657" s="6"/>
      <c r="JL657" s="6"/>
      <c r="JQ657" s="6"/>
      <c r="KB657" s="6"/>
      <c r="KC657" s="6"/>
      <c r="KH657" s="6"/>
      <c r="KL657" s="6"/>
      <c r="KM657" s="6"/>
      <c r="KR657" s="6"/>
      <c r="LC657" s="6"/>
      <c r="LD657" s="6"/>
      <c r="LI657" s="6"/>
      <c r="LM657" s="6"/>
      <c r="LN657" s="6"/>
      <c r="LS657" s="6"/>
      <c r="NE657" s="6"/>
      <c r="NF657" s="6"/>
      <c r="NK657" s="6"/>
      <c r="NO657" s="6"/>
      <c r="NP657" s="6"/>
      <c r="NU657" s="6"/>
      <c r="OF657" s="6"/>
      <c r="OG657" s="6"/>
      <c r="OL657" s="6"/>
      <c r="OP657" s="6"/>
      <c r="OQ657" s="6"/>
      <c r="OV657" s="6"/>
      <c r="QH657" s="6"/>
      <c r="QI657" s="6"/>
      <c r="QN657" s="6"/>
      <c r="QR657" s="6"/>
      <c r="QS657" s="6"/>
      <c r="QX657" s="6"/>
      <c r="RI657" s="6"/>
      <c r="RJ657" s="6"/>
      <c r="RO657" s="6"/>
      <c r="RS657" s="6"/>
      <c r="RT657" s="6"/>
      <c r="RY657" s="6"/>
      <c r="SJ657" s="6"/>
      <c r="SK657" s="6"/>
      <c r="SP657" s="6"/>
      <c r="ST657" s="6"/>
      <c r="SU657" s="6"/>
      <c r="SZ657" s="6"/>
    </row>
    <row r="658" spans="12:520" x14ac:dyDescent="0.3">
      <c r="R658" s="5"/>
      <c r="S658" s="6"/>
      <c r="T658" s="6"/>
      <c r="U658" s="7"/>
      <c r="W658" s="6"/>
      <c r="Z658" s="5"/>
      <c r="AA658" s="6"/>
      <c r="AB658" s="7"/>
      <c r="AG658" s="5"/>
      <c r="AH658" s="6"/>
      <c r="AQ658" s="5"/>
      <c r="AR658" s="5"/>
      <c r="AS658" s="6"/>
      <c r="AT658" s="7"/>
      <c r="AW658" s="5"/>
      <c r="AY658" s="7"/>
      <c r="BC658" s="6"/>
      <c r="BD658" s="6"/>
      <c r="BI658" s="6"/>
      <c r="BN658" s="8"/>
      <c r="BO658" s="8"/>
      <c r="BP658" s="8"/>
      <c r="BT658" s="6"/>
      <c r="BU658" s="6"/>
      <c r="BZ658" s="6"/>
      <c r="CD658" s="6"/>
      <c r="CE658" s="6"/>
      <c r="CJ658" s="6"/>
      <c r="CU658" s="6"/>
      <c r="CV658" s="6"/>
      <c r="DA658" s="6"/>
      <c r="DE658" s="6"/>
      <c r="DF658" s="6"/>
      <c r="DK658" s="6"/>
      <c r="EW658" s="6"/>
      <c r="EX658" s="6"/>
      <c r="FC658" s="6"/>
      <c r="FG658" s="6"/>
      <c r="FH658" s="6"/>
      <c r="FM658" s="6"/>
      <c r="FX658" s="6"/>
      <c r="FY658" s="6"/>
      <c r="GD658" s="6"/>
      <c r="GH658" s="6"/>
      <c r="GI658" s="6"/>
      <c r="GN658" s="6"/>
      <c r="GY658" s="6"/>
      <c r="GZ658" s="6"/>
      <c r="HE658" s="6"/>
      <c r="HI658" s="6"/>
      <c r="HJ658" s="6"/>
      <c r="HO658" s="6"/>
      <c r="JA658" s="6"/>
      <c r="JB658" s="6"/>
      <c r="JG658" s="6"/>
      <c r="JK658" s="6"/>
      <c r="JL658" s="6"/>
      <c r="JQ658" s="6"/>
      <c r="KB658" s="6"/>
      <c r="KC658" s="6"/>
      <c r="KH658" s="6"/>
      <c r="KL658" s="6"/>
      <c r="KM658" s="6"/>
      <c r="KR658" s="6"/>
      <c r="LC658" s="6"/>
      <c r="LD658" s="6"/>
      <c r="LI658" s="6"/>
      <c r="LM658" s="6"/>
      <c r="LN658" s="6"/>
      <c r="LS658" s="6"/>
      <c r="NE658" s="6"/>
      <c r="NF658" s="6"/>
      <c r="NK658" s="6"/>
      <c r="NO658" s="6"/>
      <c r="NP658" s="6"/>
      <c r="NU658" s="6"/>
      <c r="OF658" s="6"/>
      <c r="OG658" s="6"/>
      <c r="OL658" s="6"/>
      <c r="OP658" s="6"/>
      <c r="OQ658" s="6"/>
      <c r="OV658" s="6"/>
      <c r="QH658" s="6"/>
      <c r="QI658" s="6"/>
      <c r="QN658" s="6"/>
      <c r="QR658" s="6"/>
      <c r="QS658" s="6"/>
      <c r="QX658" s="6"/>
      <c r="RI658" s="6"/>
      <c r="RJ658" s="6"/>
      <c r="RO658" s="6"/>
      <c r="RS658" s="6"/>
      <c r="RT658" s="6"/>
      <c r="RY658" s="6"/>
      <c r="SJ658" s="6"/>
      <c r="SK658" s="6"/>
      <c r="SP658" s="6"/>
      <c r="ST658" s="6"/>
      <c r="SU658" s="6"/>
      <c r="SZ658" s="6"/>
    </row>
    <row r="659" spans="12:520" x14ac:dyDescent="0.3">
      <c r="L659" s="8"/>
      <c r="M659" s="8"/>
      <c r="N659" s="8"/>
      <c r="R659" s="5"/>
      <c r="S659" s="6"/>
      <c r="T659" s="6"/>
      <c r="U659" s="7"/>
      <c r="W659" s="6"/>
      <c r="Z659" s="5"/>
      <c r="AA659" s="6"/>
      <c r="AB659" s="7"/>
      <c r="AG659" s="5"/>
      <c r="AH659" s="6"/>
      <c r="AQ659" s="5"/>
      <c r="AR659" s="5"/>
      <c r="AS659" s="6"/>
      <c r="AT659" s="7"/>
      <c r="AW659" s="5"/>
      <c r="AY659" s="6"/>
      <c r="BC659" s="6"/>
      <c r="BD659" s="6"/>
      <c r="BI659" s="6"/>
      <c r="CO659" s="8"/>
      <c r="CP659" s="8"/>
      <c r="CQ659" s="8"/>
      <c r="CU659" s="6"/>
      <c r="CV659" s="6"/>
      <c r="DA659" s="6"/>
      <c r="DE659" s="6"/>
      <c r="DF659" s="6"/>
      <c r="DK659" s="6"/>
      <c r="EQ659" s="8"/>
      <c r="ER659" s="8"/>
      <c r="ES659" s="8"/>
      <c r="EW659" s="6"/>
      <c r="EX659" s="6"/>
      <c r="FC659" s="6"/>
      <c r="FG659" s="6"/>
      <c r="FH659" s="6"/>
      <c r="FM659" s="6"/>
      <c r="FR659" s="8"/>
      <c r="FS659" s="8"/>
      <c r="FT659" s="8"/>
      <c r="FX659" s="6"/>
      <c r="FY659" s="6"/>
      <c r="GD659" s="6"/>
      <c r="GH659" s="6"/>
      <c r="GI659" s="6"/>
      <c r="GN659" s="6"/>
      <c r="GS659" s="8"/>
      <c r="GT659" s="8"/>
      <c r="GU659" s="8"/>
      <c r="GY659" s="6"/>
      <c r="GZ659" s="6"/>
      <c r="HE659" s="6"/>
      <c r="HI659" s="6"/>
      <c r="HJ659" s="6"/>
      <c r="HO659" s="6"/>
      <c r="IU659" s="8"/>
      <c r="IV659" s="8"/>
      <c r="IW659" s="8"/>
      <c r="JA659" s="6"/>
      <c r="JB659" s="6"/>
      <c r="JG659" s="6"/>
      <c r="JK659" s="6"/>
      <c r="JL659" s="6"/>
      <c r="JQ659" s="6"/>
      <c r="JV659" s="8"/>
      <c r="JW659" s="8"/>
      <c r="JX659" s="8"/>
      <c r="KB659" s="6"/>
      <c r="KC659" s="6"/>
      <c r="KH659" s="6"/>
      <c r="KL659" s="6"/>
      <c r="KM659" s="6"/>
      <c r="KR659" s="6"/>
      <c r="KW659" s="8"/>
      <c r="KX659" s="8"/>
      <c r="KY659" s="8"/>
      <c r="LC659" s="6"/>
      <c r="LD659" s="6"/>
      <c r="LI659" s="6"/>
      <c r="LM659" s="6"/>
      <c r="LN659" s="6"/>
      <c r="LS659" s="6"/>
      <c r="MY659" s="8"/>
      <c r="MZ659" s="8"/>
      <c r="NA659" s="8"/>
      <c r="NE659" s="6"/>
      <c r="NF659" s="6"/>
      <c r="NK659" s="6"/>
      <c r="NO659" s="6"/>
      <c r="NP659" s="6"/>
      <c r="NU659" s="6"/>
      <c r="NZ659" s="8"/>
      <c r="OA659" s="8"/>
      <c r="OB659" s="8"/>
      <c r="OF659" s="6"/>
      <c r="OG659" s="6"/>
      <c r="OL659" s="6"/>
      <c r="OP659" s="6"/>
      <c r="OQ659" s="6"/>
      <c r="OV659" s="6"/>
      <c r="QB659" s="8"/>
      <c r="QC659" s="8"/>
      <c r="QD659" s="8"/>
      <c r="QH659" s="6"/>
      <c r="QI659" s="6"/>
      <c r="QN659" s="6"/>
      <c r="QR659" s="6"/>
      <c r="QS659" s="6"/>
      <c r="QX659" s="6"/>
      <c r="RC659" s="8"/>
      <c r="RD659" s="8"/>
      <c r="RE659" s="8"/>
      <c r="RI659" s="6"/>
      <c r="RJ659" s="6"/>
      <c r="RO659" s="6"/>
      <c r="RS659" s="6"/>
      <c r="RT659" s="6"/>
      <c r="RY659" s="6"/>
      <c r="SD659" s="8"/>
      <c r="SE659" s="8"/>
      <c r="SF659" s="8"/>
      <c r="SJ659" s="6"/>
      <c r="SK659" s="6"/>
      <c r="SP659" s="6"/>
      <c r="ST659" s="6"/>
      <c r="SU659" s="6"/>
      <c r="SZ659" s="6"/>
    </row>
    <row r="660" spans="12:520" x14ac:dyDescent="0.3">
      <c r="AQ660" s="5"/>
      <c r="AR660" s="5"/>
      <c r="AS660" s="6"/>
    </row>
    <row r="661" spans="12:520" x14ac:dyDescent="0.3">
      <c r="AQ661" s="5"/>
      <c r="AR661" s="5"/>
      <c r="AS661" s="6"/>
    </row>
    <row r="662" spans="12:520" x14ac:dyDescent="0.3">
      <c r="AQ662" s="5"/>
      <c r="AR662" s="5"/>
      <c r="AS662" s="6"/>
    </row>
    <row r="663" spans="12:520" x14ac:dyDescent="0.3">
      <c r="AM663" s="8"/>
      <c r="AN663" s="8"/>
      <c r="AO663" s="8"/>
      <c r="AQ663" s="5"/>
      <c r="AR663" s="5"/>
      <c r="AS663" s="6"/>
    </row>
    <row r="680" spans="18:520" x14ac:dyDescent="0.3">
      <c r="R680" s="6"/>
      <c r="S680" s="7"/>
      <c r="T680" s="7"/>
      <c r="Z680" s="6"/>
      <c r="AA680" s="7"/>
      <c r="AG680" s="6"/>
      <c r="AX680" s="6"/>
      <c r="BB680" s="6"/>
      <c r="BC680" s="7"/>
      <c r="BH680" s="6"/>
      <c r="BS680" s="6"/>
      <c r="BT680" s="7"/>
      <c r="BY680" s="6"/>
      <c r="CC680" s="6"/>
      <c r="CD680" s="7"/>
      <c r="CI680" s="6"/>
      <c r="CT680" s="6"/>
      <c r="CU680" s="7"/>
      <c r="CZ680" s="6"/>
      <c r="DD680" s="6"/>
      <c r="DE680" s="7"/>
      <c r="DJ680" s="6"/>
      <c r="DU680" s="6"/>
      <c r="DV680" s="7"/>
      <c r="EA680" s="6"/>
      <c r="EE680" s="6"/>
      <c r="EF680" s="7"/>
      <c r="EK680" s="6"/>
      <c r="EV680" s="6"/>
      <c r="EW680" s="7"/>
      <c r="FB680" s="6"/>
      <c r="FF680" s="6"/>
      <c r="FG680" s="7"/>
      <c r="FL680" s="6"/>
      <c r="FW680" s="6"/>
      <c r="FX680" s="7"/>
      <c r="GC680" s="6"/>
      <c r="GG680" s="6"/>
      <c r="GH680" s="7"/>
      <c r="GM680" s="6"/>
      <c r="GX680" s="6"/>
      <c r="GY680" s="7"/>
      <c r="HD680" s="6"/>
      <c r="HH680" s="6"/>
      <c r="HI680" s="7"/>
      <c r="HN680" s="6"/>
      <c r="HY680" s="6"/>
      <c r="HZ680" s="7"/>
      <c r="IE680" s="6"/>
      <c r="II680" s="6"/>
      <c r="IJ680" s="7"/>
      <c r="IO680" s="6"/>
      <c r="IZ680" s="6"/>
      <c r="JA680" s="7"/>
      <c r="JF680" s="6"/>
      <c r="JJ680" s="6"/>
      <c r="JK680" s="7"/>
      <c r="JP680" s="6"/>
      <c r="KA680" s="6"/>
      <c r="KB680" s="7"/>
      <c r="KG680" s="6"/>
      <c r="KK680" s="6"/>
      <c r="KL680" s="7"/>
      <c r="KQ680" s="6"/>
      <c r="LB680" s="6"/>
      <c r="LC680" s="7"/>
      <c r="LH680" s="6"/>
      <c r="LL680" s="6"/>
      <c r="LM680" s="7"/>
      <c r="LR680" s="6"/>
      <c r="MC680" s="6"/>
      <c r="MD680" s="7"/>
      <c r="MI680" s="6"/>
      <c r="MM680" s="6"/>
      <c r="MN680" s="7"/>
      <c r="MS680" s="6"/>
      <c r="ND680" s="6"/>
      <c r="NE680" s="7"/>
      <c r="NJ680" s="6"/>
      <c r="NN680" s="6"/>
      <c r="NO680" s="7"/>
      <c r="NT680" s="6"/>
      <c r="OE680" s="6"/>
      <c r="OF680" s="7"/>
      <c r="OK680" s="6"/>
      <c r="OO680" s="6"/>
      <c r="OP680" s="7"/>
      <c r="OU680" s="6"/>
      <c r="PF680" s="6"/>
      <c r="PG680" s="7"/>
      <c r="PL680" s="6"/>
      <c r="PP680" s="6"/>
      <c r="PQ680" s="7"/>
      <c r="PV680" s="6"/>
      <c r="QG680" s="6"/>
      <c r="QH680" s="7"/>
      <c r="QM680" s="6"/>
      <c r="QQ680" s="6"/>
      <c r="QR680" s="7"/>
      <c r="QW680" s="6"/>
      <c r="RH680" s="6"/>
      <c r="RI680" s="7"/>
      <c r="RN680" s="6"/>
      <c r="RR680" s="6"/>
      <c r="RS680" s="7"/>
      <c r="RX680" s="6"/>
      <c r="SI680" s="6"/>
      <c r="SJ680" s="7"/>
      <c r="SO680" s="6"/>
      <c r="SS680" s="6"/>
      <c r="ST680" s="7"/>
      <c r="SY680" s="6"/>
    </row>
    <row r="681" spans="18:520" x14ac:dyDescent="0.3">
      <c r="S681" s="6"/>
      <c r="T681" s="6"/>
      <c r="U681" s="6"/>
      <c r="W681" s="6"/>
      <c r="AA681" s="6"/>
      <c r="AB681" s="6"/>
      <c r="AH681" s="6"/>
      <c r="AT681" s="6"/>
      <c r="AY681" s="6"/>
      <c r="BC681" s="6"/>
      <c r="BD681" s="6"/>
      <c r="BI681" s="6"/>
      <c r="BT681" s="6"/>
      <c r="BU681" s="6"/>
      <c r="BZ681" s="6"/>
      <c r="CD681" s="6"/>
      <c r="CE681" s="6"/>
      <c r="CJ681" s="6"/>
      <c r="CU681" s="6"/>
      <c r="CV681" s="6"/>
      <c r="DA681" s="6"/>
      <c r="DE681" s="6"/>
      <c r="DF681" s="6"/>
      <c r="DK681" s="6"/>
      <c r="DV681" s="6"/>
      <c r="DW681" s="6"/>
      <c r="EB681" s="6"/>
      <c r="EF681" s="6"/>
      <c r="EG681" s="6"/>
      <c r="EL681" s="6"/>
      <c r="EW681" s="6"/>
      <c r="EX681" s="6"/>
      <c r="FC681" s="6"/>
      <c r="FG681" s="6"/>
      <c r="FH681" s="6"/>
      <c r="FM681" s="6"/>
      <c r="FX681" s="6"/>
      <c r="FY681" s="6"/>
      <c r="GD681" s="6"/>
      <c r="GH681" s="6"/>
      <c r="GI681" s="6"/>
      <c r="GN681" s="6"/>
      <c r="GY681" s="6"/>
      <c r="GZ681" s="6"/>
      <c r="HE681" s="6"/>
      <c r="HI681" s="6"/>
      <c r="HJ681" s="6"/>
      <c r="HO681" s="6"/>
      <c r="HZ681" s="6"/>
      <c r="IA681" s="6"/>
      <c r="IF681" s="6"/>
      <c r="IJ681" s="6"/>
      <c r="IK681" s="6"/>
      <c r="IP681" s="6"/>
      <c r="JA681" s="6"/>
      <c r="JB681" s="6"/>
      <c r="JG681" s="6"/>
      <c r="JK681" s="6"/>
      <c r="JL681" s="6"/>
      <c r="JQ681" s="6"/>
      <c r="KB681" s="6"/>
      <c r="KC681" s="6"/>
      <c r="KH681" s="6"/>
      <c r="KL681" s="6"/>
      <c r="KM681" s="6"/>
      <c r="KR681" s="6"/>
      <c r="LC681" s="6"/>
      <c r="LD681" s="6"/>
      <c r="LI681" s="6"/>
      <c r="LM681" s="6"/>
      <c r="LN681" s="6"/>
      <c r="LS681" s="6"/>
      <c r="MD681" s="6"/>
      <c r="ME681" s="6"/>
      <c r="MJ681" s="6"/>
      <c r="MN681" s="6"/>
      <c r="MO681" s="6"/>
      <c r="MT681" s="6"/>
      <c r="MY681" s="8"/>
      <c r="MZ681" s="8"/>
      <c r="NA681" s="8"/>
      <c r="NE681" s="6"/>
      <c r="NF681" s="6"/>
      <c r="NK681" s="6"/>
      <c r="NO681" s="6"/>
      <c r="NP681" s="6"/>
      <c r="NU681" s="6"/>
      <c r="OF681" s="6"/>
      <c r="OG681" s="6"/>
      <c r="OL681" s="6"/>
      <c r="OP681" s="6"/>
      <c r="OQ681" s="6"/>
      <c r="OV681" s="6"/>
      <c r="PG681" s="6"/>
      <c r="PH681" s="6"/>
      <c r="PM681" s="6"/>
      <c r="PQ681" s="6"/>
      <c r="PR681" s="6"/>
      <c r="PW681" s="6"/>
      <c r="QH681" s="6"/>
      <c r="QI681" s="6"/>
      <c r="QN681" s="6"/>
      <c r="QR681" s="6"/>
      <c r="QS681" s="6"/>
      <c r="QX681" s="6"/>
      <c r="RI681" s="6"/>
      <c r="RJ681" s="6"/>
      <c r="RO681" s="6"/>
      <c r="RS681" s="6"/>
      <c r="RT681" s="6"/>
      <c r="RY681" s="6"/>
      <c r="SJ681" s="6"/>
      <c r="SK681" s="6"/>
      <c r="SP681" s="6"/>
      <c r="ST681" s="6"/>
      <c r="SU681" s="6"/>
      <c r="SZ681" s="6"/>
    </row>
    <row r="682" spans="18:520" x14ac:dyDescent="0.3">
      <c r="S682" s="6"/>
      <c r="T682" s="6"/>
      <c r="U682" s="6"/>
      <c r="W682" s="6"/>
      <c r="AA682" s="6"/>
      <c r="AB682" s="6"/>
      <c r="AH682" s="6"/>
      <c r="AT682" s="6"/>
      <c r="AY682" s="6"/>
      <c r="BC682" s="6"/>
      <c r="BD682" s="6"/>
      <c r="BI682" s="6"/>
      <c r="BT682" s="6"/>
      <c r="BU682" s="6"/>
      <c r="BZ682" s="6"/>
      <c r="CD682" s="6"/>
      <c r="CE682" s="6"/>
      <c r="CJ682" s="6"/>
      <c r="CU682" s="6"/>
      <c r="CV682" s="6"/>
      <c r="DA682" s="6"/>
      <c r="DE682" s="6"/>
      <c r="DF682" s="6"/>
      <c r="DK682" s="6"/>
      <c r="DV682" s="6"/>
      <c r="DW682" s="6"/>
      <c r="EB682" s="6"/>
      <c r="EF682" s="6"/>
      <c r="EG682" s="6"/>
      <c r="EL682" s="6"/>
      <c r="EW682" s="6"/>
      <c r="EX682" s="6"/>
      <c r="FC682" s="6"/>
      <c r="FG682" s="6"/>
      <c r="FH682" s="6"/>
      <c r="FM682" s="6"/>
      <c r="FX682" s="6"/>
      <c r="FY682" s="6"/>
      <c r="GD682" s="6"/>
      <c r="GH682" s="6"/>
      <c r="GI682" s="6"/>
      <c r="GN682" s="6"/>
      <c r="GY682" s="6"/>
      <c r="GZ682" s="6"/>
      <c r="HE682" s="6"/>
      <c r="HI682" s="6"/>
      <c r="HJ682" s="6"/>
      <c r="HO682" s="6"/>
      <c r="HZ682" s="6"/>
      <c r="IA682" s="6"/>
      <c r="IF682" s="6"/>
      <c r="IJ682" s="6"/>
      <c r="IK682" s="6"/>
      <c r="IP682" s="6"/>
      <c r="JA682" s="6"/>
      <c r="JB682" s="6"/>
      <c r="JG682" s="6"/>
      <c r="JK682" s="6"/>
      <c r="JL682" s="6"/>
      <c r="JQ682" s="6"/>
      <c r="KB682" s="6"/>
      <c r="KC682" s="6"/>
      <c r="KH682" s="6"/>
      <c r="KL682" s="6"/>
      <c r="KM682" s="6"/>
      <c r="KR682" s="6"/>
      <c r="LC682" s="6"/>
      <c r="LD682" s="6"/>
      <c r="LI682" s="6"/>
      <c r="LM682" s="6"/>
      <c r="LN682" s="6"/>
      <c r="LS682" s="6"/>
      <c r="MD682" s="6"/>
      <c r="ME682" s="6"/>
      <c r="MJ682" s="6"/>
      <c r="MN682" s="6"/>
      <c r="MO682" s="6"/>
      <c r="MT682" s="6"/>
      <c r="OF682" s="6"/>
      <c r="OG682" s="6"/>
      <c r="OL682" s="6"/>
      <c r="OP682" s="6"/>
      <c r="OQ682" s="6"/>
      <c r="OV682" s="6"/>
      <c r="PG682" s="6"/>
      <c r="PH682" s="6"/>
      <c r="PM682" s="6"/>
      <c r="PQ682" s="6"/>
      <c r="PR682" s="6"/>
      <c r="PW682" s="6"/>
      <c r="QH682" s="6"/>
      <c r="QI682" s="6"/>
      <c r="QN682" s="6"/>
      <c r="QR682" s="6"/>
      <c r="QS682" s="6"/>
      <c r="QX682" s="6"/>
      <c r="RI682" s="6"/>
      <c r="RJ682" s="6"/>
      <c r="RO682" s="6"/>
      <c r="RS682" s="6"/>
      <c r="RT682" s="6"/>
      <c r="RY682" s="6"/>
      <c r="SJ682" s="6"/>
      <c r="SK682" s="6"/>
      <c r="SP682" s="6"/>
      <c r="ST682" s="6"/>
      <c r="SU682" s="6"/>
      <c r="SZ682" s="6"/>
    </row>
    <row r="683" spans="18:520" x14ac:dyDescent="0.3">
      <c r="S683" s="6"/>
      <c r="T683" s="6"/>
      <c r="U683" s="6"/>
      <c r="W683" s="6"/>
      <c r="AA683" s="6"/>
      <c r="AB683" s="6"/>
      <c r="AH683" s="6"/>
      <c r="AT683" s="6"/>
      <c r="AY683" s="6"/>
      <c r="BC683" s="6"/>
      <c r="BD683" s="6"/>
      <c r="BI683" s="6"/>
      <c r="BT683" s="6"/>
      <c r="BU683" s="6"/>
      <c r="BZ683" s="6"/>
      <c r="CD683" s="6"/>
      <c r="CE683" s="6"/>
      <c r="CJ683" s="6"/>
      <c r="CO683" s="8"/>
      <c r="CP683" s="8"/>
      <c r="CQ683" s="8"/>
      <c r="CU683" s="6"/>
      <c r="CV683" s="6"/>
      <c r="DA683" s="6"/>
      <c r="DE683" s="6"/>
      <c r="DF683" s="6"/>
      <c r="DK683" s="6"/>
      <c r="DV683" s="6"/>
      <c r="DW683" s="6"/>
      <c r="EB683" s="6"/>
      <c r="EF683" s="6"/>
      <c r="EG683" s="6"/>
      <c r="EL683" s="6"/>
      <c r="EW683" s="6"/>
      <c r="EX683" s="6"/>
      <c r="FC683" s="6"/>
      <c r="FG683" s="6"/>
      <c r="FH683" s="6"/>
      <c r="FM683" s="6"/>
      <c r="FX683" s="6"/>
      <c r="FY683" s="6"/>
      <c r="GD683" s="6"/>
      <c r="GH683" s="6"/>
      <c r="GI683" s="6"/>
      <c r="GN683" s="6"/>
      <c r="GY683" s="6"/>
      <c r="GZ683" s="6"/>
      <c r="HE683" s="6"/>
      <c r="HI683" s="6"/>
      <c r="HJ683" s="6"/>
      <c r="HO683" s="6"/>
      <c r="HZ683" s="6"/>
      <c r="IA683" s="6"/>
      <c r="IF683" s="6"/>
      <c r="IJ683" s="6"/>
      <c r="IK683" s="6"/>
      <c r="IP683" s="6"/>
      <c r="JA683" s="6"/>
      <c r="JB683" s="6"/>
      <c r="JG683" s="6"/>
      <c r="JK683" s="6"/>
      <c r="JL683" s="6"/>
      <c r="JQ683" s="6"/>
      <c r="KB683" s="6"/>
      <c r="KC683" s="6"/>
      <c r="KH683" s="6"/>
      <c r="KL683" s="6"/>
      <c r="KM683" s="6"/>
      <c r="KR683" s="6"/>
      <c r="LC683" s="6"/>
      <c r="LD683" s="6"/>
      <c r="LI683" s="6"/>
      <c r="LM683" s="6"/>
      <c r="LN683" s="6"/>
      <c r="LS683" s="6"/>
      <c r="MD683" s="6"/>
      <c r="ME683" s="6"/>
      <c r="MJ683" s="6"/>
      <c r="MN683" s="6"/>
      <c r="MO683" s="6"/>
      <c r="MT683" s="6"/>
      <c r="OF683" s="6"/>
      <c r="OG683" s="6"/>
      <c r="OL683" s="6"/>
      <c r="OP683" s="6"/>
      <c r="OQ683" s="6"/>
      <c r="OV683" s="6"/>
      <c r="PG683" s="6"/>
      <c r="PH683" s="6"/>
      <c r="PM683" s="6"/>
      <c r="PQ683" s="6"/>
      <c r="PR683" s="6"/>
      <c r="PW683" s="6"/>
      <c r="QH683" s="6"/>
      <c r="QI683" s="6"/>
      <c r="QN683" s="6"/>
      <c r="QR683" s="6"/>
      <c r="QS683" s="6"/>
      <c r="QX683" s="6"/>
      <c r="RI683" s="6"/>
      <c r="RJ683" s="6"/>
      <c r="RO683" s="6"/>
      <c r="RS683" s="6"/>
      <c r="RT683" s="6"/>
      <c r="RY683" s="6"/>
      <c r="SJ683" s="6"/>
      <c r="SK683" s="6"/>
      <c r="SP683" s="6"/>
      <c r="ST683" s="6"/>
      <c r="SU683" s="6"/>
      <c r="SZ683" s="6"/>
    </row>
    <row r="684" spans="18:520" x14ac:dyDescent="0.3">
      <c r="S684" s="6"/>
      <c r="T684" s="6"/>
      <c r="U684" s="6"/>
      <c r="W684" s="6"/>
      <c r="AA684" s="6"/>
      <c r="AB684" s="6"/>
      <c r="AH684" s="6"/>
      <c r="AR684" s="6"/>
      <c r="AS684" s="7"/>
      <c r="AT684" s="6"/>
      <c r="AY684" s="6"/>
      <c r="BC684" s="6"/>
      <c r="BD684" s="6"/>
      <c r="BI684" s="6"/>
      <c r="BT684" s="6"/>
      <c r="BU684" s="6"/>
      <c r="BZ684" s="6"/>
      <c r="CD684" s="6"/>
      <c r="CE684" s="6"/>
      <c r="CJ684" s="6"/>
      <c r="DV684" s="6"/>
      <c r="DW684" s="6"/>
      <c r="EB684" s="6"/>
      <c r="EF684" s="6"/>
      <c r="EG684" s="6"/>
      <c r="EL684" s="6"/>
      <c r="EW684" s="6"/>
      <c r="EX684" s="6"/>
      <c r="FC684" s="6"/>
      <c r="FG684" s="6"/>
      <c r="FH684" s="6"/>
      <c r="FM684" s="6"/>
      <c r="FX684" s="6"/>
      <c r="FY684" s="6"/>
      <c r="GD684" s="6"/>
      <c r="GH684" s="6"/>
      <c r="GI684" s="6"/>
      <c r="GN684" s="6"/>
      <c r="GY684" s="6"/>
      <c r="GZ684" s="6"/>
      <c r="HE684" s="6"/>
      <c r="HI684" s="6"/>
      <c r="HJ684" s="6"/>
      <c r="HO684" s="6"/>
      <c r="HZ684" s="6"/>
      <c r="IA684" s="6"/>
      <c r="IF684" s="6"/>
      <c r="IJ684" s="6"/>
      <c r="IK684" s="6"/>
      <c r="IP684" s="6"/>
      <c r="JA684" s="6"/>
      <c r="JB684" s="6"/>
      <c r="JG684" s="6"/>
      <c r="JK684" s="6"/>
      <c r="JL684" s="6"/>
      <c r="JQ684" s="6"/>
      <c r="KB684" s="6"/>
      <c r="KC684" s="6"/>
      <c r="KH684" s="6"/>
      <c r="KL684" s="6"/>
      <c r="KM684" s="6"/>
      <c r="KR684" s="6"/>
      <c r="LC684" s="6"/>
      <c r="LD684" s="6"/>
      <c r="LI684" s="6"/>
      <c r="LM684" s="6"/>
      <c r="LN684" s="6"/>
      <c r="LS684" s="6"/>
      <c r="MD684" s="6"/>
      <c r="ME684" s="6"/>
      <c r="MJ684" s="6"/>
      <c r="MN684" s="6"/>
      <c r="MO684" s="6"/>
      <c r="MT684" s="6"/>
      <c r="OF684" s="6"/>
      <c r="OG684" s="6"/>
      <c r="OL684" s="6"/>
      <c r="OP684" s="6"/>
      <c r="OQ684" s="6"/>
      <c r="OV684" s="6"/>
      <c r="PG684" s="6"/>
      <c r="PH684" s="6"/>
      <c r="PM684" s="6"/>
      <c r="PQ684" s="6"/>
      <c r="PR684" s="6"/>
      <c r="PW684" s="6"/>
      <c r="QH684" s="6"/>
      <c r="QI684" s="6"/>
      <c r="QN684" s="6"/>
      <c r="QR684" s="6"/>
      <c r="QS684" s="6"/>
      <c r="QX684" s="6"/>
      <c r="RI684" s="6"/>
      <c r="RJ684" s="6"/>
      <c r="RO684" s="6"/>
      <c r="RS684" s="6"/>
      <c r="RT684" s="6"/>
      <c r="RY684" s="6"/>
      <c r="SJ684" s="6"/>
      <c r="SK684" s="6"/>
      <c r="SP684" s="6"/>
      <c r="ST684" s="6"/>
      <c r="SU684" s="6"/>
      <c r="SZ684" s="6"/>
    </row>
    <row r="685" spans="18:520" x14ac:dyDescent="0.3">
      <c r="S685" s="6"/>
      <c r="T685" s="6"/>
      <c r="U685" s="6"/>
      <c r="W685" s="6"/>
      <c r="AA685" s="6"/>
      <c r="AB685" s="6"/>
      <c r="AH685" s="6"/>
      <c r="AS685" s="6"/>
      <c r="AT685" s="6"/>
      <c r="AY685" s="6"/>
      <c r="BC685" s="6"/>
      <c r="BD685" s="6"/>
      <c r="BI685" s="6"/>
      <c r="BT685" s="6"/>
      <c r="BU685" s="6"/>
      <c r="BZ685" s="6"/>
      <c r="CD685" s="6"/>
      <c r="CE685" s="6"/>
      <c r="CJ685" s="6"/>
      <c r="DV685" s="6"/>
      <c r="DW685" s="6"/>
      <c r="EB685" s="6"/>
      <c r="EF685" s="6"/>
      <c r="EG685" s="6"/>
      <c r="EL685" s="6"/>
      <c r="EW685" s="6"/>
      <c r="EX685" s="6"/>
      <c r="FC685" s="6"/>
      <c r="FG685" s="6"/>
      <c r="FH685" s="6"/>
      <c r="FM685" s="6"/>
      <c r="FX685" s="6"/>
      <c r="FY685" s="6"/>
      <c r="GD685" s="6"/>
      <c r="GH685" s="6"/>
      <c r="GI685" s="6"/>
      <c r="GN685" s="6"/>
      <c r="GY685" s="6"/>
      <c r="GZ685" s="6"/>
      <c r="HE685" s="6"/>
      <c r="HI685" s="6"/>
      <c r="HJ685" s="6"/>
      <c r="HO685" s="6"/>
      <c r="HT685" s="8"/>
      <c r="HU685" s="8"/>
      <c r="HV685" s="8"/>
      <c r="HZ685" s="6"/>
      <c r="IA685" s="6"/>
      <c r="IF685" s="6"/>
      <c r="IJ685" s="6"/>
      <c r="IK685" s="6"/>
      <c r="IP685" s="6"/>
      <c r="JA685" s="6"/>
      <c r="JB685" s="6"/>
      <c r="JG685" s="6"/>
      <c r="JK685" s="6"/>
      <c r="JL685" s="6"/>
      <c r="JQ685" s="6"/>
      <c r="KB685" s="6"/>
      <c r="KC685" s="6"/>
      <c r="KH685" s="6"/>
      <c r="KL685" s="6"/>
      <c r="KM685" s="6"/>
      <c r="KR685" s="6"/>
      <c r="LC685" s="6"/>
      <c r="LD685" s="6"/>
      <c r="LI685" s="6"/>
      <c r="LM685" s="6"/>
      <c r="LN685" s="6"/>
      <c r="LS685" s="6"/>
      <c r="MD685" s="6"/>
      <c r="ME685" s="6"/>
      <c r="MJ685" s="6"/>
      <c r="MN685" s="6"/>
      <c r="MO685" s="6"/>
      <c r="MT685" s="6"/>
      <c r="OF685" s="6"/>
      <c r="OG685" s="6"/>
      <c r="OL685" s="6"/>
      <c r="OP685" s="6"/>
      <c r="OQ685" s="6"/>
      <c r="OV685" s="6"/>
      <c r="PG685" s="6"/>
      <c r="PH685" s="6"/>
      <c r="PM685" s="6"/>
      <c r="PQ685" s="6"/>
      <c r="PR685" s="6"/>
      <c r="PW685" s="6"/>
      <c r="QH685" s="6"/>
      <c r="QI685" s="6"/>
      <c r="QN685" s="6"/>
      <c r="QR685" s="6"/>
      <c r="QS685" s="6"/>
      <c r="QX685" s="6"/>
      <c r="RI685" s="6"/>
      <c r="RJ685" s="6"/>
      <c r="RO685" s="6"/>
      <c r="RS685" s="6"/>
      <c r="RT685" s="6"/>
      <c r="RY685" s="6"/>
      <c r="SJ685" s="6"/>
      <c r="SK685" s="6"/>
      <c r="SP685" s="6"/>
      <c r="ST685" s="6"/>
      <c r="SU685" s="6"/>
      <c r="SZ685" s="6"/>
    </row>
    <row r="686" spans="18:520" x14ac:dyDescent="0.3">
      <c r="S686" s="6"/>
      <c r="T686" s="6"/>
      <c r="U686" s="6"/>
      <c r="W686" s="6"/>
      <c r="AA686" s="6"/>
      <c r="AB686" s="6"/>
      <c r="AH686" s="6"/>
      <c r="AS686" s="6"/>
      <c r="AT686" s="6"/>
      <c r="AY686" s="6"/>
      <c r="BC686" s="6"/>
      <c r="BD686" s="6"/>
      <c r="BI686" s="6"/>
      <c r="BT686" s="6"/>
      <c r="BU686" s="6"/>
      <c r="BZ686" s="6"/>
      <c r="CD686" s="6"/>
      <c r="CE686" s="6"/>
      <c r="CJ686" s="6"/>
      <c r="DV686" s="6"/>
      <c r="DW686" s="6"/>
      <c r="EB686" s="6"/>
      <c r="EF686" s="6"/>
      <c r="EG686" s="6"/>
      <c r="EL686" s="6"/>
      <c r="EW686" s="6"/>
      <c r="EX686" s="6"/>
      <c r="FC686" s="6"/>
      <c r="FG686" s="6"/>
      <c r="FH686" s="6"/>
      <c r="FM686" s="6"/>
      <c r="FX686" s="6"/>
      <c r="FY686" s="6"/>
      <c r="GD686" s="6"/>
      <c r="GH686" s="6"/>
      <c r="GI686" s="6"/>
      <c r="GN686" s="6"/>
      <c r="GY686" s="6"/>
      <c r="GZ686" s="6"/>
      <c r="HE686" s="6"/>
      <c r="HI686" s="6"/>
      <c r="HJ686" s="6"/>
      <c r="HO686" s="6"/>
      <c r="JA686" s="6"/>
      <c r="JB686" s="6"/>
      <c r="JG686" s="6"/>
      <c r="JK686" s="6"/>
      <c r="JL686" s="6"/>
      <c r="JQ686" s="6"/>
      <c r="KB686" s="6"/>
      <c r="KC686" s="6"/>
      <c r="KH686" s="6"/>
      <c r="KL686" s="6"/>
      <c r="KM686" s="6"/>
      <c r="KR686" s="6"/>
      <c r="LC686" s="6"/>
      <c r="LD686" s="6"/>
      <c r="LI686" s="6"/>
      <c r="LM686" s="6"/>
      <c r="LN686" s="6"/>
      <c r="LS686" s="6"/>
      <c r="MD686" s="6"/>
      <c r="ME686" s="6"/>
      <c r="MJ686" s="6"/>
      <c r="MN686" s="6"/>
      <c r="MO686" s="6"/>
      <c r="MT686" s="6"/>
      <c r="OF686" s="6"/>
      <c r="OG686" s="6"/>
      <c r="OL686" s="6"/>
      <c r="OP686" s="6"/>
      <c r="OQ686" s="6"/>
      <c r="OV686" s="6"/>
      <c r="PG686" s="6"/>
      <c r="PH686" s="6"/>
      <c r="PM686" s="6"/>
      <c r="PQ686" s="6"/>
      <c r="PR686" s="6"/>
      <c r="PW686" s="6"/>
      <c r="QH686" s="6"/>
      <c r="QI686" s="6"/>
      <c r="QN686" s="6"/>
      <c r="QR686" s="6"/>
      <c r="QS686" s="6"/>
      <c r="QX686" s="6"/>
      <c r="RI686" s="6"/>
      <c r="RJ686" s="6"/>
      <c r="RO686" s="6"/>
      <c r="RS686" s="6"/>
      <c r="RT686" s="6"/>
      <c r="RY686" s="6"/>
      <c r="SJ686" s="6"/>
      <c r="SK686" s="6"/>
      <c r="SP686" s="6"/>
      <c r="ST686" s="6"/>
      <c r="SU686" s="6"/>
      <c r="SZ686" s="6"/>
    </row>
    <row r="687" spans="18:520" x14ac:dyDescent="0.3">
      <c r="S687" s="6"/>
      <c r="T687" s="6"/>
      <c r="U687" s="6"/>
      <c r="W687" s="6"/>
      <c r="AA687" s="6"/>
      <c r="AB687" s="6"/>
      <c r="AH687" s="6"/>
      <c r="AS687" s="6"/>
      <c r="AT687" s="6"/>
      <c r="AY687" s="6"/>
      <c r="BC687" s="6"/>
      <c r="BD687" s="6"/>
      <c r="BI687" s="6"/>
      <c r="BT687" s="6"/>
      <c r="BU687" s="6"/>
      <c r="BZ687" s="6"/>
      <c r="CD687" s="6"/>
      <c r="CE687" s="6"/>
      <c r="CJ687" s="6"/>
      <c r="DV687" s="6"/>
      <c r="DW687" s="6"/>
      <c r="EB687" s="6"/>
      <c r="EF687" s="6"/>
      <c r="EG687" s="6"/>
      <c r="EL687" s="6"/>
      <c r="EW687" s="6"/>
      <c r="EX687" s="6"/>
      <c r="FC687" s="6"/>
      <c r="FG687" s="6"/>
      <c r="FH687" s="6"/>
      <c r="FM687" s="6"/>
      <c r="FX687" s="6"/>
      <c r="FY687" s="6"/>
      <c r="GD687" s="6"/>
      <c r="GH687" s="6"/>
      <c r="GI687" s="6"/>
      <c r="GN687" s="6"/>
      <c r="GY687" s="6"/>
      <c r="GZ687" s="6"/>
      <c r="HE687" s="6"/>
      <c r="HI687" s="6"/>
      <c r="HJ687" s="6"/>
      <c r="HO687" s="6"/>
      <c r="JA687" s="6"/>
      <c r="JB687" s="6"/>
      <c r="JG687" s="6"/>
      <c r="JK687" s="6"/>
      <c r="JL687" s="6"/>
      <c r="JQ687" s="6"/>
      <c r="KB687" s="6"/>
      <c r="KC687" s="6"/>
      <c r="KH687" s="6"/>
      <c r="KL687" s="6"/>
      <c r="KM687" s="6"/>
      <c r="KR687" s="6"/>
      <c r="LC687" s="6"/>
      <c r="LD687" s="6"/>
      <c r="LI687" s="6"/>
      <c r="LM687" s="6"/>
      <c r="LN687" s="6"/>
      <c r="LS687" s="6"/>
      <c r="MD687" s="6"/>
      <c r="ME687" s="6"/>
      <c r="MJ687" s="6"/>
      <c r="MN687" s="6"/>
      <c r="MO687" s="6"/>
      <c r="MT687" s="6"/>
      <c r="NZ687" s="8"/>
      <c r="OA687" s="8"/>
      <c r="OB687" s="8"/>
      <c r="OF687" s="6"/>
      <c r="OG687" s="6"/>
      <c r="OL687" s="6"/>
      <c r="OP687" s="6"/>
      <c r="OQ687" s="6"/>
      <c r="OV687" s="6"/>
      <c r="PG687" s="6"/>
      <c r="PH687" s="6"/>
      <c r="PM687" s="6"/>
      <c r="PQ687" s="6"/>
      <c r="PR687" s="6"/>
      <c r="PW687" s="6"/>
      <c r="QH687" s="6"/>
      <c r="QI687" s="6"/>
      <c r="QN687" s="6"/>
      <c r="QR687" s="6"/>
      <c r="QS687" s="6"/>
      <c r="QX687" s="6"/>
      <c r="RI687" s="6"/>
      <c r="RJ687" s="6"/>
      <c r="RO687" s="6"/>
      <c r="RS687" s="6"/>
      <c r="RT687" s="6"/>
      <c r="RY687" s="6"/>
      <c r="SJ687" s="6"/>
      <c r="SK687" s="6"/>
      <c r="SP687" s="6"/>
      <c r="ST687" s="6"/>
      <c r="SU687" s="6"/>
      <c r="SZ687" s="6"/>
    </row>
    <row r="688" spans="18:520" x14ac:dyDescent="0.3">
      <c r="S688" s="6"/>
      <c r="T688" s="6"/>
      <c r="U688" s="6"/>
      <c r="W688" s="6"/>
      <c r="AA688" s="6"/>
      <c r="AB688" s="6"/>
      <c r="AH688" s="6"/>
      <c r="AS688" s="6"/>
      <c r="AT688" s="6"/>
      <c r="AY688" s="6"/>
      <c r="BC688" s="6"/>
      <c r="BD688" s="6"/>
      <c r="BI688" s="6"/>
      <c r="BT688" s="6"/>
      <c r="BU688" s="6"/>
      <c r="BZ688" s="6"/>
      <c r="CD688" s="6"/>
      <c r="CE688" s="6"/>
      <c r="CJ688" s="6"/>
      <c r="DV688" s="6"/>
      <c r="DW688" s="6"/>
      <c r="EB688" s="6"/>
      <c r="EF688" s="6"/>
      <c r="EG688" s="6"/>
      <c r="EL688" s="6"/>
      <c r="EW688" s="6"/>
      <c r="EX688" s="6"/>
      <c r="FC688" s="6"/>
      <c r="FG688" s="6"/>
      <c r="FH688" s="6"/>
      <c r="FM688" s="6"/>
      <c r="FX688" s="6"/>
      <c r="FY688" s="6"/>
      <c r="GD688" s="6"/>
      <c r="GH688" s="6"/>
      <c r="GI688" s="6"/>
      <c r="GN688" s="6"/>
      <c r="GY688" s="6"/>
      <c r="GZ688" s="6"/>
      <c r="HE688" s="6"/>
      <c r="HI688" s="6"/>
      <c r="HJ688" s="6"/>
      <c r="HO688" s="6"/>
      <c r="JA688" s="6"/>
      <c r="JB688" s="6"/>
      <c r="JG688" s="6"/>
      <c r="JK688" s="6"/>
      <c r="JL688" s="6"/>
      <c r="JQ688" s="6"/>
      <c r="KB688" s="6"/>
      <c r="KC688" s="6"/>
      <c r="KH688" s="6"/>
      <c r="KL688" s="6"/>
      <c r="KM688" s="6"/>
      <c r="KR688" s="6"/>
      <c r="LC688" s="6"/>
      <c r="LD688" s="6"/>
      <c r="LI688" s="6"/>
      <c r="LM688" s="6"/>
      <c r="LN688" s="6"/>
      <c r="LS688" s="6"/>
      <c r="MD688" s="6"/>
      <c r="ME688" s="6"/>
      <c r="MJ688" s="6"/>
      <c r="MN688" s="6"/>
      <c r="MO688" s="6"/>
      <c r="MT688" s="6"/>
      <c r="PG688" s="6"/>
      <c r="PH688" s="6"/>
      <c r="PM688" s="6"/>
      <c r="PQ688" s="6"/>
      <c r="PR688" s="6"/>
      <c r="PW688" s="6"/>
      <c r="QH688" s="6"/>
      <c r="QI688" s="6"/>
      <c r="QN688" s="6"/>
      <c r="QR688" s="6"/>
      <c r="QS688" s="6"/>
      <c r="QX688" s="6"/>
      <c r="RI688" s="6"/>
      <c r="RJ688" s="6"/>
      <c r="RO688" s="6"/>
      <c r="RS688" s="6"/>
      <c r="RT688" s="6"/>
      <c r="RY688" s="6"/>
      <c r="SJ688" s="6"/>
      <c r="SK688" s="6"/>
      <c r="SP688" s="6"/>
      <c r="ST688" s="6"/>
      <c r="SU688" s="6"/>
      <c r="SZ688" s="6"/>
    </row>
    <row r="689" spans="12:520" x14ac:dyDescent="0.3">
      <c r="S689" s="6"/>
      <c r="T689" s="6"/>
      <c r="U689" s="6"/>
      <c r="W689" s="6"/>
      <c r="AA689" s="6"/>
      <c r="AB689" s="6"/>
      <c r="AH689" s="6"/>
      <c r="AS689" s="6"/>
      <c r="AT689" s="6"/>
      <c r="AY689" s="6"/>
      <c r="BC689" s="6"/>
      <c r="BD689" s="6"/>
      <c r="BI689" s="6"/>
      <c r="BT689" s="6"/>
      <c r="BU689" s="6"/>
      <c r="BZ689" s="6"/>
      <c r="CD689" s="6"/>
      <c r="CE689" s="6"/>
      <c r="CJ689" s="6"/>
      <c r="DV689" s="6"/>
      <c r="DW689" s="6"/>
      <c r="EB689" s="6"/>
      <c r="EF689" s="6"/>
      <c r="EG689" s="6"/>
      <c r="EL689" s="6"/>
      <c r="EW689" s="6"/>
      <c r="EX689" s="6"/>
      <c r="FC689" s="6"/>
      <c r="FG689" s="6"/>
      <c r="FH689" s="6"/>
      <c r="FM689" s="6"/>
      <c r="FX689" s="6"/>
      <c r="FY689" s="6"/>
      <c r="GD689" s="6"/>
      <c r="GH689" s="6"/>
      <c r="GI689" s="6"/>
      <c r="GN689" s="6"/>
      <c r="GY689" s="6"/>
      <c r="GZ689" s="6"/>
      <c r="HE689" s="6"/>
      <c r="HI689" s="6"/>
      <c r="HJ689" s="6"/>
      <c r="HO689" s="6"/>
      <c r="IU689" s="8"/>
      <c r="IV689" s="8"/>
      <c r="IW689" s="8"/>
      <c r="JA689" s="6"/>
      <c r="JB689" s="6"/>
      <c r="JG689" s="6"/>
      <c r="JK689" s="6"/>
      <c r="JL689" s="6"/>
      <c r="JQ689" s="6"/>
      <c r="KB689" s="6"/>
      <c r="KC689" s="6"/>
      <c r="KH689" s="6"/>
      <c r="KL689" s="6"/>
      <c r="KM689" s="6"/>
      <c r="KR689" s="6"/>
      <c r="LC689" s="6"/>
      <c r="LD689" s="6"/>
      <c r="LI689" s="6"/>
      <c r="LM689" s="6"/>
      <c r="LN689" s="6"/>
      <c r="LS689" s="6"/>
      <c r="MD689" s="6"/>
      <c r="ME689" s="6"/>
      <c r="MJ689" s="6"/>
      <c r="MN689" s="6"/>
      <c r="MO689" s="6"/>
      <c r="MT689" s="6"/>
      <c r="PG689" s="6"/>
      <c r="PH689" s="6"/>
      <c r="PM689" s="6"/>
      <c r="PQ689" s="6"/>
      <c r="PR689" s="6"/>
      <c r="PW689" s="6"/>
      <c r="QH689" s="6"/>
      <c r="QI689" s="6"/>
      <c r="QN689" s="6"/>
      <c r="QR689" s="6"/>
      <c r="QS689" s="6"/>
      <c r="QX689" s="6"/>
      <c r="RI689" s="6"/>
      <c r="RJ689" s="6"/>
      <c r="RO689" s="6"/>
      <c r="RS689" s="6"/>
      <c r="RT689" s="6"/>
      <c r="RY689" s="6"/>
      <c r="SJ689" s="6"/>
      <c r="SK689" s="6"/>
      <c r="SP689" s="6"/>
      <c r="ST689" s="6"/>
      <c r="SU689" s="6"/>
      <c r="SZ689" s="6"/>
    </row>
    <row r="690" spans="12:520" x14ac:dyDescent="0.3">
      <c r="S690" s="6"/>
      <c r="T690" s="6"/>
      <c r="U690" s="6"/>
      <c r="W690" s="6"/>
      <c r="AA690" s="6"/>
      <c r="AB690" s="6"/>
      <c r="AH690" s="6"/>
      <c r="AS690" s="6"/>
      <c r="AT690" s="6"/>
      <c r="AY690" s="6"/>
      <c r="BC690" s="6"/>
      <c r="BD690" s="6"/>
      <c r="BI690" s="6"/>
      <c r="BT690" s="6"/>
      <c r="BU690" s="6"/>
      <c r="BZ690" s="6"/>
      <c r="CD690" s="6"/>
      <c r="CE690" s="6"/>
      <c r="CJ690" s="6"/>
      <c r="DV690" s="6"/>
      <c r="DW690" s="6"/>
      <c r="EB690" s="6"/>
      <c r="EF690" s="6"/>
      <c r="EG690" s="6"/>
      <c r="EL690" s="6"/>
      <c r="EW690" s="6"/>
      <c r="EX690" s="6"/>
      <c r="FC690" s="6"/>
      <c r="FG690" s="6"/>
      <c r="FH690" s="6"/>
      <c r="FM690" s="6"/>
      <c r="FX690" s="6"/>
      <c r="FY690" s="6"/>
      <c r="GD690" s="6"/>
      <c r="GH690" s="6"/>
      <c r="GI690" s="6"/>
      <c r="GN690" s="6"/>
      <c r="GY690" s="6"/>
      <c r="GZ690" s="6"/>
      <c r="HE690" s="6"/>
      <c r="HI690" s="6"/>
      <c r="HJ690" s="6"/>
      <c r="HO690" s="6"/>
      <c r="KB690" s="6"/>
      <c r="KC690" s="6"/>
      <c r="KH690" s="6"/>
      <c r="KL690" s="6"/>
      <c r="KM690" s="6"/>
      <c r="KR690" s="6"/>
      <c r="LC690" s="6"/>
      <c r="LD690" s="6"/>
      <c r="LI690" s="6"/>
      <c r="LM690" s="6"/>
      <c r="LN690" s="6"/>
      <c r="LS690" s="6"/>
      <c r="MD690" s="6"/>
      <c r="ME690" s="6"/>
      <c r="MJ690" s="6"/>
      <c r="MN690" s="6"/>
      <c r="MO690" s="6"/>
      <c r="MT690" s="6"/>
      <c r="PG690" s="6"/>
      <c r="PH690" s="6"/>
      <c r="PM690" s="6"/>
      <c r="PQ690" s="6"/>
      <c r="PR690" s="6"/>
      <c r="PW690" s="6"/>
      <c r="QH690" s="6"/>
      <c r="QI690" s="6"/>
      <c r="QN690" s="6"/>
      <c r="QR690" s="6"/>
      <c r="QS690" s="6"/>
      <c r="QX690" s="6"/>
      <c r="RI690" s="6"/>
      <c r="RJ690" s="6"/>
      <c r="RO690" s="6"/>
      <c r="RS690" s="6"/>
      <c r="RT690" s="6"/>
      <c r="RY690" s="6"/>
      <c r="SJ690" s="6"/>
      <c r="SK690" s="6"/>
      <c r="SP690" s="6"/>
      <c r="ST690" s="6"/>
      <c r="SU690" s="6"/>
      <c r="SZ690" s="6"/>
    </row>
    <row r="691" spans="12:520" x14ac:dyDescent="0.3">
      <c r="L691" s="8"/>
      <c r="M691" s="8"/>
      <c r="N691" s="8"/>
      <c r="S691" s="6"/>
      <c r="T691" s="6"/>
      <c r="U691" s="6"/>
      <c r="W691" s="6"/>
      <c r="AA691" s="6"/>
      <c r="AB691" s="6"/>
      <c r="AH691" s="6"/>
      <c r="AS691" s="6"/>
      <c r="AT691" s="6"/>
      <c r="AY691" s="6"/>
      <c r="BC691" s="6"/>
      <c r="BD691" s="6"/>
      <c r="BI691" s="6"/>
      <c r="BN691" s="8"/>
      <c r="BO691" s="8"/>
      <c r="BP691" s="8"/>
      <c r="BT691" s="6"/>
      <c r="BU691" s="6"/>
      <c r="BZ691" s="6"/>
      <c r="CD691" s="6"/>
      <c r="CE691" s="6"/>
      <c r="CJ691" s="6"/>
      <c r="DP691" s="8"/>
      <c r="DQ691" s="8"/>
      <c r="DR691" s="8"/>
      <c r="DV691" s="6"/>
      <c r="DW691" s="6"/>
      <c r="EB691" s="6"/>
      <c r="EF691" s="6"/>
      <c r="EG691" s="6"/>
      <c r="EL691" s="6"/>
      <c r="EQ691" s="8"/>
      <c r="ER691" s="8"/>
      <c r="ES691" s="8"/>
      <c r="EW691" s="6"/>
      <c r="EX691" s="6"/>
      <c r="FC691" s="6"/>
      <c r="FG691" s="6"/>
      <c r="FH691" s="6"/>
      <c r="FM691" s="6"/>
      <c r="FR691" s="8"/>
      <c r="FS691" s="8"/>
      <c r="FT691" s="8"/>
      <c r="FX691" s="6"/>
      <c r="FY691" s="6"/>
      <c r="GD691" s="6"/>
      <c r="GH691" s="6"/>
      <c r="GI691" s="6"/>
      <c r="GN691" s="6"/>
      <c r="GS691" s="8"/>
      <c r="GT691" s="8"/>
      <c r="GU691" s="8"/>
      <c r="GY691" s="6"/>
      <c r="GZ691" s="6"/>
      <c r="HE691" s="6"/>
      <c r="HI691" s="6"/>
      <c r="HJ691" s="6"/>
      <c r="HO691" s="6"/>
      <c r="JV691" s="8"/>
      <c r="JW691" s="8"/>
      <c r="JX691" s="8"/>
      <c r="KB691" s="6"/>
      <c r="KC691" s="6"/>
      <c r="KH691" s="6"/>
      <c r="KL691" s="6"/>
      <c r="KM691" s="6"/>
      <c r="KR691" s="6"/>
      <c r="KW691" s="8"/>
      <c r="KX691" s="8"/>
      <c r="KY691" s="8"/>
      <c r="LC691" s="6"/>
      <c r="LD691" s="6"/>
      <c r="LI691" s="6"/>
      <c r="LM691" s="6"/>
      <c r="LN691" s="6"/>
      <c r="LS691" s="6"/>
      <c r="LX691" s="8"/>
      <c r="LY691" s="8"/>
      <c r="LZ691" s="8"/>
      <c r="MD691" s="6"/>
      <c r="ME691" s="6"/>
      <c r="MJ691" s="6"/>
      <c r="MN691" s="6"/>
      <c r="MO691" s="6"/>
      <c r="MT691" s="6"/>
      <c r="PA691" s="8"/>
      <c r="PB691" s="8"/>
      <c r="PC691" s="8"/>
      <c r="PG691" s="6"/>
      <c r="PH691" s="6"/>
      <c r="PM691" s="6"/>
      <c r="PQ691" s="6"/>
      <c r="PR691" s="6"/>
      <c r="PW691" s="6"/>
      <c r="QB691" s="8"/>
      <c r="QC691" s="8"/>
      <c r="QD691" s="8"/>
      <c r="QH691" s="6"/>
      <c r="QI691" s="6"/>
      <c r="QN691" s="6"/>
      <c r="QR691" s="6"/>
      <c r="QS691" s="6"/>
      <c r="QX691" s="6"/>
      <c r="RC691" s="8"/>
      <c r="RD691" s="8"/>
      <c r="RE691" s="8"/>
      <c r="RI691" s="6"/>
      <c r="RJ691" s="6"/>
      <c r="RO691" s="6"/>
      <c r="RS691" s="6"/>
      <c r="RT691" s="6"/>
      <c r="RY691" s="6"/>
      <c r="SD691" s="8"/>
      <c r="SE691" s="8"/>
      <c r="SF691" s="8"/>
      <c r="SJ691" s="6"/>
      <c r="SK691" s="6"/>
      <c r="SP691" s="6"/>
      <c r="ST691" s="6"/>
      <c r="SU691" s="6"/>
      <c r="SZ691" s="6"/>
    </row>
    <row r="692" spans="12:520" x14ac:dyDescent="0.3">
      <c r="AS692" s="6"/>
    </row>
    <row r="693" spans="12:520" x14ac:dyDescent="0.3">
      <c r="R693" s="6"/>
      <c r="S693" s="7"/>
      <c r="T693" s="7"/>
      <c r="Z693" s="6"/>
      <c r="AA693" s="7"/>
      <c r="AG693" s="6"/>
      <c r="AS693" s="6"/>
      <c r="AX693" s="6"/>
      <c r="BB693" s="6"/>
      <c r="BC693" s="7"/>
      <c r="BH693" s="6"/>
      <c r="BS693" s="6"/>
      <c r="BT693" s="7"/>
      <c r="BY693" s="6"/>
      <c r="CC693" s="6"/>
      <c r="CD693" s="7"/>
      <c r="CI693" s="6"/>
      <c r="CT693" s="6"/>
      <c r="CU693" s="7"/>
      <c r="CZ693" s="6"/>
      <c r="DD693" s="6"/>
      <c r="DE693" s="7"/>
      <c r="DJ693" s="6"/>
      <c r="DU693" s="6"/>
      <c r="DV693" s="7"/>
      <c r="EA693" s="6"/>
      <c r="EE693" s="6"/>
      <c r="EF693" s="7"/>
      <c r="EK693" s="6"/>
      <c r="EV693" s="6"/>
      <c r="EW693" s="7"/>
      <c r="FB693" s="6"/>
      <c r="FF693" s="6"/>
      <c r="FG693" s="7"/>
      <c r="FL693" s="6"/>
      <c r="FW693" s="6"/>
      <c r="FX693" s="7"/>
      <c r="GC693" s="6"/>
      <c r="GG693" s="6"/>
      <c r="GH693" s="7"/>
      <c r="GM693" s="6"/>
      <c r="GX693" s="6"/>
      <c r="GY693" s="7"/>
      <c r="HD693" s="6"/>
      <c r="HH693" s="6"/>
      <c r="HI693" s="7"/>
      <c r="HN693" s="6"/>
      <c r="HY693" s="6"/>
      <c r="HZ693" s="7"/>
      <c r="IE693" s="6"/>
      <c r="II693" s="6"/>
      <c r="IJ693" s="7"/>
      <c r="IO693" s="6"/>
      <c r="IZ693" s="6"/>
      <c r="JA693" s="7"/>
      <c r="JF693" s="6"/>
      <c r="JJ693" s="6"/>
      <c r="JK693" s="7"/>
      <c r="JP693" s="6"/>
      <c r="KA693" s="6"/>
      <c r="KB693" s="7"/>
      <c r="KG693" s="6"/>
      <c r="KK693" s="6"/>
      <c r="KL693" s="7"/>
      <c r="KQ693" s="6"/>
      <c r="LB693" s="6"/>
      <c r="LC693" s="7"/>
      <c r="LH693" s="6"/>
      <c r="LL693" s="6"/>
      <c r="LM693" s="7"/>
      <c r="LR693" s="6"/>
      <c r="MC693" s="6"/>
      <c r="MD693" s="7"/>
      <c r="MI693" s="6"/>
      <c r="MM693" s="6"/>
      <c r="MN693" s="7"/>
      <c r="MS693" s="6"/>
      <c r="ND693" s="6"/>
      <c r="NE693" s="7"/>
      <c r="NJ693" s="6"/>
      <c r="NN693" s="6"/>
      <c r="NO693" s="7"/>
      <c r="NT693" s="6"/>
      <c r="OE693" s="6"/>
      <c r="OF693" s="7"/>
      <c r="OK693" s="6"/>
      <c r="OO693" s="6"/>
      <c r="OP693" s="7"/>
      <c r="OU693" s="6"/>
      <c r="PF693" s="6"/>
      <c r="PG693" s="7"/>
      <c r="PL693" s="6"/>
      <c r="PP693" s="6"/>
      <c r="PQ693" s="7"/>
      <c r="PV693" s="6"/>
      <c r="QG693" s="6"/>
      <c r="QH693" s="7"/>
      <c r="QM693" s="6"/>
      <c r="QQ693" s="6"/>
      <c r="QR693" s="7"/>
      <c r="QW693" s="6"/>
      <c r="RH693" s="6"/>
      <c r="RI693" s="7"/>
      <c r="RN693" s="6"/>
      <c r="RR693" s="6"/>
      <c r="RS693" s="7"/>
      <c r="RX693" s="6"/>
      <c r="SI693" s="6"/>
      <c r="SJ693" s="7"/>
      <c r="SO693" s="6"/>
      <c r="SS693" s="6"/>
      <c r="ST693" s="7"/>
      <c r="SY693" s="6"/>
    </row>
    <row r="694" spans="12:520" x14ac:dyDescent="0.3">
      <c r="R694" s="5"/>
      <c r="S694" s="6"/>
      <c r="T694" s="6"/>
      <c r="U694" s="7"/>
      <c r="W694" s="7"/>
      <c r="Z694" s="5"/>
      <c r="AA694" s="6"/>
      <c r="AB694" s="7"/>
      <c r="AG694" s="5"/>
      <c r="AH694" s="7"/>
      <c r="AS694" s="6"/>
      <c r="AT694" s="7"/>
      <c r="AW694" s="5"/>
      <c r="AY694" s="6"/>
      <c r="BC694" s="6"/>
      <c r="BD694" s="6"/>
      <c r="BI694" s="6"/>
      <c r="BT694" s="6"/>
      <c r="BU694" s="6"/>
      <c r="BZ694" s="6"/>
      <c r="CD694" s="6"/>
      <c r="CE694" s="6"/>
      <c r="CJ694" s="6"/>
      <c r="CU694" s="6"/>
      <c r="CV694" s="6"/>
      <c r="DA694" s="6"/>
      <c r="DE694" s="6"/>
      <c r="DF694" s="6"/>
      <c r="DK694" s="6"/>
      <c r="DV694" s="6"/>
      <c r="DW694" s="6"/>
      <c r="EB694" s="6"/>
      <c r="EF694" s="6"/>
      <c r="EG694" s="6"/>
      <c r="EL694" s="6"/>
      <c r="EW694" s="6"/>
      <c r="EX694" s="6"/>
      <c r="FC694" s="6"/>
      <c r="FG694" s="6"/>
      <c r="FH694" s="6"/>
      <c r="FM694" s="6"/>
      <c r="FX694" s="6"/>
      <c r="FY694" s="6"/>
      <c r="GD694" s="6"/>
      <c r="GH694" s="6"/>
      <c r="GI694" s="6"/>
      <c r="GN694" s="6"/>
      <c r="GY694" s="6"/>
      <c r="GZ694" s="6"/>
      <c r="HE694" s="6"/>
      <c r="HI694" s="6"/>
      <c r="HJ694" s="6"/>
      <c r="HO694" s="6"/>
      <c r="HZ694" s="6"/>
      <c r="IA694" s="6"/>
      <c r="IF694" s="6"/>
      <c r="IJ694" s="6"/>
      <c r="IK694" s="6"/>
      <c r="IP694" s="6"/>
      <c r="JA694" s="6"/>
      <c r="JB694" s="6"/>
      <c r="JG694" s="6"/>
      <c r="JK694" s="6"/>
      <c r="JL694" s="6"/>
      <c r="JQ694" s="6"/>
      <c r="KB694" s="6"/>
      <c r="KC694" s="6"/>
      <c r="KH694" s="6"/>
      <c r="KL694" s="6"/>
      <c r="KM694" s="6"/>
      <c r="KR694" s="6"/>
      <c r="LC694" s="6"/>
      <c r="LD694" s="6"/>
      <c r="LI694" s="6"/>
      <c r="LM694" s="6"/>
      <c r="LN694" s="6"/>
      <c r="LS694" s="6"/>
      <c r="MD694" s="6"/>
      <c r="ME694" s="6"/>
      <c r="MJ694" s="6"/>
      <c r="MN694" s="6"/>
      <c r="MO694" s="6"/>
      <c r="MT694" s="6"/>
      <c r="MY694" s="8"/>
      <c r="MZ694" s="8"/>
      <c r="NA694" s="8"/>
      <c r="NE694" s="6"/>
      <c r="NF694" s="6"/>
      <c r="NK694" s="6"/>
      <c r="NO694" s="6"/>
      <c r="NP694" s="6"/>
      <c r="NU694" s="6"/>
      <c r="OF694" s="6"/>
      <c r="OG694" s="6"/>
      <c r="OL694" s="6"/>
      <c r="OP694" s="6"/>
      <c r="OQ694" s="6"/>
      <c r="OV694" s="6"/>
      <c r="PG694" s="6"/>
      <c r="PH694" s="6"/>
      <c r="PM694" s="6"/>
      <c r="PQ694" s="6"/>
      <c r="PR694" s="6"/>
      <c r="PW694" s="6"/>
      <c r="QH694" s="6"/>
      <c r="QI694" s="6"/>
      <c r="QN694" s="6"/>
      <c r="QR694" s="6"/>
      <c r="QS694" s="6"/>
      <c r="QX694" s="6"/>
      <c r="RI694" s="6"/>
      <c r="RJ694" s="6"/>
      <c r="RO694" s="6"/>
      <c r="RS694" s="6"/>
      <c r="RT694" s="6"/>
      <c r="RY694" s="6"/>
      <c r="SJ694" s="6"/>
      <c r="SK694" s="6"/>
      <c r="SP694" s="6"/>
      <c r="ST694" s="6"/>
      <c r="SU694" s="6"/>
      <c r="SZ694" s="6"/>
    </row>
    <row r="695" spans="12:520" x14ac:dyDescent="0.3">
      <c r="R695" s="5"/>
      <c r="S695" s="6"/>
      <c r="T695" s="6"/>
      <c r="U695" s="7"/>
      <c r="W695" s="6"/>
      <c r="Z695" s="5"/>
      <c r="AA695" s="6"/>
      <c r="AB695" s="7"/>
      <c r="AG695" s="5"/>
      <c r="AH695" s="6"/>
      <c r="AM695" s="8"/>
      <c r="AN695" s="8"/>
      <c r="AO695" s="8"/>
      <c r="AS695" s="6"/>
      <c r="AT695" s="7"/>
      <c r="AW695" s="5"/>
      <c r="AY695" s="7"/>
      <c r="BC695" s="6"/>
      <c r="BD695" s="6"/>
      <c r="BI695" s="6"/>
      <c r="BT695" s="6"/>
      <c r="BU695" s="6"/>
      <c r="BZ695" s="6"/>
      <c r="CD695" s="6"/>
      <c r="CE695" s="6"/>
      <c r="CJ695" s="6"/>
      <c r="CU695" s="6"/>
      <c r="CV695" s="6"/>
      <c r="DA695" s="6"/>
      <c r="DE695" s="6"/>
      <c r="DF695" s="6"/>
      <c r="DK695" s="6"/>
      <c r="DV695" s="6"/>
      <c r="DW695" s="6"/>
      <c r="EB695" s="6"/>
      <c r="EF695" s="6"/>
      <c r="EG695" s="6"/>
      <c r="EL695" s="6"/>
      <c r="EW695" s="6"/>
      <c r="EX695" s="6"/>
      <c r="FC695" s="6"/>
      <c r="FG695" s="6"/>
      <c r="FH695" s="6"/>
      <c r="FM695" s="6"/>
      <c r="FX695" s="6"/>
      <c r="FY695" s="6"/>
      <c r="GD695" s="6"/>
      <c r="GH695" s="6"/>
      <c r="GI695" s="6"/>
      <c r="GN695" s="6"/>
      <c r="GY695" s="6"/>
      <c r="GZ695" s="6"/>
      <c r="HE695" s="6"/>
      <c r="HI695" s="6"/>
      <c r="HJ695" s="6"/>
      <c r="HO695" s="6"/>
      <c r="HZ695" s="6"/>
      <c r="IA695" s="6"/>
      <c r="IF695" s="6"/>
      <c r="IJ695" s="6"/>
      <c r="IK695" s="6"/>
      <c r="IP695" s="6"/>
      <c r="JA695" s="6"/>
      <c r="JB695" s="6"/>
      <c r="JG695" s="6"/>
      <c r="JK695" s="6"/>
      <c r="JL695" s="6"/>
      <c r="JQ695" s="6"/>
      <c r="KB695" s="6"/>
      <c r="KC695" s="6"/>
      <c r="KH695" s="6"/>
      <c r="KL695" s="6"/>
      <c r="KM695" s="6"/>
      <c r="KR695" s="6"/>
      <c r="LC695" s="6"/>
      <c r="LD695" s="6"/>
      <c r="LI695" s="6"/>
      <c r="LM695" s="6"/>
      <c r="LN695" s="6"/>
      <c r="LS695" s="6"/>
      <c r="MD695" s="6"/>
      <c r="ME695" s="6"/>
      <c r="MJ695" s="6"/>
      <c r="MN695" s="6"/>
      <c r="MO695" s="6"/>
      <c r="MT695" s="6"/>
      <c r="OF695" s="6"/>
      <c r="OG695" s="6"/>
      <c r="OL695" s="6"/>
      <c r="OP695" s="6"/>
      <c r="OQ695" s="6"/>
      <c r="OV695" s="6"/>
      <c r="PG695" s="6"/>
      <c r="PH695" s="6"/>
      <c r="PM695" s="6"/>
      <c r="PQ695" s="6"/>
      <c r="PR695" s="6"/>
      <c r="PW695" s="6"/>
      <c r="QH695" s="6"/>
      <c r="QI695" s="6"/>
      <c r="QN695" s="6"/>
      <c r="QR695" s="6"/>
      <c r="QS695" s="6"/>
      <c r="QX695" s="6"/>
      <c r="RI695" s="6"/>
      <c r="RJ695" s="6"/>
      <c r="RO695" s="6"/>
      <c r="RS695" s="6"/>
      <c r="RT695" s="6"/>
      <c r="RY695" s="6"/>
      <c r="SJ695" s="6"/>
      <c r="SK695" s="6"/>
      <c r="SP695" s="6"/>
      <c r="ST695" s="6"/>
      <c r="SU695" s="6"/>
      <c r="SZ695" s="6"/>
    </row>
    <row r="696" spans="12:520" x14ac:dyDescent="0.3">
      <c r="R696" s="5"/>
      <c r="S696" s="6"/>
      <c r="T696" s="6"/>
      <c r="U696" s="7"/>
      <c r="W696" s="6"/>
      <c r="Z696" s="5"/>
      <c r="AA696" s="6"/>
      <c r="AB696" s="7"/>
      <c r="AG696" s="5"/>
      <c r="AH696" s="6"/>
      <c r="AT696" s="7"/>
      <c r="AW696" s="5"/>
      <c r="AY696" s="6"/>
      <c r="BC696" s="6"/>
      <c r="BD696" s="6"/>
      <c r="BI696" s="6"/>
      <c r="BT696" s="6"/>
      <c r="BU696" s="6"/>
      <c r="BZ696" s="6"/>
      <c r="CD696" s="6"/>
      <c r="CE696" s="6"/>
      <c r="CJ696" s="6"/>
      <c r="CO696" s="8"/>
      <c r="CP696" s="8"/>
      <c r="CQ696" s="8"/>
      <c r="CU696" s="6"/>
      <c r="CV696" s="6"/>
      <c r="DA696" s="6"/>
      <c r="DE696" s="6"/>
      <c r="DF696" s="6"/>
      <c r="DK696" s="6"/>
      <c r="DV696" s="6"/>
      <c r="DW696" s="6"/>
      <c r="EB696" s="6"/>
      <c r="EF696" s="6"/>
      <c r="EG696" s="6"/>
      <c r="EL696" s="6"/>
      <c r="EW696" s="6"/>
      <c r="EX696" s="6"/>
      <c r="FC696" s="6"/>
      <c r="FG696" s="6"/>
      <c r="FH696" s="6"/>
      <c r="FM696" s="6"/>
      <c r="FX696" s="6"/>
      <c r="FY696" s="6"/>
      <c r="GD696" s="6"/>
      <c r="GH696" s="6"/>
      <c r="GI696" s="6"/>
      <c r="GN696" s="6"/>
      <c r="GY696" s="6"/>
      <c r="GZ696" s="6"/>
      <c r="HE696" s="6"/>
      <c r="HI696" s="6"/>
      <c r="HJ696" s="6"/>
      <c r="HO696" s="6"/>
      <c r="HZ696" s="6"/>
      <c r="IA696" s="6"/>
      <c r="IF696" s="6"/>
      <c r="IJ696" s="6"/>
      <c r="IK696" s="6"/>
      <c r="IP696" s="6"/>
      <c r="JA696" s="6"/>
      <c r="JB696" s="6"/>
      <c r="JG696" s="6"/>
      <c r="JK696" s="6"/>
      <c r="JL696" s="6"/>
      <c r="JQ696" s="6"/>
      <c r="KB696" s="6"/>
      <c r="KC696" s="6"/>
      <c r="KH696" s="6"/>
      <c r="KL696" s="6"/>
      <c r="KM696" s="6"/>
      <c r="KR696" s="6"/>
      <c r="LC696" s="6"/>
      <c r="LD696" s="6"/>
      <c r="LI696" s="6"/>
      <c r="LM696" s="6"/>
      <c r="LN696" s="6"/>
      <c r="LS696" s="6"/>
      <c r="MD696" s="6"/>
      <c r="ME696" s="6"/>
      <c r="MJ696" s="6"/>
      <c r="MN696" s="6"/>
      <c r="MO696" s="6"/>
      <c r="MT696" s="6"/>
      <c r="OF696" s="6"/>
      <c r="OG696" s="6"/>
      <c r="OL696" s="6"/>
      <c r="OP696" s="6"/>
      <c r="OQ696" s="6"/>
      <c r="OV696" s="6"/>
      <c r="PG696" s="6"/>
      <c r="PH696" s="6"/>
      <c r="PM696" s="6"/>
      <c r="PQ696" s="6"/>
      <c r="PR696" s="6"/>
      <c r="PW696" s="6"/>
      <c r="QH696" s="6"/>
      <c r="QI696" s="6"/>
      <c r="QN696" s="6"/>
      <c r="QR696" s="6"/>
      <c r="QS696" s="6"/>
      <c r="QX696" s="6"/>
      <c r="RI696" s="6"/>
      <c r="RJ696" s="6"/>
      <c r="RO696" s="6"/>
      <c r="RS696" s="6"/>
      <c r="RT696" s="6"/>
      <c r="RY696" s="6"/>
      <c r="SJ696" s="6"/>
      <c r="SK696" s="6"/>
      <c r="SP696" s="6"/>
      <c r="ST696" s="6"/>
      <c r="SU696" s="6"/>
      <c r="SZ696" s="6"/>
    </row>
    <row r="697" spans="12:520" x14ac:dyDescent="0.3">
      <c r="R697" s="5"/>
      <c r="S697" s="6"/>
      <c r="T697" s="6"/>
      <c r="U697" s="7"/>
      <c r="W697" s="7"/>
      <c r="Z697" s="5"/>
      <c r="AA697" s="6"/>
      <c r="AB697" s="7"/>
      <c r="AG697" s="5"/>
      <c r="AH697" s="7"/>
      <c r="AR697" s="6"/>
      <c r="AS697" s="7"/>
      <c r="AT697" s="7"/>
      <c r="AW697" s="5"/>
      <c r="AY697" s="6"/>
      <c r="BC697" s="6"/>
      <c r="BD697" s="6"/>
      <c r="BI697" s="6"/>
      <c r="BT697" s="6"/>
      <c r="BU697" s="6"/>
      <c r="BZ697" s="6"/>
      <c r="CD697" s="6"/>
      <c r="CE697" s="6"/>
      <c r="CJ697" s="6"/>
      <c r="DV697" s="6"/>
      <c r="DW697" s="6"/>
      <c r="EB697" s="6"/>
      <c r="EF697" s="6"/>
      <c r="EG697" s="6"/>
      <c r="EL697" s="6"/>
      <c r="EW697" s="6"/>
      <c r="EX697" s="6"/>
      <c r="FC697" s="6"/>
      <c r="FG697" s="6"/>
      <c r="FH697" s="6"/>
      <c r="FM697" s="6"/>
      <c r="FX697" s="6"/>
      <c r="FY697" s="6"/>
      <c r="GD697" s="6"/>
      <c r="GH697" s="6"/>
      <c r="GI697" s="6"/>
      <c r="GN697" s="6"/>
      <c r="GY697" s="6"/>
      <c r="GZ697" s="6"/>
      <c r="HE697" s="6"/>
      <c r="HI697" s="6"/>
      <c r="HJ697" s="6"/>
      <c r="HO697" s="6"/>
      <c r="HZ697" s="6"/>
      <c r="IA697" s="6"/>
      <c r="IF697" s="6"/>
      <c r="IJ697" s="6"/>
      <c r="IK697" s="6"/>
      <c r="IP697" s="6"/>
      <c r="JA697" s="6"/>
      <c r="JB697" s="6"/>
      <c r="JG697" s="6"/>
      <c r="JK697" s="6"/>
      <c r="JL697" s="6"/>
      <c r="JQ697" s="6"/>
      <c r="KB697" s="6"/>
      <c r="KC697" s="6"/>
      <c r="KH697" s="6"/>
      <c r="KL697" s="6"/>
      <c r="KM697" s="6"/>
      <c r="KR697" s="6"/>
      <c r="LC697" s="6"/>
      <c r="LD697" s="6"/>
      <c r="LI697" s="6"/>
      <c r="LM697" s="6"/>
      <c r="LN697" s="6"/>
      <c r="LS697" s="6"/>
      <c r="MD697" s="6"/>
      <c r="ME697" s="6"/>
      <c r="MJ697" s="6"/>
      <c r="MN697" s="6"/>
      <c r="MO697" s="6"/>
      <c r="MT697" s="6"/>
      <c r="OF697" s="6"/>
      <c r="OG697" s="6"/>
      <c r="OL697" s="6"/>
      <c r="OP697" s="6"/>
      <c r="OQ697" s="6"/>
      <c r="OV697" s="6"/>
      <c r="PG697" s="6"/>
      <c r="PH697" s="6"/>
      <c r="PM697" s="6"/>
      <c r="PQ697" s="6"/>
      <c r="PR697" s="6"/>
      <c r="PW697" s="6"/>
      <c r="QH697" s="6"/>
      <c r="QI697" s="6"/>
      <c r="QN697" s="6"/>
      <c r="QR697" s="6"/>
      <c r="QS697" s="6"/>
      <c r="QX697" s="6"/>
      <c r="RI697" s="6"/>
      <c r="RJ697" s="6"/>
      <c r="RO697" s="6"/>
      <c r="RS697" s="6"/>
      <c r="RT697" s="6"/>
      <c r="RY697" s="6"/>
      <c r="SJ697" s="6"/>
      <c r="SK697" s="6"/>
      <c r="SP697" s="6"/>
      <c r="ST697" s="6"/>
      <c r="SU697" s="6"/>
      <c r="SZ697" s="6"/>
    </row>
    <row r="698" spans="12:520" x14ac:dyDescent="0.3">
      <c r="R698" s="5"/>
      <c r="S698" s="6"/>
      <c r="T698" s="6"/>
      <c r="U698" s="7"/>
      <c r="W698" s="6"/>
      <c r="Z698" s="5"/>
      <c r="AA698" s="6"/>
      <c r="AB698" s="7"/>
      <c r="AG698" s="5"/>
      <c r="AH698" s="6"/>
      <c r="AQ698" s="5"/>
      <c r="AR698" s="5"/>
      <c r="AS698" s="6"/>
      <c r="AT698" s="7"/>
      <c r="AW698" s="5"/>
      <c r="AY698" s="7"/>
      <c r="BC698" s="6"/>
      <c r="BD698" s="6"/>
      <c r="BI698" s="6"/>
      <c r="BT698" s="6"/>
      <c r="BU698" s="6"/>
      <c r="BZ698" s="6"/>
      <c r="CD698" s="6"/>
      <c r="CE698" s="6"/>
      <c r="CJ698" s="6"/>
      <c r="DV698" s="6"/>
      <c r="DW698" s="6"/>
      <c r="EB698" s="6"/>
      <c r="EF698" s="6"/>
      <c r="EG698" s="6"/>
      <c r="EL698" s="6"/>
      <c r="EW698" s="6"/>
      <c r="EX698" s="6"/>
      <c r="FC698" s="6"/>
      <c r="FG698" s="6"/>
      <c r="FH698" s="6"/>
      <c r="FM698" s="6"/>
      <c r="FX698" s="6"/>
      <c r="FY698" s="6"/>
      <c r="GD698" s="6"/>
      <c r="GH698" s="6"/>
      <c r="GI698" s="6"/>
      <c r="GN698" s="6"/>
      <c r="GY698" s="6"/>
      <c r="GZ698" s="6"/>
      <c r="HE698" s="6"/>
      <c r="HI698" s="6"/>
      <c r="HJ698" s="6"/>
      <c r="HO698" s="6"/>
      <c r="HT698" s="8"/>
      <c r="HU698" s="8"/>
      <c r="HV698" s="8"/>
      <c r="HZ698" s="6"/>
      <c r="IA698" s="6"/>
      <c r="IF698" s="6"/>
      <c r="IJ698" s="6"/>
      <c r="IK698" s="6"/>
      <c r="IP698" s="6"/>
      <c r="JA698" s="6"/>
      <c r="JB698" s="6"/>
      <c r="JG698" s="6"/>
      <c r="JK698" s="6"/>
      <c r="JL698" s="6"/>
      <c r="JQ698" s="6"/>
      <c r="KB698" s="6"/>
      <c r="KC698" s="6"/>
      <c r="KH698" s="6"/>
      <c r="KL698" s="6"/>
      <c r="KM698" s="6"/>
      <c r="KR698" s="6"/>
      <c r="LC698" s="6"/>
      <c r="LD698" s="6"/>
      <c r="LI698" s="6"/>
      <c r="LM698" s="6"/>
      <c r="LN698" s="6"/>
      <c r="LS698" s="6"/>
      <c r="MD698" s="6"/>
      <c r="ME698" s="6"/>
      <c r="MJ698" s="6"/>
      <c r="MN698" s="6"/>
      <c r="MO698" s="6"/>
      <c r="MT698" s="6"/>
      <c r="OF698" s="6"/>
      <c r="OG698" s="6"/>
      <c r="OL698" s="6"/>
      <c r="OP698" s="6"/>
      <c r="OQ698" s="6"/>
      <c r="OV698" s="6"/>
      <c r="PG698" s="6"/>
      <c r="PH698" s="6"/>
      <c r="PM698" s="6"/>
      <c r="PQ698" s="6"/>
      <c r="PR698" s="6"/>
      <c r="PW698" s="6"/>
      <c r="QH698" s="6"/>
      <c r="QI698" s="6"/>
      <c r="QN698" s="6"/>
      <c r="QR698" s="6"/>
      <c r="QS698" s="6"/>
      <c r="QX698" s="6"/>
      <c r="RI698" s="6"/>
      <c r="RJ698" s="6"/>
      <c r="RO698" s="6"/>
      <c r="RS698" s="6"/>
      <c r="RT698" s="6"/>
      <c r="RY698" s="6"/>
      <c r="SJ698" s="6"/>
      <c r="SK698" s="6"/>
      <c r="SP698" s="6"/>
      <c r="ST698" s="6"/>
      <c r="SU698" s="6"/>
      <c r="SZ698" s="6"/>
    </row>
    <row r="699" spans="12:520" x14ac:dyDescent="0.3">
      <c r="R699" s="5"/>
      <c r="S699" s="6"/>
      <c r="T699" s="6"/>
      <c r="U699" s="7"/>
      <c r="W699" s="6"/>
      <c r="Z699" s="5"/>
      <c r="AA699" s="6"/>
      <c r="AB699" s="7"/>
      <c r="AG699" s="5"/>
      <c r="AH699" s="6"/>
      <c r="AQ699" s="5"/>
      <c r="AR699" s="5"/>
      <c r="AS699" s="6"/>
      <c r="AT699" s="7"/>
      <c r="AW699" s="5"/>
      <c r="AY699" s="6"/>
      <c r="BC699" s="6"/>
      <c r="BD699" s="6"/>
      <c r="BI699" s="6"/>
      <c r="BT699" s="6"/>
      <c r="BU699" s="6"/>
      <c r="BZ699" s="6"/>
      <c r="CD699" s="6"/>
      <c r="CE699" s="6"/>
      <c r="CJ699" s="6"/>
      <c r="DV699" s="6"/>
      <c r="DW699" s="6"/>
      <c r="EB699" s="6"/>
      <c r="EF699" s="6"/>
      <c r="EG699" s="6"/>
      <c r="EL699" s="6"/>
      <c r="EW699" s="6"/>
      <c r="EX699" s="6"/>
      <c r="FC699" s="6"/>
      <c r="FG699" s="6"/>
      <c r="FH699" s="6"/>
      <c r="FM699" s="6"/>
      <c r="FX699" s="6"/>
      <c r="FY699" s="6"/>
      <c r="GD699" s="6"/>
      <c r="GH699" s="6"/>
      <c r="GI699" s="6"/>
      <c r="GN699" s="6"/>
      <c r="GY699" s="6"/>
      <c r="GZ699" s="6"/>
      <c r="HE699" s="6"/>
      <c r="HI699" s="6"/>
      <c r="HJ699" s="6"/>
      <c r="HO699" s="6"/>
      <c r="JA699" s="6"/>
      <c r="JB699" s="6"/>
      <c r="JG699" s="6"/>
      <c r="JK699" s="6"/>
      <c r="JL699" s="6"/>
      <c r="JQ699" s="6"/>
      <c r="KB699" s="6"/>
      <c r="KC699" s="6"/>
      <c r="KH699" s="6"/>
      <c r="KL699" s="6"/>
      <c r="KM699" s="6"/>
      <c r="KR699" s="6"/>
      <c r="LC699" s="6"/>
      <c r="LD699" s="6"/>
      <c r="LI699" s="6"/>
      <c r="LM699" s="6"/>
      <c r="LN699" s="6"/>
      <c r="LS699" s="6"/>
      <c r="MD699" s="6"/>
      <c r="ME699" s="6"/>
      <c r="MJ699" s="6"/>
      <c r="MN699" s="6"/>
      <c r="MO699" s="6"/>
      <c r="MT699" s="6"/>
      <c r="OF699" s="6"/>
      <c r="OG699" s="6"/>
      <c r="OL699" s="6"/>
      <c r="OP699" s="6"/>
      <c r="OQ699" s="6"/>
      <c r="OV699" s="6"/>
      <c r="PG699" s="6"/>
      <c r="PH699" s="6"/>
      <c r="PM699" s="6"/>
      <c r="PQ699" s="6"/>
      <c r="PR699" s="6"/>
      <c r="PW699" s="6"/>
      <c r="QH699" s="6"/>
      <c r="QI699" s="6"/>
      <c r="QN699" s="6"/>
      <c r="QR699" s="6"/>
      <c r="QS699" s="6"/>
      <c r="QX699" s="6"/>
      <c r="RI699" s="6"/>
      <c r="RJ699" s="6"/>
      <c r="RO699" s="6"/>
      <c r="RS699" s="6"/>
      <c r="RT699" s="6"/>
      <c r="RY699" s="6"/>
      <c r="SJ699" s="6"/>
      <c r="SK699" s="6"/>
      <c r="SP699" s="6"/>
      <c r="ST699" s="6"/>
      <c r="SU699" s="6"/>
      <c r="SZ699" s="6"/>
    </row>
    <row r="700" spans="12:520" x14ac:dyDescent="0.3">
      <c r="R700" s="5"/>
      <c r="S700" s="6"/>
      <c r="T700" s="6"/>
      <c r="U700" s="7"/>
      <c r="W700" s="6"/>
      <c r="Z700" s="5"/>
      <c r="AA700" s="6"/>
      <c r="AB700" s="7"/>
      <c r="AG700" s="5"/>
      <c r="AH700" s="6"/>
      <c r="AQ700" s="5"/>
      <c r="AR700" s="5"/>
      <c r="AS700" s="6"/>
      <c r="AT700" s="7"/>
      <c r="AW700" s="5"/>
      <c r="AY700" s="6"/>
      <c r="BC700" s="6"/>
      <c r="BD700" s="6"/>
      <c r="BI700" s="6"/>
      <c r="BT700" s="6"/>
      <c r="BU700" s="6"/>
      <c r="BZ700" s="6"/>
      <c r="CD700" s="6"/>
      <c r="CE700" s="6"/>
      <c r="CJ700" s="6"/>
      <c r="DV700" s="6"/>
      <c r="DW700" s="6"/>
      <c r="EB700" s="6"/>
      <c r="EF700" s="6"/>
      <c r="EG700" s="6"/>
      <c r="EL700" s="6"/>
      <c r="EW700" s="6"/>
      <c r="EX700" s="6"/>
      <c r="FC700" s="6"/>
      <c r="FG700" s="6"/>
      <c r="FH700" s="6"/>
      <c r="FM700" s="6"/>
      <c r="FX700" s="6"/>
      <c r="FY700" s="6"/>
      <c r="GD700" s="6"/>
      <c r="GH700" s="6"/>
      <c r="GI700" s="6"/>
      <c r="GN700" s="6"/>
      <c r="GY700" s="6"/>
      <c r="GZ700" s="6"/>
      <c r="HE700" s="6"/>
      <c r="HI700" s="6"/>
      <c r="HJ700" s="6"/>
      <c r="HO700" s="6"/>
      <c r="JA700" s="6"/>
      <c r="JB700" s="6"/>
      <c r="JG700" s="6"/>
      <c r="JK700" s="6"/>
      <c r="JL700" s="6"/>
      <c r="JQ700" s="6"/>
      <c r="KB700" s="6"/>
      <c r="KC700" s="6"/>
      <c r="KH700" s="6"/>
      <c r="KL700" s="6"/>
      <c r="KM700" s="6"/>
      <c r="KR700" s="6"/>
      <c r="LC700" s="6"/>
      <c r="LD700" s="6"/>
      <c r="LI700" s="6"/>
      <c r="LM700" s="6"/>
      <c r="LN700" s="6"/>
      <c r="LS700" s="6"/>
      <c r="MD700" s="6"/>
      <c r="ME700" s="6"/>
      <c r="MJ700" s="6"/>
      <c r="MN700" s="6"/>
      <c r="MO700" s="6"/>
      <c r="MT700" s="6"/>
      <c r="NZ700" s="8"/>
      <c r="OA700" s="8"/>
      <c r="OB700" s="8"/>
      <c r="OF700" s="6"/>
      <c r="OG700" s="6"/>
      <c r="OL700" s="6"/>
      <c r="OP700" s="6"/>
      <c r="OQ700" s="6"/>
      <c r="OV700" s="6"/>
      <c r="PG700" s="6"/>
      <c r="PH700" s="6"/>
      <c r="PM700" s="6"/>
      <c r="PQ700" s="6"/>
      <c r="PR700" s="6"/>
      <c r="PW700" s="6"/>
      <c r="QH700" s="6"/>
      <c r="QI700" s="6"/>
      <c r="QN700" s="6"/>
      <c r="QR700" s="6"/>
      <c r="QS700" s="6"/>
      <c r="QX700" s="6"/>
      <c r="RI700" s="6"/>
      <c r="RJ700" s="6"/>
      <c r="RO700" s="6"/>
      <c r="RS700" s="6"/>
      <c r="RT700" s="6"/>
      <c r="RY700" s="6"/>
      <c r="SJ700" s="6"/>
      <c r="SK700" s="6"/>
      <c r="SP700" s="6"/>
      <c r="ST700" s="6"/>
      <c r="SU700" s="6"/>
      <c r="SZ700" s="6"/>
    </row>
    <row r="701" spans="12:520" x14ac:dyDescent="0.3">
      <c r="R701" s="5"/>
      <c r="S701" s="6"/>
      <c r="T701" s="6"/>
      <c r="U701" s="7"/>
      <c r="W701" s="6"/>
      <c r="Z701" s="5"/>
      <c r="AA701" s="6"/>
      <c r="AB701" s="7"/>
      <c r="AG701" s="5"/>
      <c r="AH701" s="6"/>
      <c r="AQ701" s="5"/>
      <c r="AR701" s="5"/>
      <c r="AS701" s="6"/>
      <c r="AT701" s="7"/>
      <c r="AW701" s="5"/>
      <c r="AY701" s="6"/>
      <c r="BC701" s="6"/>
      <c r="BD701" s="6"/>
      <c r="BI701" s="6"/>
      <c r="BT701" s="6"/>
      <c r="BU701" s="6"/>
      <c r="BZ701" s="6"/>
      <c r="CD701" s="6"/>
      <c r="CE701" s="6"/>
      <c r="CJ701" s="6"/>
      <c r="DV701" s="6"/>
      <c r="DW701" s="6"/>
      <c r="EB701" s="6"/>
      <c r="EF701" s="6"/>
      <c r="EG701" s="6"/>
      <c r="EL701" s="6"/>
      <c r="EW701" s="6"/>
      <c r="EX701" s="6"/>
      <c r="FC701" s="6"/>
      <c r="FG701" s="6"/>
      <c r="FH701" s="6"/>
      <c r="FM701" s="6"/>
      <c r="FX701" s="6"/>
      <c r="FY701" s="6"/>
      <c r="GD701" s="6"/>
      <c r="GH701" s="6"/>
      <c r="GI701" s="6"/>
      <c r="GN701" s="6"/>
      <c r="GY701" s="6"/>
      <c r="GZ701" s="6"/>
      <c r="HE701" s="6"/>
      <c r="HI701" s="6"/>
      <c r="HJ701" s="6"/>
      <c r="HO701" s="6"/>
      <c r="JA701" s="6"/>
      <c r="JB701" s="6"/>
      <c r="JG701" s="6"/>
      <c r="JK701" s="6"/>
      <c r="JL701" s="6"/>
      <c r="JQ701" s="6"/>
      <c r="KB701" s="6"/>
      <c r="KC701" s="6"/>
      <c r="KH701" s="6"/>
      <c r="KL701" s="6"/>
      <c r="KM701" s="6"/>
      <c r="KR701" s="6"/>
      <c r="LC701" s="6"/>
      <c r="LD701" s="6"/>
      <c r="LI701" s="6"/>
      <c r="LM701" s="6"/>
      <c r="LN701" s="6"/>
      <c r="LS701" s="6"/>
      <c r="MD701" s="6"/>
      <c r="ME701" s="6"/>
      <c r="MJ701" s="6"/>
      <c r="MN701" s="6"/>
      <c r="MO701" s="6"/>
      <c r="MT701" s="6"/>
      <c r="PG701" s="6"/>
      <c r="PH701" s="6"/>
      <c r="PM701" s="6"/>
      <c r="PQ701" s="6"/>
      <c r="PR701" s="6"/>
      <c r="PW701" s="6"/>
      <c r="QH701" s="6"/>
      <c r="QI701" s="6"/>
      <c r="QN701" s="6"/>
      <c r="QR701" s="6"/>
      <c r="QS701" s="6"/>
      <c r="QX701" s="6"/>
      <c r="RI701" s="6"/>
      <c r="RJ701" s="6"/>
      <c r="RO701" s="6"/>
      <c r="RS701" s="6"/>
      <c r="RT701" s="6"/>
      <c r="RY701" s="6"/>
      <c r="SJ701" s="6"/>
      <c r="SK701" s="6"/>
      <c r="SP701" s="6"/>
      <c r="ST701" s="6"/>
      <c r="SU701" s="6"/>
      <c r="SZ701" s="6"/>
    </row>
    <row r="702" spans="12:520" x14ac:dyDescent="0.3">
      <c r="R702" s="5"/>
      <c r="S702" s="6"/>
      <c r="T702" s="6"/>
      <c r="U702" s="7"/>
      <c r="W702" s="6"/>
      <c r="Z702" s="5"/>
      <c r="AA702" s="6"/>
      <c r="AB702" s="7"/>
      <c r="AG702" s="5"/>
      <c r="AH702" s="6"/>
      <c r="AQ702" s="5"/>
      <c r="AR702" s="5"/>
      <c r="AS702" s="6"/>
      <c r="AT702" s="7"/>
      <c r="AW702" s="5"/>
      <c r="AY702" s="6"/>
      <c r="BC702" s="6"/>
      <c r="BD702" s="6"/>
      <c r="BI702" s="6"/>
      <c r="BT702" s="6"/>
      <c r="BU702" s="6"/>
      <c r="BZ702" s="6"/>
      <c r="CD702" s="6"/>
      <c r="CE702" s="6"/>
      <c r="CJ702" s="6"/>
      <c r="DV702" s="6"/>
      <c r="DW702" s="6"/>
      <c r="EB702" s="6"/>
      <c r="EF702" s="6"/>
      <c r="EG702" s="6"/>
      <c r="EL702" s="6"/>
      <c r="EW702" s="6"/>
      <c r="EX702" s="6"/>
      <c r="FC702" s="6"/>
      <c r="FG702" s="6"/>
      <c r="FH702" s="6"/>
      <c r="FM702" s="6"/>
      <c r="FX702" s="6"/>
      <c r="FY702" s="6"/>
      <c r="GD702" s="6"/>
      <c r="GH702" s="6"/>
      <c r="GI702" s="6"/>
      <c r="GN702" s="6"/>
      <c r="GY702" s="6"/>
      <c r="GZ702" s="6"/>
      <c r="HE702" s="6"/>
      <c r="HI702" s="6"/>
      <c r="HJ702" s="6"/>
      <c r="HO702" s="6"/>
      <c r="IU702" s="8"/>
      <c r="IV702" s="8"/>
      <c r="IW702" s="8"/>
      <c r="JA702" s="6"/>
      <c r="JB702" s="6"/>
      <c r="JG702" s="6"/>
      <c r="JK702" s="6"/>
      <c r="JL702" s="6"/>
      <c r="JQ702" s="6"/>
      <c r="KB702" s="6"/>
      <c r="KC702" s="6"/>
      <c r="KH702" s="6"/>
      <c r="KL702" s="6"/>
      <c r="KM702" s="6"/>
      <c r="KR702" s="6"/>
      <c r="LC702" s="6"/>
      <c r="LD702" s="6"/>
      <c r="LI702" s="6"/>
      <c r="LM702" s="6"/>
      <c r="LN702" s="6"/>
      <c r="LS702" s="6"/>
      <c r="MD702" s="6"/>
      <c r="ME702" s="6"/>
      <c r="MJ702" s="6"/>
      <c r="MN702" s="6"/>
      <c r="MO702" s="6"/>
      <c r="MT702" s="6"/>
      <c r="PG702" s="6"/>
      <c r="PH702" s="6"/>
      <c r="PM702" s="6"/>
      <c r="PQ702" s="6"/>
      <c r="PR702" s="6"/>
      <c r="PW702" s="6"/>
      <c r="QH702" s="6"/>
      <c r="QI702" s="6"/>
      <c r="QN702" s="6"/>
      <c r="QR702" s="6"/>
      <c r="QS702" s="6"/>
      <c r="QX702" s="6"/>
      <c r="RI702" s="6"/>
      <c r="RJ702" s="6"/>
      <c r="RO702" s="6"/>
      <c r="RS702" s="6"/>
      <c r="RT702" s="6"/>
      <c r="RY702" s="6"/>
      <c r="SJ702" s="6"/>
      <c r="SK702" s="6"/>
      <c r="SP702" s="6"/>
      <c r="ST702" s="6"/>
      <c r="SU702" s="6"/>
      <c r="SZ702" s="6"/>
    </row>
    <row r="703" spans="12:520" x14ac:dyDescent="0.3">
      <c r="R703" s="5"/>
      <c r="S703" s="6"/>
      <c r="T703" s="6"/>
      <c r="U703" s="7"/>
      <c r="W703" s="6"/>
      <c r="Z703" s="5"/>
      <c r="AA703" s="6"/>
      <c r="AB703" s="7"/>
      <c r="AG703" s="5"/>
      <c r="AH703" s="6"/>
      <c r="AQ703" s="5"/>
      <c r="AR703" s="5"/>
      <c r="AS703" s="6"/>
      <c r="AT703" s="7"/>
      <c r="AW703" s="5"/>
      <c r="AY703" s="6"/>
      <c r="BC703" s="6"/>
      <c r="BD703" s="6"/>
      <c r="BI703" s="6"/>
      <c r="BT703" s="6"/>
      <c r="BU703" s="6"/>
      <c r="BZ703" s="6"/>
      <c r="CD703" s="6"/>
      <c r="CE703" s="6"/>
      <c r="CJ703" s="6"/>
      <c r="DV703" s="6"/>
      <c r="DW703" s="6"/>
      <c r="EB703" s="6"/>
      <c r="EF703" s="6"/>
      <c r="EG703" s="6"/>
      <c r="EL703" s="6"/>
      <c r="EW703" s="6"/>
      <c r="EX703" s="6"/>
      <c r="FC703" s="6"/>
      <c r="FG703" s="6"/>
      <c r="FH703" s="6"/>
      <c r="FM703" s="6"/>
      <c r="FX703" s="6"/>
      <c r="FY703" s="6"/>
      <c r="GD703" s="6"/>
      <c r="GH703" s="6"/>
      <c r="GI703" s="6"/>
      <c r="GN703" s="6"/>
      <c r="GY703" s="6"/>
      <c r="GZ703" s="6"/>
      <c r="HE703" s="6"/>
      <c r="HI703" s="6"/>
      <c r="HJ703" s="6"/>
      <c r="HO703" s="6"/>
      <c r="KB703" s="6"/>
      <c r="KC703" s="6"/>
      <c r="KH703" s="6"/>
      <c r="KL703" s="6"/>
      <c r="KM703" s="6"/>
      <c r="KR703" s="6"/>
      <c r="LC703" s="6"/>
      <c r="LD703" s="6"/>
      <c r="LI703" s="6"/>
      <c r="LM703" s="6"/>
      <c r="LN703" s="6"/>
      <c r="LS703" s="6"/>
      <c r="MD703" s="6"/>
      <c r="ME703" s="6"/>
      <c r="MJ703" s="6"/>
      <c r="MN703" s="6"/>
      <c r="MO703" s="6"/>
      <c r="MT703" s="6"/>
      <c r="PG703" s="6"/>
      <c r="PH703" s="6"/>
      <c r="PM703" s="6"/>
      <c r="PQ703" s="6"/>
      <c r="PR703" s="6"/>
      <c r="PW703" s="6"/>
      <c r="QH703" s="6"/>
      <c r="QI703" s="6"/>
      <c r="QN703" s="6"/>
      <c r="QR703" s="6"/>
      <c r="QS703" s="6"/>
      <c r="QX703" s="6"/>
      <c r="RI703" s="6"/>
      <c r="RJ703" s="6"/>
      <c r="RO703" s="6"/>
      <c r="RS703" s="6"/>
      <c r="RT703" s="6"/>
      <c r="RY703" s="6"/>
      <c r="SJ703" s="6"/>
      <c r="SK703" s="6"/>
      <c r="SP703" s="6"/>
      <c r="ST703" s="6"/>
      <c r="SU703" s="6"/>
      <c r="SZ703" s="6"/>
    </row>
    <row r="704" spans="12:520" x14ac:dyDescent="0.3">
      <c r="L704" s="8"/>
      <c r="M704" s="8"/>
      <c r="N704" s="8"/>
      <c r="R704" s="5"/>
      <c r="S704" s="6"/>
      <c r="T704" s="6"/>
      <c r="U704" s="7"/>
      <c r="W704" s="6"/>
      <c r="AA704" s="6"/>
      <c r="AB704" s="7"/>
      <c r="AH704" s="6"/>
      <c r="AQ704" s="5"/>
      <c r="AR704" s="5"/>
      <c r="AS704" s="6"/>
      <c r="AT704" s="7"/>
      <c r="AW704" s="5"/>
      <c r="AY704" s="6"/>
      <c r="BC704" s="6"/>
      <c r="BD704" s="6"/>
      <c r="BI704" s="6"/>
      <c r="BN704" s="8"/>
      <c r="BO704" s="8"/>
      <c r="BP704" s="8"/>
      <c r="BT704" s="6"/>
      <c r="BU704" s="6"/>
      <c r="BZ704" s="6"/>
      <c r="CD704" s="6"/>
      <c r="CE704" s="6"/>
      <c r="CJ704" s="6"/>
      <c r="DP704" s="8"/>
      <c r="DQ704" s="8"/>
      <c r="DR704" s="8"/>
      <c r="DV704" s="6"/>
      <c r="DW704" s="6"/>
      <c r="EB704" s="6"/>
      <c r="EF704" s="6"/>
      <c r="EG704" s="6"/>
      <c r="EL704" s="6"/>
      <c r="EQ704" s="8"/>
      <c r="ER704" s="8"/>
      <c r="ES704" s="8"/>
      <c r="EW704" s="6"/>
      <c r="EX704" s="6"/>
      <c r="FC704" s="6"/>
      <c r="FG704" s="6"/>
      <c r="FH704" s="6"/>
      <c r="FM704" s="6"/>
      <c r="FR704" s="8"/>
      <c r="FS704" s="8"/>
      <c r="FT704" s="8"/>
      <c r="FX704" s="6"/>
      <c r="FY704" s="6"/>
      <c r="GD704" s="6"/>
      <c r="GH704" s="6"/>
      <c r="GI704" s="6"/>
      <c r="GN704" s="6"/>
      <c r="GS704" s="8"/>
      <c r="GT704" s="8"/>
      <c r="GU704" s="8"/>
      <c r="GY704" s="6"/>
      <c r="GZ704" s="6"/>
      <c r="HE704" s="6"/>
      <c r="HI704" s="6"/>
      <c r="HJ704" s="6"/>
      <c r="HO704" s="6"/>
      <c r="JV704" s="8"/>
      <c r="JW704" s="8"/>
      <c r="JX704" s="8"/>
      <c r="KB704" s="6"/>
      <c r="KC704" s="6"/>
      <c r="KH704" s="6"/>
      <c r="KL704" s="6"/>
      <c r="KM704" s="6"/>
      <c r="KR704" s="6"/>
      <c r="KW704" s="8"/>
      <c r="KX704" s="8"/>
      <c r="KY704" s="8"/>
      <c r="LC704" s="6"/>
      <c r="LD704" s="6"/>
      <c r="LI704" s="6"/>
      <c r="LM704" s="6"/>
      <c r="LN704" s="6"/>
      <c r="LS704" s="6"/>
      <c r="LX704" s="8"/>
      <c r="LY704" s="8"/>
      <c r="LZ704" s="8"/>
      <c r="MD704" s="6"/>
      <c r="ME704" s="6"/>
      <c r="MJ704" s="6"/>
      <c r="MN704" s="6"/>
      <c r="MO704" s="6"/>
      <c r="MT704" s="6"/>
      <c r="PA704" s="8"/>
      <c r="PB704" s="8"/>
      <c r="PC704" s="8"/>
      <c r="PG704" s="6"/>
      <c r="PH704" s="6"/>
      <c r="PM704" s="6"/>
      <c r="PQ704" s="6"/>
      <c r="PR704" s="6"/>
      <c r="PW704" s="6"/>
      <c r="QB704" s="8"/>
      <c r="QC704" s="8"/>
      <c r="QD704" s="8"/>
      <c r="QH704" s="6"/>
      <c r="QI704" s="6"/>
      <c r="QN704" s="6"/>
      <c r="QR704" s="6"/>
      <c r="QS704" s="6"/>
      <c r="QX704" s="6"/>
      <c r="RC704" s="8"/>
      <c r="RD704" s="8"/>
      <c r="RE704" s="8"/>
      <c r="RI704" s="6"/>
      <c r="RJ704" s="6"/>
      <c r="RO704" s="6"/>
      <c r="RS704" s="6"/>
      <c r="RT704" s="6"/>
      <c r="RY704" s="6"/>
      <c r="SD704" s="8"/>
      <c r="SE704" s="8"/>
      <c r="SF704" s="8"/>
      <c r="SJ704" s="6"/>
      <c r="SK704" s="6"/>
      <c r="SP704" s="6"/>
      <c r="ST704" s="6"/>
      <c r="SU704" s="6"/>
      <c r="SZ704" s="6"/>
    </row>
    <row r="705" spans="39:45" x14ac:dyDescent="0.3">
      <c r="AQ705" s="5"/>
      <c r="AR705" s="5"/>
      <c r="AS705" s="6"/>
    </row>
    <row r="706" spans="39:45" x14ac:dyDescent="0.3">
      <c r="AQ706" s="5"/>
      <c r="AR706" s="5"/>
      <c r="AS706" s="6"/>
    </row>
    <row r="707" spans="39:45" x14ac:dyDescent="0.3">
      <c r="AQ707" s="5"/>
      <c r="AR707" s="5"/>
      <c r="AS707" s="6"/>
    </row>
    <row r="708" spans="39:45" x14ac:dyDescent="0.3">
      <c r="AM708" s="8"/>
      <c r="AN708" s="8"/>
      <c r="AO708" s="8"/>
      <c r="AQ708" s="5"/>
      <c r="AR708" s="5"/>
      <c r="AS708" s="6"/>
    </row>
    <row r="725" spans="12:520" x14ac:dyDescent="0.3">
      <c r="R725" s="6"/>
      <c r="S725" s="7"/>
      <c r="T725" s="7"/>
      <c r="Z725" s="6"/>
      <c r="AA725" s="7"/>
      <c r="AG725" s="6"/>
      <c r="AX725" s="6"/>
      <c r="BB725" s="6"/>
      <c r="BC725" s="7"/>
      <c r="BH725" s="6"/>
      <c r="BS725" s="6"/>
      <c r="BT725" s="7"/>
      <c r="BY725" s="6"/>
      <c r="CC725" s="6"/>
      <c r="CD725" s="7"/>
      <c r="CI725" s="6"/>
      <c r="CT725" s="6"/>
      <c r="CU725" s="7"/>
      <c r="CZ725" s="6"/>
      <c r="DD725" s="6"/>
      <c r="DE725" s="7"/>
      <c r="DJ725" s="6"/>
      <c r="DU725" s="6"/>
      <c r="DV725" s="7"/>
      <c r="EA725" s="6"/>
      <c r="EE725" s="6"/>
      <c r="EF725" s="7"/>
      <c r="EK725" s="6"/>
      <c r="EV725" s="6"/>
      <c r="EW725" s="7"/>
      <c r="FB725" s="6"/>
      <c r="FF725" s="6"/>
      <c r="FG725" s="7"/>
      <c r="FL725" s="6"/>
      <c r="FW725" s="6"/>
      <c r="FX725" s="7"/>
      <c r="GC725" s="6"/>
      <c r="GG725" s="6"/>
      <c r="GH725" s="7"/>
      <c r="GM725" s="6"/>
      <c r="GX725" s="6"/>
      <c r="GY725" s="7"/>
      <c r="HD725" s="6"/>
      <c r="HH725" s="6"/>
      <c r="HI725" s="7"/>
      <c r="HN725" s="6"/>
      <c r="HY725" s="6"/>
      <c r="HZ725" s="7"/>
      <c r="IE725" s="6"/>
      <c r="II725" s="6"/>
      <c r="IJ725" s="7"/>
      <c r="IO725" s="6"/>
      <c r="IZ725" s="6"/>
      <c r="JA725" s="7"/>
      <c r="JF725" s="6"/>
      <c r="JJ725" s="6"/>
      <c r="JK725" s="7"/>
      <c r="JP725" s="6"/>
      <c r="KA725" s="6"/>
      <c r="KB725" s="7"/>
      <c r="KG725" s="6"/>
      <c r="KK725" s="6"/>
      <c r="KL725" s="7"/>
      <c r="KQ725" s="6"/>
      <c r="LB725" s="6"/>
      <c r="LC725" s="7"/>
      <c r="LH725" s="6"/>
      <c r="LL725" s="6"/>
      <c r="LM725" s="7"/>
      <c r="LR725" s="6"/>
      <c r="MC725" s="6"/>
      <c r="MD725" s="7"/>
      <c r="MI725" s="6"/>
      <c r="MM725" s="6"/>
      <c r="MN725" s="7"/>
      <c r="MS725" s="6"/>
      <c r="ND725" s="6"/>
      <c r="NE725" s="7"/>
      <c r="NJ725" s="6"/>
      <c r="NN725" s="6"/>
      <c r="NO725" s="7"/>
      <c r="NT725" s="6"/>
      <c r="OE725" s="6"/>
      <c r="OF725" s="7"/>
      <c r="OK725" s="6"/>
      <c r="OO725" s="6"/>
      <c r="OP725" s="7"/>
      <c r="OU725" s="6"/>
      <c r="PF725" s="6"/>
      <c r="PG725" s="7"/>
      <c r="PL725" s="6"/>
      <c r="PP725" s="6"/>
      <c r="PQ725" s="7"/>
      <c r="PV725" s="6"/>
      <c r="QG725" s="6"/>
      <c r="QH725" s="7"/>
      <c r="QM725" s="6"/>
      <c r="QQ725" s="6"/>
      <c r="QR725" s="7"/>
      <c r="QW725" s="6"/>
      <c r="RH725" s="6"/>
      <c r="RI725" s="7"/>
      <c r="RN725" s="6"/>
      <c r="RR725" s="6"/>
      <c r="RS725" s="7"/>
      <c r="RX725" s="6"/>
      <c r="SI725" s="6"/>
      <c r="SJ725" s="7"/>
      <c r="SO725" s="6"/>
      <c r="SS725" s="6"/>
      <c r="ST725" s="7"/>
      <c r="SY725" s="6"/>
    </row>
    <row r="726" spans="12:520" x14ac:dyDescent="0.3">
      <c r="S726" s="6"/>
      <c r="T726" s="6"/>
      <c r="U726" s="6"/>
      <c r="W726" s="6"/>
      <c r="AA726" s="6"/>
      <c r="AB726" s="6"/>
      <c r="AH726" s="6"/>
      <c r="AT726" s="6"/>
      <c r="AY726" s="6"/>
      <c r="BC726" s="6"/>
      <c r="BD726" s="6"/>
      <c r="BI726" s="6"/>
      <c r="BT726" s="6"/>
      <c r="BU726" s="6"/>
      <c r="BZ726" s="6"/>
      <c r="CD726" s="6"/>
      <c r="CE726" s="6"/>
      <c r="CJ726" s="6"/>
      <c r="CU726" s="6"/>
      <c r="CV726" s="6"/>
      <c r="DA726" s="6"/>
      <c r="DE726" s="6"/>
      <c r="DF726" s="6"/>
      <c r="DK726" s="6"/>
      <c r="DV726" s="6"/>
      <c r="DW726" s="6"/>
      <c r="EB726" s="6"/>
      <c r="EF726" s="6"/>
      <c r="EG726" s="6"/>
      <c r="EL726" s="6"/>
      <c r="EW726" s="6"/>
      <c r="EX726" s="6"/>
      <c r="FC726" s="6"/>
      <c r="FG726" s="6"/>
      <c r="FH726" s="6"/>
      <c r="FM726" s="6"/>
      <c r="FX726" s="6"/>
      <c r="FY726" s="6"/>
      <c r="GD726" s="6"/>
      <c r="GH726" s="6"/>
      <c r="GI726" s="6"/>
      <c r="GN726" s="6"/>
      <c r="GY726" s="6"/>
      <c r="GZ726" s="6"/>
      <c r="HE726" s="6"/>
      <c r="HI726" s="6"/>
      <c r="HJ726" s="6"/>
      <c r="HO726" s="6"/>
      <c r="HZ726" s="6"/>
      <c r="IA726" s="6"/>
      <c r="IF726" s="6"/>
      <c r="IJ726" s="6"/>
      <c r="IK726" s="6"/>
      <c r="IP726" s="6"/>
      <c r="JA726" s="6"/>
      <c r="JB726" s="6"/>
      <c r="JG726" s="6"/>
      <c r="JK726" s="6"/>
      <c r="JL726" s="6"/>
      <c r="JQ726" s="6"/>
      <c r="KB726" s="6"/>
      <c r="KC726" s="6"/>
      <c r="KH726" s="6"/>
      <c r="KL726" s="6"/>
      <c r="KM726" s="6"/>
      <c r="KR726" s="6"/>
      <c r="LC726" s="6"/>
      <c r="LD726" s="6"/>
      <c r="LI726" s="6"/>
      <c r="LM726" s="6"/>
      <c r="LN726" s="6"/>
      <c r="LS726" s="6"/>
      <c r="MD726" s="6"/>
      <c r="ME726" s="6"/>
      <c r="MJ726" s="6"/>
      <c r="MN726" s="6"/>
      <c r="MO726" s="6"/>
      <c r="MT726" s="6"/>
      <c r="NE726" s="6"/>
      <c r="NF726" s="6"/>
      <c r="NK726" s="6"/>
      <c r="NO726" s="6"/>
      <c r="NP726" s="6"/>
      <c r="NU726" s="6"/>
      <c r="OF726" s="6"/>
      <c r="OG726" s="6"/>
      <c r="OL726" s="6"/>
      <c r="OP726" s="6"/>
      <c r="OQ726" s="6"/>
      <c r="OV726" s="6"/>
      <c r="PG726" s="6"/>
      <c r="PH726" s="6"/>
      <c r="PM726" s="6"/>
      <c r="PQ726" s="6"/>
      <c r="PR726" s="6"/>
      <c r="PW726" s="6"/>
      <c r="QH726" s="6"/>
      <c r="QI726" s="6"/>
      <c r="QN726" s="6"/>
      <c r="QR726" s="6"/>
      <c r="QS726" s="6"/>
      <c r="QX726" s="6"/>
      <c r="RI726" s="6"/>
      <c r="RJ726" s="6"/>
      <c r="RO726" s="6"/>
      <c r="RS726" s="6"/>
      <c r="RT726" s="6"/>
      <c r="RY726" s="6"/>
      <c r="SJ726" s="6"/>
      <c r="SK726" s="6"/>
      <c r="SP726" s="6"/>
      <c r="ST726" s="6"/>
      <c r="SU726" s="6"/>
      <c r="SZ726" s="6"/>
    </row>
    <row r="727" spans="12:520" x14ac:dyDescent="0.3">
      <c r="S727" s="6"/>
      <c r="T727" s="6"/>
      <c r="U727" s="6"/>
      <c r="W727" s="6"/>
      <c r="AA727" s="6"/>
      <c r="AB727" s="6"/>
      <c r="AH727" s="6"/>
      <c r="BT727" s="6"/>
      <c r="BU727" s="6"/>
      <c r="BZ727" s="6"/>
      <c r="CD727" s="6"/>
      <c r="CE727" s="6"/>
      <c r="CJ727" s="6"/>
      <c r="CU727" s="6"/>
      <c r="CV727" s="6"/>
      <c r="DA727" s="6"/>
      <c r="DE727" s="6"/>
      <c r="DF727" s="6"/>
      <c r="DK727" s="6"/>
      <c r="DV727" s="6"/>
      <c r="DW727" s="6"/>
      <c r="EB727" s="6"/>
      <c r="EF727" s="6"/>
      <c r="EG727" s="6"/>
      <c r="EL727" s="6"/>
      <c r="EW727" s="6"/>
      <c r="EX727" s="6"/>
      <c r="FC727" s="6"/>
      <c r="FG727" s="6"/>
      <c r="FH727" s="6"/>
      <c r="FM727" s="6"/>
      <c r="FX727" s="6"/>
      <c r="FY727" s="6"/>
      <c r="GD727" s="6"/>
      <c r="GH727" s="6"/>
      <c r="GI727" s="6"/>
      <c r="GN727" s="6"/>
      <c r="GY727" s="6"/>
      <c r="GZ727" s="6"/>
      <c r="HE727" s="6"/>
      <c r="HI727" s="6"/>
      <c r="HJ727" s="6"/>
      <c r="HO727" s="6"/>
      <c r="HZ727" s="6"/>
      <c r="IA727" s="6"/>
      <c r="IF727" s="6"/>
      <c r="IJ727" s="6"/>
      <c r="IK727" s="6"/>
      <c r="IP727" s="6"/>
      <c r="JA727" s="6"/>
      <c r="JB727" s="6"/>
      <c r="JG727" s="6"/>
      <c r="JK727" s="6"/>
      <c r="JL727" s="6"/>
      <c r="JQ727" s="6"/>
      <c r="KB727" s="6"/>
      <c r="KC727" s="6"/>
      <c r="KH727" s="6"/>
      <c r="KL727" s="6"/>
      <c r="KM727" s="6"/>
      <c r="KR727" s="6"/>
      <c r="LC727" s="6"/>
      <c r="LD727" s="6"/>
      <c r="LI727" s="6"/>
      <c r="LM727" s="6"/>
      <c r="LN727" s="6"/>
      <c r="LS727" s="6"/>
      <c r="MD727" s="6"/>
      <c r="ME727" s="6"/>
      <c r="MJ727" s="6"/>
      <c r="MN727" s="6"/>
      <c r="MO727" s="6"/>
      <c r="MT727" s="6"/>
      <c r="NE727" s="6"/>
      <c r="NF727" s="6"/>
      <c r="NK727" s="6"/>
      <c r="NO727" s="6"/>
      <c r="NP727" s="6"/>
      <c r="NU727" s="6"/>
      <c r="OF727" s="6"/>
      <c r="OG727" s="6"/>
      <c r="OL727" s="6"/>
      <c r="OP727" s="6"/>
      <c r="OQ727" s="6"/>
      <c r="OV727" s="6"/>
      <c r="PG727" s="6"/>
      <c r="PH727" s="6"/>
      <c r="PM727" s="6"/>
      <c r="PQ727" s="6"/>
      <c r="PR727" s="6"/>
      <c r="PW727" s="6"/>
      <c r="QH727" s="6"/>
      <c r="QI727" s="6"/>
      <c r="QN727" s="6"/>
      <c r="QR727" s="6"/>
      <c r="QS727" s="6"/>
      <c r="QX727" s="6"/>
      <c r="RI727" s="6"/>
      <c r="RJ727" s="6"/>
      <c r="RO727" s="6"/>
      <c r="RS727" s="6"/>
      <c r="RT727" s="6"/>
      <c r="RY727" s="6"/>
      <c r="SJ727" s="6"/>
      <c r="SK727" s="6"/>
      <c r="SP727" s="6"/>
      <c r="ST727" s="6"/>
      <c r="SU727" s="6"/>
      <c r="SZ727" s="6"/>
    </row>
    <row r="728" spans="12:520" x14ac:dyDescent="0.3">
      <c r="S728" s="6"/>
      <c r="T728" s="6"/>
      <c r="U728" s="6"/>
      <c r="W728" s="6"/>
      <c r="AA728" s="6"/>
      <c r="AB728" s="6"/>
      <c r="AH728" s="6"/>
      <c r="BT728" s="6"/>
      <c r="BU728" s="6"/>
      <c r="BZ728" s="6"/>
      <c r="CD728" s="6"/>
      <c r="CE728" s="6"/>
      <c r="CJ728" s="6"/>
      <c r="CU728" s="6"/>
      <c r="CV728" s="6"/>
      <c r="DA728" s="6"/>
      <c r="DE728" s="6"/>
      <c r="DF728" s="6"/>
      <c r="DK728" s="6"/>
      <c r="DV728" s="6"/>
      <c r="DW728" s="6"/>
      <c r="EB728" s="6"/>
      <c r="EF728" s="6"/>
      <c r="EG728" s="6"/>
      <c r="EL728" s="6"/>
      <c r="EW728" s="6"/>
      <c r="EX728" s="6"/>
      <c r="FC728" s="6"/>
      <c r="FG728" s="6"/>
      <c r="FH728" s="6"/>
      <c r="FM728" s="6"/>
      <c r="FX728" s="6"/>
      <c r="FY728" s="6"/>
      <c r="GD728" s="6"/>
      <c r="GH728" s="6"/>
      <c r="GI728" s="6"/>
      <c r="GN728" s="6"/>
      <c r="GY728" s="6"/>
      <c r="GZ728" s="6"/>
      <c r="HE728" s="6"/>
      <c r="HI728" s="6"/>
      <c r="HJ728" s="6"/>
      <c r="HO728" s="6"/>
      <c r="HZ728" s="6"/>
      <c r="IA728" s="6"/>
      <c r="IF728" s="6"/>
      <c r="IJ728" s="6"/>
      <c r="IK728" s="6"/>
      <c r="IP728" s="6"/>
      <c r="JA728" s="6"/>
      <c r="JB728" s="6"/>
      <c r="JG728" s="6"/>
      <c r="JK728" s="6"/>
      <c r="JL728" s="6"/>
      <c r="JQ728" s="6"/>
      <c r="KB728" s="6"/>
      <c r="KC728" s="6"/>
      <c r="KH728" s="6"/>
      <c r="KL728" s="6"/>
      <c r="KM728" s="6"/>
      <c r="KR728" s="6"/>
      <c r="KW728" s="8"/>
      <c r="KX728" s="8"/>
      <c r="KY728" s="8"/>
      <c r="LC728" s="6"/>
      <c r="LD728" s="6"/>
      <c r="LI728" s="6"/>
      <c r="LM728" s="6"/>
      <c r="LN728" s="6"/>
      <c r="LS728" s="6"/>
      <c r="MD728" s="6"/>
      <c r="ME728" s="6"/>
      <c r="MJ728" s="6"/>
      <c r="MN728" s="6"/>
      <c r="MO728" s="6"/>
      <c r="MT728" s="6"/>
      <c r="NE728" s="6"/>
      <c r="NF728" s="6"/>
      <c r="NK728" s="6"/>
      <c r="NO728" s="6"/>
      <c r="NP728" s="6"/>
      <c r="NU728" s="6"/>
      <c r="OF728" s="6"/>
      <c r="OG728" s="6"/>
      <c r="OL728" s="6"/>
      <c r="OP728" s="6"/>
      <c r="OQ728" s="6"/>
      <c r="OV728" s="6"/>
      <c r="PG728" s="6"/>
      <c r="PH728" s="6"/>
      <c r="PM728" s="6"/>
      <c r="PQ728" s="6"/>
      <c r="PR728" s="6"/>
      <c r="PW728" s="6"/>
      <c r="QH728" s="6"/>
      <c r="QI728" s="6"/>
      <c r="QN728" s="6"/>
      <c r="QR728" s="6"/>
      <c r="QS728" s="6"/>
      <c r="QX728" s="6"/>
      <c r="RI728" s="6"/>
      <c r="RJ728" s="6"/>
      <c r="RO728" s="6"/>
      <c r="RS728" s="6"/>
      <c r="RT728" s="6"/>
      <c r="RY728" s="6"/>
      <c r="SJ728" s="6"/>
      <c r="SK728" s="6"/>
      <c r="SP728" s="6"/>
      <c r="ST728" s="6"/>
      <c r="SU728" s="6"/>
      <c r="SZ728" s="6"/>
    </row>
    <row r="729" spans="12:520" x14ac:dyDescent="0.3">
      <c r="S729" s="6"/>
      <c r="T729" s="6"/>
      <c r="U729" s="6"/>
      <c r="W729" s="6"/>
      <c r="AA729" s="6"/>
      <c r="AB729" s="6"/>
      <c r="AH729" s="6"/>
      <c r="AR729" s="6"/>
      <c r="AS729" s="7"/>
      <c r="BT729" s="6"/>
      <c r="BU729" s="6"/>
      <c r="BZ729" s="6"/>
      <c r="CD729" s="6"/>
      <c r="CE729" s="6"/>
      <c r="CJ729" s="6"/>
      <c r="CU729" s="6"/>
      <c r="CV729" s="6"/>
      <c r="DA729" s="6"/>
      <c r="DE729" s="6"/>
      <c r="DF729" s="6"/>
      <c r="DK729" s="6"/>
      <c r="DV729" s="6"/>
      <c r="DW729" s="6"/>
      <c r="EB729" s="6"/>
      <c r="EF729" s="6"/>
      <c r="EG729" s="6"/>
      <c r="EL729" s="6"/>
      <c r="EW729" s="6"/>
      <c r="EX729" s="6"/>
      <c r="FC729" s="6"/>
      <c r="FG729" s="6"/>
      <c r="FH729" s="6"/>
      <c r="FM729" s="6"/>
      <c r="FX729" s="6"/>
      <c r="FY729" s="6"/>
      <c r="GD729" s="6"/>
      <c r="GH729" s="6"/>
      <c r="GI729" s="6"/>
      <c r="GN729" s="6"/>
      <c r="GY729" s="6"/>
      <c r="GZ729" s="6"/>
      <c r="HE729" s="6"/>
      <c r="HI729" s="6"/>
      <c r="HJ729" s="6"/>
      <c r="HO729" s="6"/>
      <c r="HZ729" s="6"/>
      <c r="IA729" s="6"/>
      <c r="IF729" s="6"/>
      <c r="IJ729" s="6"/>
      <c r="IK729" s="6"/>
      <c r="IP729" s="6"/>
      <c r="JA729" s="6"/>
      <c r="JB729" s="6"/>
      <c r="JG729" s="6"/>
      <c r="JK729" s="6"/>
      <c r="JL729" s="6"/>
      <c r="JQ729" s="6"/>
      <c r="KB729" s="6"/>
      <c r="KC729" s="6"/>
      <c r="KH729" s="6"/>
      <c r="KL729" s="6"/>
      <c r="KM729" s="6"/>
      <c r="KR729" s="6"/>
      <c r="MD729" s="6"/>
      <c r="ME729" s="6"/>
      <c r="MJ729" s="6"/>
      <c r="MN729" s="6"/>
      <c r="MO729" s="6"/>
      <c r="MT729" s="6"/>
      <c r="NE729" s="6"/>
      <c r="NF729" s="6"/>
      <c r="NK729" s="6"/>
      <c r="NO729" s="6"/>
      <c r="NP729" s="6"/>
      <c r="NU729" s="6"/>
      <c r="OF729" s="6"/>
      <c r="OG729" s="6"/>
      <c r="OL729" s="6"/>
      <c r="OP729" s="6"/>
      <c r="OQ729" s="6"/>
      <c r="OV729" s="6"/>
      <c r="PG729" s="6"/>
      <c r="PH729" s="6"/>
      <c r="PM729" s="6"/>
      <c r="PQ729" s="6"/>
      <c r="PR729" s="6"/>
      <c r="PW729" s="6"/>
      <c r="QH729" s="6"/>
      <c r="QI729" s="6"/>
      <c r="QN729" s="6"/>
      <c r="QR729" s="6"/>
      <c r="QS729" s="6"/>
      <c r="QX729" s="6"/>
      <c r="RI729" s="6"/>
      <c r="RJ729" s="6"/>
      <c r="RO729" s="6"/>
      <c r="RS729" s="6"/>
      <c r="RT729" s="6"/>
      <c r="RY729" s="6"/>
      <c r="SJ729" s="6"/>
      <c r="SK729" s="6"/>
      <c r="SP729" s="6"/>
      <c r="ST729" s="6"/>
      <c r="SU729" s="6"/>
      <c r="SZ729" s="6"/>
    </row>
    <row r="730" spans="12:520" x14ac:dyDescent="0.3">
      <c r="S730" s="6"/>
      <c r="T730" s="6"/>
      <c r="U730" s="6"/>
      <c r="W730" s="6"/>
      <c r="AA730" s="6"/>
      <c r="AB730" s="6"/>
      <c r="AH730" s="6"/>
      <c r="AM730" s="8"/>
      <c r="AN730" s="8"/>
      <c r="AO730" s="8"/>
      <c r="AS730" s="6"/>
      <c r="BT730" s="6"/>
      <c r="BU730" s="6"/>
      <c r="BZ730" s="6"/>
      <c r="CD730" s="6"/>
      <c r="CE730" s="6"/>
      <c r="CJ730" s="6"/>
      <c r="CU730" s="6"/>
      <c r="CV730" s="6"/>
      <c r="DA730" s="6"/>
      <c r="DE730" s="6"/>
      <c r="DF730" s="6"/>
      <c r="DK730" s="6"/>
      <c r="DV730" s="6"/>
      <c r="DW730" s="6"/>
      <c r="EB730" s="6"/>
      <c r="EF730" s="6"/>
      <c r="EG730" s="6"/>
      <c r="EL730" s="6"/>
      <c r="EW730" s="6"/>
      <c r="EX730" s="6"/>
      <c r="FC730" s="6"/>
      <c r="FG730" s="6"/>
      <c r="FH730" s="6"/>
      <c r="FM730" s="6"/>
      <c r="FX730" s="6"/>
      <c r="FY730" s="6"/>
      <c r="GD730" s="6"/>
      <c r="GH730" s="6"/>
      <c r="GI730" s="6"/>
      <c r="GN730" s="6"/>
      <c r="GY730" s="6"/>
      <c r="GZ730" s="6"/>
      <c r="HE730" s="6"/>
      <c r="HI730" s="6"/>
      <c r="HJ730" s="6"/>
      <c r="HO730" s="6"/>
      <c r="HZ730" s="6"/>
      <c r="IA730" s="6"/>
      <c r="IF730" s="6"/>
      <c r="IJ730" s="6"/>
      <c r="IK730" s="6"/>
      <c r="IP730" s="6"/>
      <c r="JA730" s="6"/>
      <c r="JB730" s="6"/>
      <c r="JG730" s="6"/>
      <c r="JK730" s="6"/>
      <c r="JL730" s="6"/>
      <c r="JQ730" s="6"/>
      <c r="KB730" s="6"/>
      <c r="KC730" s="6"/>
      <c r="KH730" s="6"/>
      <c r="KL730" s="6"/>
      <c r="KM730" s="6"/>
      <c r="KR730" s="6"/>
      <c r="MD730" s="6"/>
      <c r="ME730" s="6"/>
      <c r="MJ730" s="6"/>
      <c r="MN730" s="6"/>
      <c r="MO730" s="6"/>
      <c r="MT730" s="6"/>
      <c r="NE730" s="6"/>
      <c r="NF730" s="6"/>
      <c r="NK730" s="6"/>
      <c r="NO730" s="6"/>
      <c r="NP730" s="6"/>
      <c r="NU730" s="6"/>
      <c r="OF730" s="6"/>
      <c r="OG730" s="6"/>
      <c r="OL730" s="6"/>
      <c r="OP730" s="6"/>
      <c r="OQ730" s="6"/>
      <c r="OV730" s="6"/>
      <c r="PG730" s="6"/>
      <c r="PH730" s="6"/>
      <c r="PM730" s="6"/>
      <c r="PQ730" s="6"/>
      <c r="PR730" s="6"/>
      <c r="PW730" s="6"/>
      <c r="QH730" s="6"/>
      <c r="QI730" s="6"/>
      <c r="QN730" s="6"/>
      <c r="QR730" s="6"/>
      <c r="QS730" s="6"/>
      <c r="QX730" s="6"/>
      <c r="RI730" s="6"/>
      <c r="RJ730" s="6"/>
      <c r="RO730" s="6"/>
      <c r="RS730" s="6"/>
      <c r="RT730" s="6"/>
      <c r="RY730" s="6"/>
      <c r="SJ730" s="6"/>
      <c r="SK730" s="6"/>
      <c r="SP730" s="6"/>
      <c r="ST730" s="6"/>
      <c r="SU730" s="6"/>
      <c r="SZ730" s="6"/>
    </row>
    <row r="731" spans="12:520" x14ac:dyDescent="0.3">
      <c r="S731" s="6"/>
      <c r="T731" s="6"/>
      <c r="U731" s="6"/>
      <c r="W731" s="6"/>
      <c r="AA731" s="6"/>
      <c r="AB731" s="6"/>
      <c r="AH731" s="6"/>
      <c r="BT731" s="6"/>
      <c r="BU731" s="6"/>
      <c r="BZ731" s="6"/>
      <c r="CD731" s="6"/>
      <c r="CE731" s="6"/>
      <c r="CJ731" s="6"/>
      <c r="CU731" s="6"/>
      <c r="CV731" s="6"/>
      <c r="DA731" s="6"/>
      <c r="DE731" s="6"/>
      <c r="DF731" s="6"/>
      <c r="DK731" s="6"/>
      <c r="DV731" s="6"/>
      <c r="DW731" s="6"/>
      <c r="EB731" s="6"/>
      <c r="EF731" s="6"/>
      <c r="EG731" s="6"/>
      <c r="EL731" s="6"/>
      <c r="EW731" s="6"/>
      <c r="EX731" s="6"/>
      <c r="FC731" s="6"/>
      <c r="FG731" s="6"/>
      <c r="FH731" s="6"/>
      <c r="FM731" s="6"/>
      <c r="FX731" s="6"/>
      <c r="FY731" s="6"/>
      <c r="GD731" s="6"/>
      <c r="GH731" s="6"/>
      <c r="GI731" s="6"/>
      <c r="GN731" s="6"/>
      <c r="GY731" s="6"/>
      <c r="GZ731" s="6"/>
      <c r="HE731" s="6"/>
      <c r="HI731" s="6"/>
      <c r="HJ731" s="6"/>
      <c r="HO731" s="6"/>
      <c r="HZ731" s="6"/>
      <c r="IA731" s="6"/>
      <c r="IF731" s="6"/>
      <c r="IJ731" s="6"/>
      <c r="IK731" s="6"/>
      <c r="IP731" s="6"/>
      <c r="IU731" s="8"/>
      <c r="IV731" s="8"/>
      <c r="IW731" s="8"/>
      <c r="JA731" s="6"/>
      <c r="JB731" s="6"/>
      <c r="JG731" s="6"/>
      <c r="JK731" s="6"/>
      <c r="JL731" s="6"/>
      <c r="JQ731" s="6"/>
      <c r="KB731" s="6"/>
      <c r="KC731" s="6"/>
      <c r="KH731" s="6"/>
      <c r="KL731" s="6"/>
      <c r="KM731" s="6"/>
      <c r="KR731" s="6"/>
      <c r="MD731" s="6"/>
      <c r="ME731" s="6"/>
      <c r="MJ731" s="6"/>
      <c r="MN731" s="6"/>
      <c r="MO731" s="6"/>
      <c r="MT731" s="6"/>
      <c r="NE731" s="6"/>
      <c r="NF731" s="6"/>
      <c r="NK731" s="6"/>
      <c r="NO731" s="6"/>
      <c r="NP731" s="6"/>
      <c r="NU731" s="6"/>
      <c r="OF731" s="6"/>
      <c r="OG731" s="6"/>
      <c r="OL731" s="6"/>
      <c r="OP731" s="6"/>
      <c r="OQ731" s="6"/>
      <c r="OV731" s="6"/>
      <c r="PG731" s="6"/>
      <c r="PH731" s="6"/>
      <c r="PM731" s="6"/>
      <c r="PQ731" s="6"/>
      <c r="PR731" s="6"/>
      <c r="PW731" s="6"/>
      <c r="QH731" s="6"/>
      <c r="QI731" s="6"/>
      <c r="QN731" s="6"/>
      <c r="QR731" s="6"/>
      <c r="QS731" s="6"/>
      <c r="QX731" s="6"/>
      <c r="RI731" s="6"/>
      <c r="RJ731" s="6"/>
      <c r="RO731" s="6"/>
      <c r="RS731" s="6"/>
      <c r="RT731" s="6"/>
      <c r="RY731" s="6"/>
      <c r="SJ731" s="6"/>
      <c r="SK731" s="6"/>
      <c r="SP731" s="6"/>
      <c r="ST731" s="6"/>
      <c r="SU731" s="6"/>
      <c r="SZ731" s="6"/>
    </row>
    <row r="732" spans="12:520" x14ac:dyDescent="0.3">
      <c r="S732" s="6"/>
      <c r="T732" s="6"/>
      <c r="U732" s="6"/>
      <c r="W732" s="6"/>
      <c r="AA732" s="6"/>
      <c r="AB732" s="6"/>
      <c r="AH732" s="6"/>
      <c r="BT732" s="6"/>
      <c r="BU732" s="6"/>
      <c r="BZ732" s="6"/>
      <c r="CD732" s="6"/>
      <c r="CE732" s="6"/>
      <c r="CJ732" s="6"/>
      <c r="CU732" s="6"/>
      <c r="CV732" s="6"/>
      <c r="DA732" s="6"/>
      <c r="DE732" s="6"/>
      <c r="DF732" s="6"/>
      <c r="DK732" s="6"/>
      <c r="DV732" s="6"/>
      <c r="DW732" s="6"/>
      <c r="EB732" s="6"/>
      <c r="EF732" s="6"/>
      <c r="EG732" s="6"/>
      <c r="EL732" s="6"/>
      <c r="EW732" s="6"/>
      <c r="EX732" s="6"/>
      <c r="FC732" s="6"/>
      <c r="FG732" s="6"/>
      <c r="FH732" s="6"/>
      <c r="FM732" s="6"/>
      <c r="FX732" s="6"/>
      <c r="FY732" s="6"/>
      <c r="GD732" s="6"/>
      <c r="GH732" s="6"/>
      <c r="GI732" s="6"/>
      <c r="GN732" s="6"/>
      <c r="GY732" s="6"/>
      <c r="GZ732" s="6"/>
      <c r="HE732" s="6"/>
      <c r="HI732" s="6"/>
      <c r="HJ732" s="6"/>
      <c r="HO732" s="6"/>
      <c r="HZ732" s="6"/>
      <c r="IA732" s="6"/>
      <c r="IF732" s="6"/>
      <c r="IJ732" s="6"/>
      <c r="IK732" s="6"/>
      <c r="IP732" s="6"/>
      <c r="KB732" s="6"/>
      <c r="KC732" s="6"/>
      <c r="KH732" s="6"/>
      <c r="KL732" s="6"/>
      <c r="KM732" s="6"/>
      <c r="KR732" s="6"/>
      <c r="MD732" s="6"/>
      <c r="ME732" s="6"/>
      <c r="MJ732" s="6"/>
      <c r="MN732" s="6"/>
      <c r="MO732" s="6"/>
      <c r="MT732" s="6"/>
      <c r="NE732" s="6"/>
      <c r="NF732" s="6"/>
      <c r="NK732" s="6"/>
      <c r="NO732" s="6"/>
      <c r="NP732" s="6"/>
      <c r="NU732" s="6"/>
      <c r="OF732" s="6"/>
      <c r="OG732" s="6"/>
      <c r="OL732" s="6"/>
      <c r="OP732" s="6"/>
      <c r="OQ732" s="6"/>
      <c r="OV732" s="6"/>
      <c r="PG732" s="6"/>
      <c r="PH732" s="6"/>
      <c r="PM732" s="6"/>
      <c r="PQ732" s="6"/>
      <c r="PR732" s="6"/>
      <c r="PW732" s="6"/>
      <c r="QH732" s="6"/>
      <c r="QI732" s="6"/>
      <c r="QN732" s="6"/>
      <c r="QR732" s="6"/>
      <c r="QS732" s="6"/>
      <c r="QX732" s="6"/>
      <c r="RI732" s="6"/>
      <c r="RJ732" s="6"/>
      <c r="RO732" s="6"/>
      <c r="RS732" s="6"/>
      <c r="RT732" s="6"/>
      <c r="RY732" s="6"/>
      <c r="SJ732" s="6"/>
      <c r="SK732" s="6"/>
      <c r="SP732" s="6"/>
      <c r="ST732" s="6"/>
      <c r="SU732" s="6"/>
      <c r="SZ732" s="6"/>
    </row>
    <row r="733" spans="12:520" x14ac:dyDescent="0.3">
      <c r="S733" s="6"/>
      <c r="T733" s="6"/>
      <c r="U733" s="6"/>
      <c r="W733" s="6"/>
      <c r="AA733" s="6"/>
      <c r="AB733" s="6"/>
      <c r="AH733" s="6"/>
      <c r="BT733" s="6"/>
      <c r="BU733" s="6"/>
      <c r="BZ733" s="6"/>
      <c r="CD733" s="6"/>
      <c r="CE733" s="6"/>
      <c r="CJ733" s="6"/>
      <c r="CU733" s="6"/>
      <c r="CV733" s="6"/>
      <c r="DA733" s="6"/>
      <c r="DE733" s="6"/>
      <c r="DF733" s="6"/>
      <c r="DK733" s="6"/>
      <c r="DV733" s="6"/>
      <c r="DW733" s="6"/>
      <c r="EB733" s="6"/>
      <c r="EF733" s="6"/>
      <c r="EG733" s="6"/>
      <c r="EL733" s="6"/>
      <c r="EW733" s="6"/>
      <c r="EX733" s="6"/>
      <c r="FC733" s="6"/>
      <c r="FG733" s="6"/>
      <c r="FH733" s="6"/>
      <c r="FM733" s="6"/>
      <c r="FX733" s="6"/>
      <c r="FY733" s="6"/>
      <c r="GD733" s="6"/>
      <c r="GH733" s="6"/>
      <c r="GI733" s="6"/>
      <c r="GN733" s="6"/>
      <c r="GY733" s="6"/>
      <c r="GZ733" s="6"/>
      <c r="HE733" s="6"/>
      <c r="HI733" s="6"/>
      <c r="HJ733" s="6"/>
      <c r="HO733" s="6"/>
      <c r="HZ733" s="6"/>
      <c r="IA733" s="6"/>
      <c r="IF733" s="6"/>
      <c r="IJ733" s="6"/>
      <c r="IK733" s="6"/>
      <c r="IP733" s="6"/>
      <c r="KB733" s="6"/>
      <c r="KC733" s="6"/>
      <c r="KH733" s="6"/>
      <c r="KL733" s="6"/>
      <c r="KM733" s="6"/>
      <c r="KR733" s="6"/>
      <c r="MD733" s="6"/>
      <c r="ME733" s="6"/>
      <c r="MJ733" s="6"/>
      <c r="MN733" s="6"/>
      <c r="MO733" s="6"/>
      <c r="MT733" s="6"/>
      <c r="NE733" s="6"/>
      <c r="NF733" s="6"/>
      <c r="NK733" s="6"/>
      <c r="NO733" s="6"/>
      <c r="NP733" s="6"/>
      <c r="NU733" s="6"/>
      <c r="OF733" s="6"/>
      <c r="OG733" s="6"/>
      <c r="OL733" s="6"/>
      <c r="OP733" s="6"/>
      <c r="OQ733" s="6"/>
      <c r="OV733" s="6"/>
      <c r="PA733" s="8"/>
      <c r="PB733" s="8"/>
      <c r="PC733" s="8"/>
      <c r="PG733" s="6"/>
      <c r="PH733" s="6"/>
      <c r="PM733" s="6"/>
      <c r="PQ733" s="6"/>
      <c r="PR733" s="6"/>
      <c r="PW733" s="6"/>
      <c r="QH733" s="6"/>
      <c r="QI733" s="6"/>
      <c r="QN733" s="6"/>
      <c r="QR733" s="6"/>
      <c r="QS733" s="6"/>
      <c r="QX733" s="6"/>
      <c r="RI733" s="6"/>
      <c r="RJ733" s="6"/>
      <c r="RO733" s="6"/>
      <c r="RS733" s="6"/>
      <c r="RT733" s="6"/>
      <c r="RY733" s="6"/>
      <c r="SJ733" s="6"/>
      <c r="SK733" s="6"/>
      <c r="SP733" s="6"/>
      <c r="ST733" s="6"/>
      <c r="SU733" s="6"/>
      <c r="SZ733" s="6"/>
    </row>
    <row r="734" spans="12:520" x14ac:dyDescent="0.3">
      <c r="S734" s="6"/>
      <c r="T734" s="6"/>
      <c r="U734" s="6"/>
      <c r="W734" s="6"/>
      <c r="AA734" s="6"/>
      <c r="AB734" s="6"/>
      <c r="AH734" s="6"/>
      <c r="BT734" s="6"/>
      <c r="BU734" s="6"/>
      <c r="BZ734" s="6"/>
      <c r="CD734" s="6"/>
      <c r="CE734" s="6"/>
      <c r="CJ734" s="6"/>
      <c r="CU734" s="6"/>
      <c r="CV734" s="6"/>
      <c r="DA734" s="6"/>
      <c r="DE734" s="6"/>
      <c r="DF734" s="6"/>
      <c r="DK734" s="6"/>
      <c r="DV734" s="6"/>
      <c r="DW734" s="6"/>
      <c r="EB734" s="6"/>
      <c r="EF734" s="6"/>
      <c r="EG734" s="6"/>
      <c r="EL734" s="6"/>
      <c r="EW734" s="6"/>
      <c r="EX734" s="6"/>
      <c r="FC734" s="6"/>
      <c r="FG734" s="6"/>
      <c r="FH734" s="6"/>
      <c r="FM734" s="6"/>
      <c r="FX734" s="6"/>
      <c r="FY734" s="6"/>
      <c r="GD734" s="6"/>
      <c r="GH734" s="6"/>
      <c r="GI734" s="6"/>
      <c r="GN734" s="6"/>
      <c r="GY734" s="6"/>
      <c r="GZ734" s="6"/>
      <c r="HE734" s="6"/>
      <c r="HI734" s="6"/>
      <c r="HJ734" s="6"/>
      <c r="HO734" s="6"/>
      <c r="HZ734" s="6"/>
      <c r="IA734" s="6"/>
      <c r="IF734" s="6"/>
      <c r="IJ734" s="6"/>
      <c r="IK734" s="6"/>
      <c r="IP734" s="6"/>
      <c r="KB734" s="6"/>
      <c r="KC734" s="6"/>
      <c r="KH734" s="6"/>
      <c r="KL734" s="6"/>
      <c r="KM734" s="6"/>
      <c r="KR734" s="6"/>
      <c r="MD734" s="6"/>
      <c r="ME734" s="6"/>
      <c r="MJ734" s="6"/>
      <c r="MN734" s="6"/>
      <c r="MO734" s="6"/>
      <c r="MT734" s="6"/>
      <c r="NE734" s="6"/>
      <c r="NF734" s="6"/>
      <c r="NK734" s="6"/>
      <c r="NO734" s="6"/>
      <c r="NP734" s="6"/>
      <c r="NU734" s="6"/>
      <c r="OF734" s="6"/>
      <c r="OG734" s="6"/>
      <c r="OL734" s="6"/>
      <c r="OP734" s="6"/>
      <c r="OQ734" s="6"/>
      <c r="OV734" s="6"/>
      <c r="QH734" s="6"/>
      <c r="QI734" s="6"/>
      <c r="QN734" s="6"/>
      <c r="QR734" s="6"/>
      <c r="QS734" s="6"/>
      <c r="QX734" s="6"/>
      <c r="RI734" s="6"/>
      <c r="RJ734" s="6"/>
      <c r="RO734" s="6"/>
      <c r="RS734" s="6"/>
      <c r="RT734" s="6"/>
      <c r="RY734" s="6"/>
      <c r="SJ734" s="6"/>
      <c r="SK734" s="6"/>
      <c r="SP734" s="6"/>
      <c r="ST734" s="6"/>
      <c r="SU734" s="6"/>
      <c r="SZ734" s="6"/>
    </row>
    <row r="735" spans="12:520" x14ac:dyDescent="0.3">
      <c r="S735" s="6"/>
      <c r="T735" s="6"/>
      <c r="U735" s="6"/>
      <c r="W735" s="6"/>
      <c r="AA735" s="6"/>
      <c r="AB735" s="6"/>
      <c r="AH735" s="6"/>
      <c r="BT735" s="6"/>
      <c r="BU735" s="6"/>
      <c r="BZ735" s="6"/>
      <c r="CD735" s="6"/>
      <c r="CE735" s="6"/>
      <c r="CJ735" s="6"/>
      <c r="CU735" s="6"/>
      <c r="CV735" s="6"/>
      <c r="DA735" s="6"/>
      <c r="DE735" s="6"/>
      <c r="DF735" s="6"/>
      <c r="DK735" s="6"/>
      <c r="DV735" s="6"/>
      <c r="DW735" s="6"/>
      <c r="EB735" s="6"/>
      <c r="EF735" s="6"/>
      <c r="EG735" s="6"/>
      <c r="EL735" s="6"/>
      <c r="EW735" s="6"/>
      <c r="EX735" s="6"/>
      <c r="FC735" s="6"/>
      <c r="FG735" s="6"/>
      <c r="FH735" s="6"/>
      <c r="FM735" s="6"/>
      <c r="FX735" s="6"/>
      <c r="FY735" s="6"/>
      <c r="GD735" s="6"/>
      <c r="GH735" s="6"/>
      <c r="GI735" s="6"/>
      <c r="GN735" s="6"/>
      <c r="GS735" s="8"/>
      <c r="GT735" s="8"/>
      <c r="GU735" s="8"/>
      <c r="GY735" s="6"/>
      <c r="GZ735" s="6"/>
      <c r="HE735" s="6"/>
      <c r="HI735" s="6"/>
      <c r="HJ735" s="6"/>
      <c r="HO735" s="6"/>
      <c r="HZ735" s="6"/>
      <c r="IA735" s="6"/>
      <c r="IF735" s="6"/>
      <c r="IJ735" s="6"/>
      <c r="IK735" s="6"/>
      <c r="IP735" s="6"/>
      <c r="KB735" s="6"/>
      <c r="KC735" s="6"/>
      <c r="KH735" s="6"/>
      <c r="KL735" s="6"/>
      <c r="KM735" s="6"/>
      <c r="KR735" s="6"/>
      <c r="MD735" s="6"/>
      <c r="ME735" s="6"/>
      <c r="MJ735" s="6"/>
      <c r="MN735" s="6"/>
      <c r="MO735" s="6"/>
      <c r="MT735" s="6"/>
      <c r="NE735" s="6"/>
      <c r="NF735" s="6"/>
      <c r="NK735" s="6"/>
      <c r="NO735" s="6"/>
      <c r="NP735" s="6"/>
      <c r="NU735" s="6"/>
      <c r="OF735" s="6"/>
      <c r="OG735" s="6"/>
      <c r="OL735" s="6"/>
      <c r="OP735" s="6"/>
      <c r="OQ735" s="6"/>
      <c r="OV735" s="6"/>
      <c r="QH735" s="6"/>
      <c r="QI735" s="6"/>
      <c r="QN735" s="6"/>
      <c r="QR735" s="6"/>
      <c r="QS735" s="6"/>
      <c r="QX735" s="6"/>
      <c r="RI735" s="6"/>
      <c r="RJ735" s="6"/>
      <c r="RO735" s="6"/>
      <c r="RS735" s="6"/>
      <c r="RT735" s="6"/>
      <c r="RY735" s="6"/>
      <c r="SJ735" s="6"/>
      <c r="SK735" s="6"/>
      <c r="SP735" s="6"/>
      <c r="ST735" s="6"/>
      <c r="SU735" s="6"/>
      <c r="SZ735" s="6"/>
    </row>
    <row r="736" spans="12:520" x14ac:dyDescent="0.3">
      <c r="L736" s="8"/>
      <c r="M736" s="8"/>
      <c r="N736" s="8"/>
      <c r="S736" s="6"/>
      <c r="T736" s="6"/>
      <c r="U736" s="6"/>
      <c r="W736" s="6"/>
      <c r="AA736" s="6"/>
      <c r="AB736" s="6"/>
      <c r="AH736" s="6"/>
      <c r="BN736" s="8"/>
      <c r="BO736" s="8"/>
      <c r="BP736" s="8"/>
      <c r="BT736" s="6"/>
      <c r="BU736" s="6"/>
      <c r="BZ736" s="6"/>
      <c r="CD736" s="6"/>
      <c r="CE736" s="6"/>
      <c r="CJ736" s="6"/>
      <c r="CO736" s="8"/>
      <c r="CP736" s="8"/>
      <c r="CQ736" s="8"/>
      <c r="CU736" s="6"/>
      <c r="CV736" s="6"/>
      <c r="DA736" s="6"/>
      <c r="DE736" s="6"/>
      <c r="DF736" s="6"/>
      <c r="DK736" s="6"/>
      <c r="DP736" s="8"/>
      <c r="DQ736" s="8"/>
      <c r="DR736" s="8"/>
      <c r="DV736" s="6"/>
      <c r="DW736" s="6"/>
      <c r="EB736" s="6"/>
      <c r="EF736" s="6"/>
      <c r="EG736" s="6"/>
      <c r="EL736" s="6"/>
      <c r="EQ736" s="8"/>
      <c r="ER736" s="8"/>
      <c r="ES736" s="8"/>
      <c r="EW736" s="6"/>
      <c r="EX736" s="6"/>
      <c r="FC736" s="6"/>
      <c r="FG736" s="6"/>
      <c r="FH736" s="6"/>
      <c r="FM736" s="6"/>
      <c r="FR736" s="8"/>
      <c r="FS736" s="8"/>
      <c r="FT736" s="8"/>
      <c r="FX736" s="6"/>
      <c r="FY736" s="6"/>
      <c r="GD736" s="6"/>
      <c r="GH736" s="6"/>
      <c r="GI736" s="6"/>
      <c r="GN736" s="6"/>
      <c r="HT736" s="8"/>
      <c r="HU736" s="8"/>
      <c r="HV736" s="8"/>
      <c r="HZ736" s="6"/>
      <c r="IA736" s="6"/>
      <c r="IF736" s="6"/>
      <c r="IJ736" s="6"/>
      <c r="IK736" s="6"/>
      <c r="IP736" s="6"/>
      <c r="JV736" s="8"/>
      <c r="JW736" s="8"/>
      <c r="JX736" s="8"/>
      <c r="KB736" s="6"/>
      <c r="KC736" s="6"/>
      <c r="KH736" s="6"/>
      <c r="KL736" s="6"/>
      <c r="KM736" s="6"/>
      <c r="KR736" s="6"/>
      <c r="LX736" s="8"/>
      <c r="LY736" s="8"/>
      <c r="LZ736" s="8"/>
      <c r="MD736" s="6"/>
      <c r="ME736" s="6"/>
      <c r="MJ736" s="6"/>
      <c r="MN736" s="6"/>
      <c r="MO736" s="6"/>
      <c r="MT736" s="6"/>
      <c r="MY736" s="8"/>
      <c r="MZ736" s="8"/>
      <c r="NA736" s="8"/>
      <c r="NE736" s="6"/>
      <c r="NF736" s="6"/>
      <c r="NK736" s="6"/>
      <c r="NO736" s="6"/>
      <c r="NP736" s="6"/>
      <c r="NU736" s="6"/>
      <c r="NZ736" s="8"/>
      <c r="OA736" s="8"/>
      <c r="OB736" s="8"/>
      <c r="OF736" s="6"/>
      <c r="OG736" s="6"/>
      <c r="OL736" s="6"/>
      <c r="OP736" s="6"/>
      <c r="OQ736" s="6"/>
      <c r="OV736" s="6"/>
      <c r="QB736" s="8"/>
      <c r="QC736" s="8"/>
      <c r="QD736" s="8"/>
      <c r="QH736" s="6"/>
      <c r="QI736" s="6"/>
      <c r="QN736" s="6"/>
      <c r="QR736" s="6"/>
      <c r="QS736" s="6"/>
      <c r="QX736" s="6"/>
      <c r="RC736" s="8"/>
      <c r="RD736" s="8"/>
      <c r="RE736" s="8"/>
      <c r="RI736" s="6"/>
      <c r="RJ736" s="6"/>
      <c r="RO736" s="6"/>
      <c r="RS736" s="6"/>
      <c r="RT736" s="6"/>
      <c r="RY736" s="6"/>
      <c r="SD736" s="8"/>
      <c r="SE736" s="8"/>
      <c r="SF736" s="8"/>
      <c r="SJ736" s="6"/>
      <c r="SK736" s="6"/>
      <c r="SP736" s="6"/>
      <c r="ST736" s="6"/>
      <c r="SU736" s="6"/>
      <c r="SZ736" s="6"/>
    </row>
    <row r="738" spans="12:520" x14ac:dyDescent="0.3">
      <c r="R738" s="6"/>
      <c r="S738" s="7"/>
      <c r="T738" s="7"/>
      <c r="Z738" s="6"/>
      <c r="AA738" s="7"/>
      <c r="AG738" s="6"/>
      <c r="AX738" s="6"/>
      <c r="BB738" s="6"/>
      <c r="BC738" s="7"/>
      <c r="BH738" s="6"/>
      <c r="BS738" s="6"/>
      <c r="BT738" s="7"/>
      <c r="BY738" s="6"/>
      <c r="CC738" s="6"/>
      <c r="CD738" s="7"/>
      <c r="CI738" s="6"/>
      <c r="CT738" s="6"/>
      <c r="CU738" s="7"/>
      <c r="CZ738" s="6"/>
      <c r="DD738" s="6"/>
      <c r="DE738" s="7"/>
      <c r="DJ738" s="6"/>
      <c r="DU738" s="6"/>
      <c r="DV738" s="7"/>
      <c r="EA738" s="6"/>
      <c r="EE738" s="6"/>
      <c r="EF738" s="7"/>
      <c r="EK738" s="6"/>
      <c r="EV738" s="6"/>
      <c r="EW738" s="7"/>
      <c r="FB738" s="6"/>
      <c r="FF738" s="6"/>
      <c r="FG738" s="7"/>
      <c r="FL738" s="6"/>
      <c r="FW738" s="6"/>
      <c r="FX738" s="7"/>
      <c r="GC738" s="6"/>
      <c r="GG738" s="6"/>
      <c r="GH738" s="7"/>
      <c r="GM738" s="6"/>
      <c r="GX738" s="6"/>
      <c r="GY738" s="7"/>
      <c r="HD738" s="6"/>
      <c r="HH738" s="6"/>
      <c r="HI738" s="7"/>
      <c r="HN738" s="6"/>
      <c r="HY738" s="6"/>
      <c r="HZ738" s="7"/>
      <c r="IE738" s="6"/>
      <c r="II738" s="6"/>
      <c r="IJ738" s="7"/>
      <c r="IO738" s="6"/>
      <c r="IZ738" s="6"/>
      <c r="JA738" s="7"/>
      <c r="JF738" s="6"/>
      <c r="JJ738" s="6"/>
      <c r="JK738" s="7"/>
      <c r="JP738" s="6"/>
      <c r="KA738" s="6"/>
      <c r="KB738" s="7"/>
      <c r="KG738" s="6"/>
      <c r="KK738" s="6"/>
      <c r="KL738" s="7"/>
      <c r="KQ738" s="6"/>
      <c r="LB738" s="6"/>
      <c r="LC738" s="7"/>
      <c r="LH738" s="6"/>
      <c r="LL738" s="6"/>
      <c r="LM738" s="7"/>
      <c r="LR738" s="6"/>
      <c r="MC738" s="6"/>
      <c r="MD738" s="7"/>
      <c r="MI738" s="6"/>
      <c r="MM738" s="6"/>
      <c r="MN738" s="7"/>
      <c r="MS738" s="6"/>
      <c r="ND738" s="6"/>
      <c r="NE738" s="7"/>
      <c r="NJ738" s="6"/>
      <c r="NN738" s="6"/>
      <c r="NO738" s="7"/>
      <c r="NT738" s="6"/>
      <c r="OE738" s="6"/>
      <c r="OF738" s="7"/>
      <c r="OK738" s="6"/>
      <c r="OO738" s="6"/>
      <c r="OP738" s="7"/>
      <c r="OU738" s="6"/>
      <c r="PF738" s="6"/>
      <c r="PG738" s="7"/>
      <c r="PL738" s="6"/>
      <c r="PP738" s="6"/>
      <c r="PQ738" s="7"/>
      <c r="PV738" s="6"/>
      <c r="QG738" s="6"/>
      <c r="QH738" s="7"/>
      <c r="QM738" s="6"/>
      <c r="QQ738" s="6"/>
      <c r="QR738" s="7"/>
      <c r="QW738" s="6"/>
      <c r="RH738" s="6"/>
      <c r="RI738" s="7"/>
      <c r="RN738" s="6"/>
      <c r="RR738" s="6"/>
      <c r="RS738" s="7"/>
      <c r="RX738" s="6"/>
      <c r="SI738" s="6"/>
      <c r="SJ738" s="7"/>
      <c r="SO738" s="6"/>
      <c r="SS738" s="6"/>
      <c r="ST738" s="7"/>
      <c r="SY738" s="6"/>
    </row>
    <row r="739" spans="12:520" x14ac:dyDescent="0.3">
      <c r="O739" s="5"/>
      <c r="R739" s="5"/>
      <c r="S739" s="6"/>
      <c r="T739" s="6"/>
      <c r="U739" s="7"/>
      <c r="W739" s="6"/>
      <c r="X739" s="5"/>
      <c r="Z739" s="5"/>
      <c r="AA739" s="6"/>
      <c r="AB739" s="7"/>
      <c r="AG739" s="5"/>
      <c r="AH739" s="6"/>
      <c r="AT739" s="7"/>
      <c r="AW739" s="5"/>
      <c r="AY739" s="6"/>
      <c r="BC739" s="6"/>
      <c r="BD739" s="6"/>
      <c r="BI739" s="6"/>
      <c r="BT739" s="6"/>
      <c r="BU739" s="6"/>
      <c r="BZ739" s="6"/>
      <c r="CD739" s="6"/>
      <c r="CE739" s="6"/>
      <c r="CJ739" s="6"/>
      <c r="CU739" s="6"/>
      <c r="CV739" s="6"/>
      <c r="DA739" s="6"/>
      <c r="DE739" s="6"/>
      <c r="DF739" s="6"/>
      <c r="DK739" s="6"/>
      <c r="DV739" s="6"/>
      <c r="DW739" s="6"/>
      <c r="EB739" s="6"/>
      <c r="EF739" s="6"/>
      <c r="EG739" s="6"/>
      <c r="EL739" s="6"/>
      <c r="EW739" s="6"/>
      <c r="EX739" s="6"/>
      <c r="FC739" s="6"/>
      <c r="FG739" s="6"/>
      <c r="FH739" s="6"/>
      <c r="FM739" s="6"/>
      <c r="FX739" s="6"/>
      <c r="FY739" s="6"/>
      <c r="GD739" s="6"/>
      <c r="GH739" s="6"/>
      <c r="GI739" s="6"/>
      <c r="GN739" s="6"/>
      <c r="GY739" s="6"/>
      <c r="GZ739" s="6"/>
      <c r="HE739" s="6"/>
      <c r="HI739" s="6"/>
      <c r="HJ739" s="6"/>
      <c r="HO739" s="6"/>
      <c r="HZ739" s="6"/>
      <c r="IA739" s="6"/>
      <c r="IF739" s="6"/>
      <c r="IJ739" s="6"/>
      <c r="IK739" s="6"/>
      <c r="IP739" s="6"/>
      <c r="JA739" s="6"/>
      <c r="JB739" s="6"/>
      <c r="JG739" s="6"/>
      <c r="JK739" s="6"/>
      <c r="JL739" s="6"/>
      <c r="JQ739" s="6"/>
      <c r="KB739" s="6"/>
      <c r="KC739" s="6"/>
      <c r="KH739" s="6"/>
      <c r="KL739" s="6"/>
      <c r="KM739" s="6"/>
      <c r="KR739" s="6"/>
      <c r="LC739" s="6"/>
      <c r="LD739" s="6"/>
      <c r="LI739" s="6"/>
      <c r="LM739" s="6"/>
      <c r="LN739" s="6"/>
      <c r="LS739" s="6"/>
      <c r="MD739" s="6"/>
      <c r="ME739" s="6"/>
      <c r="MJ739" s="6"/>
      <c r="MN739" s="6"/>
      <c r="MO739" s="6"/>
      <c r="MT739" s="6"/>
      <c r="NE739" s="6"/>
      <c r="NF739" s="6"/>
      <c r="NK739" s="6"/>
      <c r="NO739" s="6"/>
      <c r="NP739" s="6"/>
      <c r="NU739" s="6"/>
      <c r="OF739" s="6"/>
      <c r="OG739" s="6"/>
      <c r="OL739" s="6"/>
      <c r="OP739" s="6"/>
      <c r="OQ739" s="6"/>
      <c r="OV739" s="6"/>
      <c r="PG739" s="6"/>
      <c r="PH739" s="6"/>
      <c r="PM739" s="6"/>
      <c r="PQ739" s="6"/>
      <c r="PR739" s="6"/>
      <c r="PW739" s="6"/>
      <c r="QH739" s="6"/>
      <c r="QI739" s="6"/>
      <c r="QN739" s="6"/>
      <c r="QR739" s="6"/>
      <c r="QS739" s="6"/>
      <c r="QX739" s="6"/>
      <c r="RI739" s="6"/>
      <c r="RJ739" s="6"/>
      <c r="RO739" s="6"/>
      <c r="RS739" s="6"/>
      <c r="RT739" s="6"/>
      <c r="RY739" s="6"/>
      <c r="SJ739" s="6"/>
      <c r="SK739" s="6"/>
      <c r="SP739" s="6"/>
      <c r="ST739" s="6"/>
      <c r="SU739" s="6"/>
      <c r="SZ739" s="6"/>
    </row>
    <row r="740" spans="12:520" x14ac:dyDescent="0.3">
      <c r="O740" s="5"/>
      <c r="R740" s="5"/>
      <c r="S740" s="6"/>
      <c r="T740" s="6"/>
      <c r="U740" s="7"/>
      <c r="W740" s="6"/>
      <c r="X740" s="5"/>
      <c r="Z740" s="5"/>
      <c r="AA740" s="6"/>
      <c r="AB740" s="7"/>
      <c r="AG740" s="5"/>
      <c r="AH740" s="6"/>
      <c r="BT740" s="6"/>
      <c r="BU740" s="6"/>
      <c r="BZ740" s="6"/>
      <c r="CD740" s="6"/>
      <c r="CE740" s="6"/>
      <c r="CJ740" s="6"/>
      <c r="CU740" s="6"/>
      <c r="CV740" s="6"/>
      <c r="DA740" s="6"/>
      <c r="DE740" s="6"/>
      <c r="DF740" s="6"/>
      <c r="DK740" s="6"/>
      <c r="DV740" s="6"/>
      <c r="DW740" s="6"/>
      <c r="EB740" s="6"/>
      <c r="EF740" s="6"/>
      <c r="EG740" s="6"/>
      <c r="EL740" s="6"/>
      <c r="EW740" s="6"/>
      <c r="EX740" s="6"/>
      <c r="FC740" s="6"/>
      <c r="FG740" s="6"/>
      <c r="FH740" s="6"/>
      <c r="FM740" s="6"/>
      <c r="FX740" s="6"/>
      <c r="FY740" s="6"/>
      <c r="GD740" s="6"/>
      <c r="GH740" s="6"/>
      <c r="GI740" s="6"/>
      <c r="GN740" s="6"/>
      <c r="GY740" s="6"/>
      <c r="GZ740" s="6"/>
      <c r="HE740" s="6"/>
      <c r="HI740" s="6"/>
      <c r="HJ740" s="6"/>
      <c r="HO740" s="6"/>
      <c r="HZ740" s="6"/>
      <c r="IA740" s="6"/>
      <c r="IF740" s="6"/>
      <c r="IJ740" s="6"/>
      <c r="IK740" s="6"/>
      <c r="IP740" s="6"/>
      <c r="JA740" s="6"/>
      <c r="JB740" s="6"/>
      <c r="JG740" s="6"/>
      <c r="JK740" s="6"/>
      <c r="JL740" s="6"/>
      <c r="JQ740" s="6"/>
      <c r="KB740" s="6"/>
      <c r="KC740" s="6"/>
      <c r="KH740" s="6"/>
      <c r="KL740" s="6"/>
      <c r="KM740" s="6"/>
      <c r="KR740" s="6"/>
      <c r="LC740" s="6"/>
      <c r="LD740" s="6"/>
      <c r="LI740" s="6"/>
      <c r="LM740" s="6"/>
      <c r="LN740" s="6"/>
      <c r="LS740" s="6"/>
      <c r="MD740" s="6"/>
      <c r="ME740" s="6"/>
      <c r="MJ740" s="6"/>
      <c r="MN740" s="6"/>
      <c r="MO740" s="6"/>
      <c r="MT740" s="6"/>
      <c r="NE740" s="6"/>
      <c r="NF740" s="6"/>
      <c r="NK740" s="6"/>
      <c r="NO740" s="6"/>
      <c r="NP740" s="6"/>
      <c r="NU740" s="6"/>
      <c r="OF740" s="6"/>
      <c r="OG740" s="6"/>
      <c r="OL740" s="6"/>
      <c r="OP740" s="6"/>
      <c r="OQ740" s="6"/>
      <c r="OV740" s="6"/>
      <c r="PG740" s="6"/>
      <c r="PH740" s="6"/>
      <c r="PM740" s="6"/>
      <c r="PQ740" s="6"/>
      <c r="PR740" s="6"/>
      <c r="PW740" s="6"/>
      <c r="QH740" s="6"/>
      <c r="QI740" s="6"/>
      <c r="QN740" s="6"/>
      <c r="QR740" s="6"/>
      <c r="QS740" s="6"/>
      <c r="QX740" s="6"/>
      <c r="RI740" s="6"/>
      <c r="RJ740" s="6"/>
      <c r="RO740" s="6"/>
      <c r="RS740" s="6"/>
      <c r="RT740" s="6"/>
      <c r="RY740" s="6"/>
      <c r="SJ740" s="6"/>
      <c r="SK740" s="6"/>
      <c r="SP740" s="6"/>
      <c r="ST740" s="6"/>
      <c r="SU740" s="6"/>
      <c r="SZ740" s="6"/>
    </row>
    <row r="741" spans="12:520" x14ac:dyDescent="0.3">
      <c r="O741" s="5"/>
      <c r="R741" s="5"/>
      <c r="S741" s="6"/>
      <c r="T741" s="6"/>
      <c r="U741" s="7"/>
      <c r="W741" s="6"/>
      <c r="X741" s="5"/>
      <c r="Z741" s="5"/>
      <c r="AA741" s="6"/>
      <c r="AB741" s="7"/>
      <c r="AG741" s="5"/>
      <c r="AH741" s="6"/>
      <c r="BT741" s="6"/>
      <c r="BU741" s="6"/>
      <c r="BZ741" s="6"/>
      <c r="CD741" s="6"/>
      <c r="CE741" s="6"/>
      <c r="CJ741" s="6"/>
      <c r="CU741" s="6"/>
      <c r="CV741" s="6"/>
      <c r="DA741" s="6"/>
      <c r="DE741" s="6"/>
      <c r="DF741" s="6"/>
      <c r="DK741" s="6"/>
      <c r="DV741" s="6"/>
      <c r="DW741" s="6"/>
      <c r="EB741" s="6"/>
      <c r="EF741" s="6"/>
      <c r="EG741" s="6"/>
      <c r="EL741" s="6"/>
      <c r="EW741" s="6"/>
      <c r="EX741" s="6"/>
      <c r="FC741" s="6"/>
      <c r="FG741" s="6"/>
      <c r="FH741" s="6"/>
      <c r="FM741" s="6"/>
      <c r="FX741" s="6"/>
      <c r="FY741" s="6"/>
      <c r="GD741" s="6"/>
      <c r="GH741" s="6"/>
      <c r="GI741" s="6"/>
      <c r="GN741" s="6"/>
      <c r="GY741" s="6"/>
      <c r="GZ741" s="6"/>
      <c r="HE741" s="6"/>
      <c r="HI741" s="6"/>
      <c r="HJ741" s="6"/>
      <c r="HO741" s="6"/>
      <c r="HZ741" s="6"/>
      <c r="IA741" s="6"/>
      <c r="IF741" s="6"/>
      <c r="IJ741" s="6"/>
      <c r="IK741" s="6"/>
      <c r="IP741" s="6"/>
      <c r="JA741" s="6"/>
      <c r="JB741" s="6"/>
      <c r="JG741" s="6"/>
      <c r="JK741" s="6"/>
      <c r="JL741" s="6"/>
      <c r="JQ741" s="6"/>
      <c r="KB741" s="6"/>
      <c r="KC741" s="6"/>
      <c r="KH741" s="6"/>
      <c r="KL741" s="6"/>
      <c r="KM741" s="6"/>
      <c r="KR741" s="6"/>
      <c r="KW741" s="8"/>
      <c r="KX741" s="8"/>
      <c r="KY741" s="8"/>
      <c r="LC741" s="6"/>
      <c r="LD741" s="6"/>
      <c r="LI741" s="6"/>
      <c r="LM741" s="6"/>
      <c r="LN741" s="6"/>
      <c r="LS741" s="6"/>
      <c r="MD741" s="6"/>
      <c r="ME741" s="6"/>
      <c r="MJ741" s="6"/>
      <c r="MN741" s="6"/>
      <c r="MO741" s="6"/>
      <c r="MT741" s="6"/>
      <c r="NE741" s="6"/>
      <c r="NF741" s="6"/>
      <c r="NK741" s="6"/>
      <c r="NO741" s="6"/>
      <c r="NP741" s="6"/>
      <c r="NU741" s="6"/>
      <c r="OF741" s="6"/>
      <c r="OG741" s="6"/>
      <c r="OL741" s="6"/>
      <c r="OP741" s="6"/>
      <c r="OQ741" s="6"/>
      <c r="OV741" s="6"/>
      <c r="PG741" s="6"/>
      <c r="PH741" s="6"/>
      <c r="PM741" s="6"/>
      <c r="PQ741" s="6"/>
      <c r="PR741" s="6"/>
      <c r="PW741" s="6"/>
      <c r="QH741" s="6"/>
      <c r="QI741" s="6"/>
      <c r="QN741" s="6"/>
      <c r="QR741" s="6"/>
      <c r="QS741" s="6"/>
      <c r="QX741" s="6"/>
      <c r="RI741" s="6"/>
      <c r="RJ741" s="6"/>
      <c r="RO741" s="6"/>
      <c r="RS741" s="6"/>
      <c r="RT741" s="6"/>
      <c r="RY741" s="6"/>
      <c r="SJ741" s="6"/>
      <c r="SK741" s="6"/>
      <c r="SP741" s="6"/>
      <c r="ST741" s="6"/>
      <c r="SU741" s="6"/>
      <c r="SZ741" s="6"/>
    </row>
    <row r="742" spans="12:520" x14ac:dyDescent="0.3">
      <c r="O742" s="5"/>
      <c r="R742" s="5"/>
      <c r="S742" s="6"/>
      <c r="T742" s="6"/>
      <c r="U742" s="7"/>
      <c r="W742" s="6"/>
      <c r="X742" s="5"/>
      <c r="Z742" s="5"/>
      <c r="AA742" s="6"/>
      <c r="AB742" s="7"/>
      <c r="AG742" s="5"/>
      <c r="AH742" s="6"/>
      <c r="AR742" s="6"/>
      <c r="AS742" s="7"/>
      <c r="BT742" s="6"/>
      <c r="BU742" s="6"/>
      <c r="BZ742" s="6"/>
      <c r="CD742" s="6"/>
      <c r="CE742" s="6"/>
      <c r="CJ742" s="6"/>
      <c r="CU742" s="6"/>
      <c r="CV742" s="6"/>
      <c r="DA742" s="6"/>
      <c r="DE742" s="6"/>
      <c r="DF742" s="6"/>
      <c r="DK742" s="6"/>
      <c r="DV742" s="6"/>
      <c r="DW742" s="6"/>
      <c r="EB742" s="6"/>
      <c r="EF742" s="6"/>
      <c r="EG742" s="6"/>
      <c r="EL742" s="6"/>
      <c r="EW742" s="6"/>
      <c r="EX742" s="6"/>
      <c r="FC742" s="6"/>
      <c r="FG742" s="6"/>
      <c r="FH742" s="6"/>
      <c r="FM742" s="6"/>
      <c r="FX742" s="6"/>
      <c r="FY742" s="6"/>
      <c r="GD742" s="6"/>
      <c r="GH742" s="6"/>
      <c r="GI742" s="6"/>
      <c r="GN742" s="6"/>
      <c r="GY742" s="6"/>
      <c r="GZ742" s="6"/>
      <c r="HE742" s="6"/>
      <c r="HI742" s="6"/>
      <c r="HJ742" s="6"/>
      <c r="HO742" s="6"/>
      <c r="HZ742" s="6"/>
      <c r="IA742" s="6"/>
      <c r="IF742" s="6"/>
      <c r="IJ742" s="6"/>
      <c r="IK742" s="6"/>
      <c r="IP742" s="6"/>
      <c r="JA742" s="6"/>
      <c r="JB742" s="6"/>
      <c r="JG742" s="6"/>
      <c r="JK742" s="6"/>
      <c r="JL742" s="6"/>
      <c r="JQ742" s="6"/>
      <c r="KB742" s="6"/>
      <c r="KC742" s="6"/>
      <c r="KH742" s="6"/>
      <c r="KL742" s="6"/>
      <c r="KM742" s="6"/>
      <c r="KR742" s="6"/>
      <c r="MD742" s="6"/>
      <c r="ME742" s="6"/>
      <c r="MJ742" s="6"/>
      <c r="MN742" s="6"/>
      <c r="MO742" s="6"/>
      <c r="MT742" s="6"/>
      <c r="NE742" s="6"/>
      <c r="NF742" s="6"/>
      <c r="NK742" s="6"/>
      <c r="NO742" s="6"/>
      <c r="NP742" s="6"/>
      <c r="NU742" s="6"/>
      <c r="OF742" s="6"/>
      <c r="OG742" s="6"/>
      <c r="OL742" s="6"/>
      <c r="OP742" s="6"/>
      <c r="OQ742" s="6"/>
      <c r="OV742" s="6"/>
      <c r="PG742" s="6"/>
      <c r="PH742" s="6"/>
      <c r="PM742" s="6"/>
      <c r="PQ742" s="6"/>
      <c r="PR742" s="6"/>
      <c r="PW742" s="6"/>
      <c r="QH742" s="6"/>
      <c r="QI742" s="6"/>
      <c r="QN742" s="6"/>
      <c r="QR742" s="6"/>
      <c r="QS742" s="6"/>
      <c r="QX742" s="6"/>
      <c r="RI742" s="6"/>
      <c r="RJ742" s="6"/>
      <c r="RO742" s="6"/>
      <c r="RS742" s="6"/>
      <c r="RT742" s="6"/>
      <c r="RY742" s="6"/>
      <c r="SJ742" s="6"/>
      <c r="SK742" s="6"/>
      <c r="SP742" s="6"/>
      <c r="ST742" s="6"/>
      <c r="SU742" s="6"/>
      <c r="SZ742" s="6"/>
    </row>
    <row r="743" spans="12:520" x14ac:dyDescent="0.3">
      <c r="O743" s="5"/>
      <c r="R743" s="5"/>
      <c r="S743" s="6"/>
      <c r="T743" s="6"/>
      <c r="U743" s="7"/>
      <c r="W743" s="6"/>
      <c r="X743" s="5"/>
      <c r="Z743" s="5"/>
      <c r="AA743" s="6"/>
      <c r="AB743" s="7"/>
      <c r="AG743" s="5"/>
      <c r="AH743" s="6"/>
      <c r="AM743" s="8"/>
      <c r="AN743" s="8"/>
      <c r="AO743" s="8"/>
      <c r="AQ743" s="5"/>
      <c r="AR743" s="5"/>
      <c r="AS743" s="6"/>
      <c r="BT743" s="6"/>
      <c r="BU743" s="6"/>
      <c r="BZ743" s="6"/>
      <c r="CD743" s="6"/>
      <c r="CE743" s="6"/>
      <c r="CJ743" s="6"/>
      <c r="CU743" s="6"/>
      <c r="CV743" s="6"/>
      <c r="DA743" s="6"/>
      <c r="DE743" s="6"/>
      <c r="DF743" s="6"/>
      <c r="DK743" s="6"/>
      <c r="DV743" s="6"/>
      <c r="DW743" s="6"/>
      <c r="EB743" s="6"/>
      <c r="EF743" s="6"/>
      <c r="EG743" s="6"/>
      <c r="EL743" s="6"/>
      <c r="EW743" s="6"/>
      <c r="EX743" s="6"/>
      <c r="FC743" s="6"/>
      <c r="FG743" s="6"/>
      <c r="FH743" s="6"/>
      <c r="FM743" s="6"/>
      <c r="FX743" s="6"/>
      <c r="FY743" s="6"/>
      <c r="GD743" s="6"/>
      <c r="GH743" s="6"/>
      <c r="GI743" s="6"/>
      <c r="GN743" s="6"/>
      <c r="GY743" s="6"/>
      <c r="GZ743" s="6"/>
      <c r="HE743" s="6"/>
      <c r="HI743" s="6"/>
      <c r="HJ743" s="6"/>
      <c r="HO743" s="6"/>
      <c r="HZ743" s="6"/>
      <c r="IA743" s="6"/>
      <c r="IF743" s="6"/>
      <c r="IJ743" s="6"/>
      <c r="IK743" s="6"/>
      <c r="IP743" s="6"/>
      <c r="JA743" s="6"/>
      <c r="JB743" s="6"/>
      <c r="JG743" s="6"/>
      <c r="JK743" s="6"/>
      <c r="JL743" s="6"/>
      <c r="JQ743" s="6"/>
      <c r="KB743" s="6"/>
      <c r="KC743" s="6"/>
      <c r="KH743" s="6"/>
      <c r="KL743" s="6"/>
      <c r="KM743" s="6"/>
      <c r="KR743" s="6"/>
      <c r="MD743" s="6"/>
      <c r="ME743" s="6"/>
      <c r="MJ743" s="6"/>
      <c r="MN743" s="6"/>
      <c r="MO743" s="6"/>
      <c r="MT743" s="6"/>
      <c r="NE743" s="6"/>
      <c r="NF743" s="6"/>
      <c r="NK743" s="6"/>
      <c r="NO743" s="6"/>
      <c r="NP743" s="6"/>
      <c r="NU743" s="6"/>
      <c r="OF743" s="6"/>
      <c r="OG743" s="6"/>
      <c r="OL743" s="6"/>
      <c r="OP743" s="6"/>
      <c r="OQ743" s="6"/>
      <c r="OV743" s="6"/>
      <c r="PG743" s="6"/>
      <c r="PH743" s="6"/>
      <c r="PM743" s="6"/>
      <c r="PQ743" s="6"/>
      <c r="PR743" s="6"/>
      <c r="PW743" s="6"/>
      <c r="QH743" s="6"/>
      <c r="QI743" s="6"/>
      <c r="QN743" s="6"/>
      <c r="QR743" s="6"/>
      <c r="QS743" s="6"/>
      <c r="QX743" s="6"/>
      <c r="RI743" s="6"/>
      <c r="RJ743" s="6"/>
      <c r="RO743" s="6"/>
      <c r="RS743" s="6"/>
      <c r="RT743" s="6"/>
      <c r="RY743" s="6"/>
      <c r="SJ743" s="6"/>
      <c r="SK743" s="6"/>
      <c r="SP743" s="6"/>
      <c r="ST743" s="6"/>
      <c r="SU743" s="6"/>
      <c r="SZ743" s="6"/>
    </row>
    <row r="744" spans="12:520" x14ac:dyDescent="0.3">
      <c r="O744" s="5"/>
      <c r="R744" s="5"/>
      <c r="S744" s="6"/>
      <c r="T744" s="6"/>
      <c r="U744" s="7"/>
      <c r="W744" s="6"/>
      <c r="X744" s="5"/>
      <c r="Z744" s="5"/>
      <c r="AA744" s="6"/>
      <c r="AB744" s="7"/>
      <c r="AG744" s="5"/>
      <c r="AH744" s="6"/>
      <c r="BT744" s="6"/>
      <c r="BU744" s="6"/>
      <c r="BZ744" s="6"/>
      <c r="CD744" s="6"/>
      <c r="CE744" s="6"/>
      <c r="CJ744" s="6"/>
      <c r="CU744" s="6"/>
      <c r="CV744" s="6"/>
      <c r="DA744" s="6"/>
      <c r="DE744" s="6"/>
      <c r="DF744" s="6"/>
      <c r="DK744" s="6"/>
      <c r="DV744" s="6"/>
      <c r="DW744" s="6"/>
      <c r="EB744" s="6"/>
      <c r="EF744" s="6"/>
      <c r="EG744" s="6"/>
      <c r="EL744" s="6"/>
      <c r="EW744" s="6"/>
      <c r="EX744" s="6"/>
      <c r="FC744" s="6"/>
      <c r="FG744" s="6"/>
      <c r="FH744" s="6"/>
      <c r="FM744" s="6"/>
      <c r="FX744" s="6"/>
      <c r="FY744" s="6"/>
      <c r="GD744" s="6"/>
      <c r="GH744" s="6"/>
      <c r="GI744" s="6"/>
      <c r="GN744" s="6"/>
      <c r="GY744" s="6"/>
      <c r="GZ744" s="6"/>
      <c r="HE744" s="6"/>
      <c r="HI744" s="6"/>
      <c r="HJ744" s="6"/>
      <c r="HO744" s="6"/>
      <c r="HZ744" s="6"/>
      <c r="IA744" s="6"/>
      <c r="IF744" s="6"/>
      <c r="IJ744" s="6"/>
      <c r="IK744" s="6"/>
      <c r="IP744" s="6"/>
      <c r="IU744" s="8"/>
      <c r="IV744" s="8"/>
      <c r="IW744" s="8"/>
      <c r="JA744" s="6"/>
      <c r="JB744" s="6"/>
      <c r="JG744" s="6"/>
      <c r="JK744" s="6"/>
      <c r="JL744" s="6"/>
      <c r="JQ744" s="6"/>
      <c r="KB744" s="6"/>
      <c r="KC744" s="6"/>
      <c r="KH744" s="6"/>
      <c r="KL744" s="6"/>
      <c r="KM744" s="6"/>
      <c r="KR744" s="6"/>
      <c r="MD744" s="6"/>
      <c r="ME744" s="6"/>
      <c r="MJ744" s="6"/>
      <c r="MN744" s="6"/>
      <c r="MO744" s="6"/>
      <c r="MT744" s="6"/>
      <c r="NE744" s="6"/>
      <c r="NF744" s="6"/>
      <c r="NK744" s="6"/>
      <c r="NO744" s="6"/>
      <c r="NP744" s="6"/>
      <c r="NU744" s="6"/>
      <c r="OF744" s="6"/>
      <c r="OG744" s="6"/>
      <c r="OL744" s="6"/>
      <c r="OP744" s="6"/>
      <c r="OQ744" s="6"/>
      <c r="OV744" s="6"/>
      <c r="PG744" s="6"/>
      <c r="PH744" s="6"/>
      <c r="PM744" s="6"/>
      <c r="PQ744" s="6"/>
      <c r="PR744" s="6"/>
      <c r="PW744" s="6"/>
      <c r="QH744" s="6"/>
      <c r="QI744" s="6"/>
      <c r="QN744" s="6"/>
      <c r="QR744" s="6"/>
      <c r="QS744" s="6"/>
      <c r="QX744" s="6"/>
      <c r="RI744" s="6"/>
      <c r="RJ744" s="6"/>
      <c r="RO744" s="6"/>
      <c r="RS744" s="6"/>
      <c r="RT744" s="6"/>
      <c r="RY744" s="6"/>
      <c r="SJ744" s="6"/>
      <c r="SK744" s="6"/>
      <c r="SP744" s="6"/>
      <c r="ST744" s="6"/>
      <c r="SU744" s="6"/>
      <c r="SZ744" s="6"/>
    </row>
    <row r="745" spans="12:520" x14ac:dyDescent="0.3">
      <c r="R745" s="5"/>
      <c r="S745" s="6"/>
      <c r="T745" s="6"/>
      <c r="U745" s="7"/>
      <c r="W745" s="6"/>
      <c r="Z745" s="5"/>
      <c r="AA745" s="6"/>
      <c r="AB745" s="7"/>
      <c r="AG745" s="5"/>
      <c r="AH745" s="6"/>
      <c r="BT745" s="6"/>
      <c r="BU745" s="6"/>
      <c r="BZ745" s="6"/>
      <c r="CD745" s="6"/>
      <c r="CE745" s="6"/>
      <c r="CJ745" s="6"/>
      <c r="CU745" s="6"/>
      <c r="CV745" s="6"/>
      <c r="DA745" s="6"/>
      <c r="DE745" s="6"/>
      <c r="DF745" s="6"/>
      <c r="DK745" s="6"/>
      <c r="DV745" s="6"/>
      <c r="DW745" s="6"/>
      <c r="EB745" s="6"/>
      <c r="EF745" s="6"/>
      <c r="EG745" s="6"/>
      <c r="EL745" s="6"/>
      <c r="EW745" s="6"/>
      <c r="EX745" s="6"/>
      <c r="FC745" s="6"/>
      <c r="FG745" s="6"/>
      <c r="FH745" s="6"/>
      <c r="FM745" s="6"/>
      <c r="FX745" s="6"/>
      <c r="FY745" s="6"/>
      <c r="GD745" s="6"/>
      <c r="GH745" s="6"/>
      <c r="GI745" s="6"/>
      <c r="GN745" s="6"/>
      <c r="GY745" s="6"/>
      <c r="GZ745" s="6"/>
      <c r="HE745" s="6"/>
      <c r="HI745" s="6"/>
      <c r="HJ745" s="6"/>
      <c r="HO745" s="6"/>
      <c r="HZ745" s="6"/>
      <c r="IA745" s="6"/>
      <c r="IF745" s="6"/>
      <c r="IJ745" s="6"/>
      <c r="IK745" s="6"/>
      <c r="IP745" s="6"/>
      <c r="KB745" s="6"/>
      <c r="KC745" s="6"/>
      <c r="KH745" s="6"/>
      <c r="KL745" s="6"/>
      <c r="KM745" s="6"/>
      <c r="KR745" s="6"/>
      <c r="MD745" s="6"/>
      <c r="ME745" s="6"/>
      <c r="MJ745" s="6"/>
      <c r="MN745" s="6"/>
      <c r="MO745" s="6"/>
      <c r="MT745" s="6"/>
      <c r="NE745" s="6"/>
      <c r="NF745" s="6"/>
      <c r="NK745" s="6"/>
      <c r="NO745" s="6"/>
      <c r="NP745" s="6"/>
      <c r="NU745" s="6"/>
      <c r="OF745" s="6"/>
      <c r="OG745" s="6"/>
      <c r="OL745" s="6"/>
      <c r="OP745" s="6"/>
      <c r="OQ745" s="6"/>
      <c r="OV745" s="6"/>
      <c r="PG745" s="6"/>
      <c r="PH745" s="6"/>
      <c r="PM745" s="6"/>
      <c r="PQ745" s="6"/>
      <c r="PR745" s="6"/>
      <c r="PW745" s="6"/>
      <c r="QH745" s="6"/>
      <c r="QI745" s="6"/>
      <c r="QN745" s="6"/>
      <c r="QR745" s="6"/>
      <c r="QS745" s="6"/>
      <c r="QX745" s="6"/>
      <c r="RI745" s="6"/>
      <c r="RJ745" s="6"/>
      <c r="RO745" s="6"/>
      <c r="RS745" s="6"/>
      <c r="RT745" s="6"/>
      <c r="RY745" s="6"/>
      <c r="SJ745" s="6"/>
      <c r="SK745" s="6"/>
      <c r="SP745" s="6"/>
      <c r="ST745" s="6"/>
      <c r="SU745" s="6"/>
      <c r="SZ745" s="6"/>
    </row>
    <row r="746" spans="12:520" x14ac:dyDescent="0.3">
      <c r="O746" s="5"/>
      <c r="R746" s="5"/>
      <c r="S746" s="6"/>
      <c r="T746" s="6"/>
      <c r="U746" s="7"/>
      <c r="W746" s="6"/>
      <c r="X746" s="5"/>
      <c r="Z746" s="5"/>
      <c r="AA746" s="6"/>
      <c r="AB746" s="7"/>
      <c r="AG746" s="5"/>
      <c r="AH746" s="6"/>
      <c r="BT746" s="6"/>
      <c r="BU746" s="6"/>
      <c r="BZ746" s="6"/>
      <c r="CD746" s="6"/>
      <c r="CE746" s="6"/>
      <c r="CJ746" s="6"/>
      <c r="CU746" s="6"/>
      <c r="CV746" s="6"/>
      <c r="DA746" s="6"/>
      <c r="DE746" s="6"/>
      <c r="DF746" s="6"/>
      <c r="DK746" s="6"/>
      <c r="DV746" s="6"/>
      <c r="DW746" s="6"/>
      <c r="EB746" s="6"/>
      <c r="EF746" s="6"/>
      <c r="EG746" s="6"/>
      <c r="EL746" s="6"/>
      <c r="EW746" s="6"/>
      <c r="EX746" s="6"/>
      <c r="FC746" s="6"/>
      <c r="FG746" s="6"/>
      <c r="FH746" s="6"/>
      <c r="FM746" s="6"/>
      <c r="FX746" s="6"/>
      <c r="FY746" s="6"/>
      <c r="GD746" s="6"/>
      <c r="GH746" s="6"/>
      <c r="GI746" s="6"/>
      <c r="GN746" s="6"/>
      <c r="GY746" s="6"/>
      <c r="GZ746" s="6"/>
      <c r="HE746" s="6"/>
      <c r="HI746" s="6"/>
      <c r="HJ746" s="6"/>
      <c r="HO746" s="6"/>
      <c r="HZ746" s="6"/>
      <c r="IA746" s="6"/>
      <c r="IF746" s="6"/>
      <c r="IJ746" s="6"/>
      <c r="IK746" s="6"/>
      <c r="IP746" s="6"/>
      <c r="KB746" s="6"/>
      <c r="KC746" s="6"/>
      <c r="KH746" s="6"/>
      <c r="KL746" s="6"/>
      <c r="KM746" s="6"/>
      <c r="KR746" s="6"/>
      <c r="MD746" s="6"/>
      <c r="ME746" s="6"/>
      <c r="MJ746" s="6"/>
      <c r="MN746" s="6"/>
      <c r="MO746" s="6"/>
      <c r="MT746" s="6"/>
      <c r="NE746" s="6"/>
      <c r="NF746" s="6"/>
      <c r="NK746" s="6"/>
      <c r="NO746" s="6"/>
      <c r="NP746" s="6"/>
      <c r="NU746" s="6"/>
      <c r="OF746" s="6"/>
      <c r="OG746" s="6"/>
      <c r="OL746" s="6"/>
      <c r="OP746" s="6"/>
      <c r="OQ746" s="6"/>
      <c r="OV746" s="6"/>
      <c r="PA746" s="8"/>
      <c r="PB746" s="8"/>
      <c r="PC746" s="8"/>
      <c r="PG746" s="6"/>
      <c r="PH746" s="6"/>
      <c r="PM746" s="6"/>
      <c r="PQ746" s="6"/>
      <c r="PR746" s="6"/>
      <c r="PW746" s="6"/>
      <c r="QH746" s="6"/>
      <c r="QI746" s="6"/>
      <c r="QN746" s="6"/>
      <c r="QR746" s="6"/>
      <c r="QS746" s="6"/>
      <c r="QX746" s="6"/>
      <c r="RI746" s="6"/>
      <c r="RJ746" s="6"/>
      <c r="RO746" s="6"/>
      <c r="RS746" s="6"/>
      <c r="RT746" s="6"/>
      <c r="RY746" s="6"/>
      <c r="SJ746" s="6"/>
      <c r="SK746" s="6"/>
      <c r="SP746" s="6"/>
      <c r="ST746" s="6"/>
      <c r="SU746" s="6"/>
      <c r="SZ746" s="6"/>
    </row>
    <row r="747" spans="12:520" x14ac:dyDescent="0.3">
      <c r="O747" s="5"/>
      <c r="R747" s="5"/>
      <c r="S747" s="6"/>
      <c r="T747" s="6"/>
      <c r="U747" s="7"/>
      <c r="W747" s="6"/>
      <c r="X747" s="5"/>
      <c r="Z747" s="5"/>
      <c r="AA747" s="6"/>
      <c r="AB747" s="7"/>
      <c r="AG747" s="5"/>
      <c r="AH747" s="6"/>
      <c r="BT747" s="6"/>
      <c r="BU747" s="6"/>
      <c r="BZ747" s="6"/>
      <c r="CD747" s="6"/>
      <c r="CE747" s="6"/>
      <c r="CJ747" s="6"/>
      <c r="CU747" s="6"/>
      <c r="CV747" s="6"/>
      <c r="DA747" s="6"/>
      <c r="DE747" s="6"/>
      <c r="DF747" s="6"/>
      <c r="DK747" s="6"/>
      <c r="DV747" s="6"/>
      <c r="DW747" s="6"/>
      <c r="EB747" s="6"/>
      <c r="EF747" s="6"/>
      <c r="EG747" s="6"/>
      <c r="EL747" s="6"/>
      <c r="EW747" s="6"/>
      <c r="EX747" s="6"/>
      <c r="FC747" s="6"/>
      <c r="FG747" s="6"/>
      <c r="FH747" s="6"/>
      <c r="FM747" s="6"/>
      <c r="FX747" s="6"/>
      <c r="FY747" s="6"/>
      <c r="GD747" s="6"/>
      <c r="GH747" s="6"/>
      <c r="GI747" s="6"/>
      <c r="GN747" s="6"/>
      <c r="GY747" s="6"/>
      <c r="GZ747" s="6"/>
      <c r="HE747" s="6"/>
      <c r="HI747" s="6"/>
      <c r="HJ747" s="6"/>
      <c r="HO747" s="6"/>
      <c r="HZ747" s="6"/>
      <c r="IA747" s="6"/>
      <c r="IF747" s="6"/>
      <c r="IJ747" s="6"/>
      <c r="IK747" s="6"/>
      <c r="IP747" s="6"/>
      <c r="KB747" s="6"/>
      <c r="KC747" s="6"/>
      <c r="KH747" s="6"/>
      <c r="KL747" s="6"/>
      <c r="KM747" s="6"/>
      <c r="KR747" s="6"/>
      <c r="MD747" s="6"/>
      <c r="ME747" s="6"/>
      <c r="MJ747" s="6"/>
      <c r="MN747" s="6"/>
      <c r="MO747" s="6"/>
      <c r="MT747" s="6"/>
      <c r="NE747" s="6"/>
      <c r="NF747" s="6"/>
      <c r="NK747" s="6"/>
      <c r="NO747" s="6"/>
      <c r="NP747" s="6"/>
      <c r="NU747" s="6"/>
      <c r="OF747" s="6"/>
      <c r="OG747" s="6"/>
      <c r="OL747" s="6"/>
      <c r="OP747" s="6"/>
      <c r="OQ747" s="6"/>
      <c r="OV747" s="6"/>
      <c r="QH747" s="6"/>
      <c r="QI747" s="6"/>
      <c r="QN747" s="6"/>
      <c r="QR747" s="6"/>
      <c r="QS747" s="6"/>
      <c r="QX747" s="6"/>
      <c r="RI747" s="6"/>
      <c r="RJ747" s="6"/>
      <c r="RO747" s="6"/>
      <c r="RS747" s="6"/>
      <c r="RT747" s="6"/>
      <c r="RY747" s="6"/>
      <c r="SJ747" s="6"/>
      <c r="SK747" s="6"/>
      <c r="SP747" s="6"/>
      <c r="ST747" s="6"/>
      <c r="SU747" s="6"/>
      <c r="SZ747" s="6"/>
    </row>
    <row r="748" spans="12:520" x14ac:dyDescent="0.3">
      <c r="O748" s="5"/>
      <c r="R748" s="5"/>
      <c r="S748" s="6"/>
      <c r="T748" s="6"/>
      <c r="U748" s="7"/>
      <c r="W748" s="6"/>
      <c r="X748" s="5"/>
      <c r="Z748" s="5"/>
      <c r="AA748" s="6"/>
      <c r="AB748" s="7"/>
      <c r="AG748" s="5"/>
      <c r="AH748" s="6"/>
      <c r="BT748" s="6"/>
      <c r="BU748" s="6"/>
      <c r="BZ748" s="6"/>
      <c r="CD748" s="6"/>
      <c r="CE748" s="6"/>
      <c r="CJ748" s="6"/>
      <c r="CU748" s="6"/>
      <c r="CV748" s="6"/>
      <c r="DA748" s="6"/>
      <c r="DE748" s="6"/>
      <c r="DF748" s="6"/>
      <c r="DK748" s="6"/>
      <c r="DV748" s="6"/>
      <c r="DW748" s="6"/>
      <c r="EB748" s="6"/>
      <c r="EF748" s="6"/>
      <c r="EG748" s="6"/>
      <c r="EL748" s="6"/>
      <c r="EW748" s="6"/>
      <c r="EX748" s="6"/>
      <c r="FC748" s="6"/>
      <c r="FG748" s="6"/>
      <c r="FH748" s="6"/>
      <c r="FM748" s="6"/>
      <c r="FX748" s="6"/>
      <c r="FY748" s="6"/>
      <c r="GD748" s="6"/>
      <c r="GH748" s="6"/>
      <c r="GI748" s="6"/>
      <c r="GN748" s="6"/>
      <c r="GS748" s="8"/>
      <c r="GT748" s="8"/>
      <c r="GU748" s="8"/>
      <c r="GY748" s="6"/>
      <c r="GZ748" s="6"/>
      <c r="HE748" s="6"/>
      <c r="HI748" s="6"/>
      <c r="HJ748" s="6"/>
      <c r="HO748" s="6"/>
      <c r="HZ748" s="6"/>
      <c r="IA748" s="6"/>
      <c r="IF748" s="6"/>
      <c r="IJ748" s="6"/>
      <c r="IK748" s="6"/>
      <c r="IP748" s="6"/>
      <c r="KB748" s="6"/>
      <c r="KC748" s="6"/>
      <c r="KH748" s="6"/>
      <c r="KL748" s="6"/>
      <c r="KM748" s="6"/>
      <c r="KR748" s="6"/>
      <c r="MD748" s="6"/>
      <c r="ME748" s="6"/>
      <c r="MJ748" s="6"/>
      <c r="MN748" s="6"/>
      <c r="MO748" s="6"/>
      <c r="MT748" s="6"/>
      <c r="NE748" s="6"/>
      <c r="NF748" s="6"/>
      <c r="NK748" s="6"/>
      <c r="NO748" s="6"/>
      <c r="NP748" s="6"/>
      <c r="NU748" s="6"/>
      <c r="OF748" s="6"/>
      <c r="OG748" s="6"/>
      <c r="OL748" s="6"/>
      <c r="OP748" s="6"/>
      <c r="OQ748" s="6"/>
      <c r="OV748" s="6"/>
      <c r="QH748" s="6"/>
      <c r="QI748" s="6"/>
      <c r="QN748" s="6"/>
      <c r="QR748" s="6"/>
      <c r="QS748" s="6"/>
      <c r="QX748" s="6"/>
      <c r="RI748" s="6"/>
      <c r="RJ748" s="6"/>
      <c r="RO748" s="6"/>
      <c r="RS748" s="6"/>
      <c r="RT748" s="6"/>
      <c r="RY748" s="6"/>
      <c r="SJ748" s="6"/>
      <c r="SK748" s="6"/>
      <c r="SP748" s="6"/>
      <c r="ST748" s="6"/>
      <c r="SU748" s="6"/>
      <c r="SZ748" s="6"/>
    </row>
    <row r="749" spans="12:520" x14ac:dyDescent="0.3">
      <c r="L749" s="8"/>
      <c r="M749" s="8"/>
      <c r="N749" s="8"/>
      <c r="O749" s="5"/>
      <c r="R749" s="5"/>
      <c r="S749" s="6"/>
      <c r="T749" s="6"/>
      <c r="U749" s="7"/>
      <c r="W749" s="6"/>
      <c r="X749" s="5"/>
      <c r="Z749" s="5"/>
      <c r="AA749" s="6"/>
      <c r="AB749" s="7"/>
      <c r="AG749" s="5"/>
      <c r="AH749" s="6"/>
      <c r="BN749" s="8"/>
      <c r="BO749" s="8"/>
      <c r="BP749" s="8"/>
      <c r="BT749" s="6"/>
      <c r="BU749" s="6"/>
      <c r="BZ749" s="6"/>
      <c r="CD749" s="6"/>
      <c r="CE749" s="6"/>
      <c r="CJ749" s="6"/>
      <c r="CO749" s="8"/>
      <c r="CP749" s="8"/>
      <c r="CQ749" s="8"/>
      <c r="CU749" s="6"/>
      <c r="CV749" s="6"/>
      <c r="DA749" s="6"/>
      <c r="DE749" s="6"/>
      <c r="DF749" s="6"/>
      <c r="DK749" s="6"/>
      <c r="DP749" s="8"/>
      <c r="DQ749" s="8"/>
      <c r="DR749" s="8"/>
      <c r="DV749" s="6"/>
      <c r="DW749" s="6"/>
      <c r="EB749" s="6"/>
      <c r="EF749" s="6"/>
      <c r="EG749" s="6"/>
      <c r="EL749" s="6"/>
      <c r="EQ749" s="8"/>
      <c r="ER749" s="8"/>
      <c r="ES749" s="8"/>
      <c r="EW749" s="6"/>
      <c r="EX749" s="6"/>
      <c r="FC749" s="6"/>
      <c r="FG749" s="6"/>
      <c r="FH749" s="6"/>
      <c r="FM749" s="6"/>
      <c r="FR749" s="8"/>
      <c r="FS749" s="8"/>
      <c r="FT749" s="8"/>
      <c r="FX749" s="6"/>
      <c r="FY749" s="6"/>
      <c r="GD749" s="6"/>
      <c r="GH749" s="6"/>
      <c r="GI749" s="6"/>
      <c r="GN749" s="6"/>
      <c r="HT749" s="8"/>
      <c r="HU749" s="8"/>
      <c r="HV749" s="8"/>
      <c r="HZ749" s="6"/>
      <c r="IA749" s="6"/>
      <c r="IF749" s="6"/>
      <c r="IJ749" s="6"/>
      <c r="IK749" s="6"/>
      <c r="IP749" s="6"/>
      <c r="JV749" s="8"/>
      <c r="JW749" s="8"/>
      <c r="JX749" s="8"/>
      <c r="KB749" s="6"/>
      <c r="KC749" s="6"/>
      <c r="KH749" s="6"/>
      <c r="KL749" s="6"/>
      <c r="KM749" s="6"/>
      <c r="KR749" s="6"/>
      <c r="LX749" s="8"/>
      <c r="LY749" s="8"/>
      <c r="LZ749" s="8"/>
      <c r="MD749" s="6"/>
      <c r="ME749" s="6"/>
      <c r="MJ749" s="6"/>
      <c r="MN749" s="6"/>
      <c r="MO749" s="6"/>
      <c r="MT749" s="6"/>
      <c r="MY749" s="8"/>
      <c r="MZ749" s="8"/>
      <c r="NA749" s="8"/>
      <c r="NE749" s="6"/>
      <c r="NF749" s="6"/>
      <c r="NK749" s="6"/>
      <c r="NO749" s="6"/>
      <c r="NP749" s="6"/>
      <c r="NU749" s="6"/>
      <c r="NZ749" s="8"/>
      <c r="OA749" s="8"/>
      <c r="OB749" s="8"/>
      <c r="OF749" s="6"/>
      <c r="OG749" s="6"/>
      <c r="OL749" s="6"/>
      <c r="OP749" s="6"/>
      <c r="OQ749" s="6"/>
      <c r="OV749" s="6"/>
      <c r="QB749" s="8"/>
      <c r="QC749" s="8"/>
      <c r="QD749" s="8"/>
      <c r="QH749" s="6"/>
      <c r="QI749" s="6"/>
      <c r="QN749" s="6"/>
      <c r="QR749" s="6"/>
      <c r="QS749" s="6"/>
      <c r="QX749" s="6"/>
      <c r="RC749" s="8"/>
      <c r="RD749" s="8"/>
      <c r="RE749" s="8"/>
      <c r="RI749" s="6"/>
      <c r="RJ749" s="6"/>
      <c r="RO749" s="6"/>
      <c r="RS749" s="6"/>
      <c r="RT749" s="6"/>
      <c r="RY749" s="6"/>
      <c r="SD749" s="8"/>
      <c r="SE749" s="8"/>
      <c r="SF749" s="8"/>
      <c r="SJ749" s="6"/>
      <c r="SK749" s="6"/>
      <c r="SP749" s="6"/>
      <c r="ST749" s="6"/>
      <c r="SU749" s="6"/>
      <c r="SZ749" s="6"/>
    </row>
    <row r="770" spans="12:520" x14ac:dyDescent="0.3">
      <c r="R770" s="6"/>
      <c r="S770" s="7"/>
      <c r="T770" s="7"/>
      <c r="Z770" s="6"/>
      <c r="AA770" s="7"/>
      <c r="AG770" s="6"/>
      <c r="AX770" s="6"/>
      <c r="BB770" s="6"/>
      <c r="BC770" s="7"/>
      <c r="BH770" s="6"/>
      <c r="BS770" s="6"/>
      <c r="BT770" s="7"/>
      <c r="BY770" s="6"/>
      <c r="CC770" s="6"/>
      <c r="CD770" s="7"/>
      <c r="CI770" s="6"/>
      <c r="CT770" s="6"/>
      <c r="CU770" s="7"/>
      <c r="CZ770" s="6"/>
      <c r="DD770" s="6"/>
      <c r="DE770" s="7"/>
      <c r="DJ770" s="6"/>
      <c r="DU770" s="6"/>
      <c r="DV770" s="7"/>
      <c r="EA770" s="6"/>
      <c r="EE770" s="6"/>
      <c r="EF770" s="7"/>
      <c r="EK770" s="6"/>
      <c r="EV770" s="6"/>
      <c r="EW770" s="7"/>
      <c r="FB770" s="6"/>
      <c r="FF770" s="6"/>
      <c r="FG770" s="7"/>
      <c r="FL770" s="6"/>
      <c r="FW770" s="6"/>
      <c r="FX770" s="7"/>
      <c r="GC770" s="6"/>
      <c r="GG770" s="6"/>
      <c r="GH770" s="7"/>
      <c r="GM770" s="6"/>
      <c r="GX770" s="6"/>
      <c r="GY770" s="7"/>
      <c r="HD770" s="6"/>
      <c r="HH770" s="6"/>
      <c r="HI770" s="7"/>
      <c r="HN770" s="6"/>
      <c r="HY770" s="6"/>
      <c r="HZ770" s="7"/>
      <c r="IE770" s="6"/>
      <c r="II770" s="6"/>
      <c r="IJ770" s="7"/>
      <c r="IO770" s="6"/>
      <c r="IZ770" s="6"/>
      <c r="JA770" s="7"/>
      <c r="JF770" s="6"/>
      <c r="JJ770" s="6"/>
      <c r="JK770" s="7"/>
      <c r="JP770" s="6"/>
      <c r="KA770" s="6"/>
      <c r="KB770" s="7"/>
      <c r="KG770" s="6"/>
      <c r="KK770" s="6"/>
      <c r="KL770" s="7"/>
      <c r="KQ770" s="6"/>
      <c r="LB770" s="6"/>
      <c r="LC770" s="7"/>
      <c r="LH770" s="6"/>
      <c r="LL770" s="6"/>
      <c r="LM770" s="7"/>
      <c r="LR770" s="6"/>
      <c r="MC770" s="6"/>
      <c r="MD770" s="7"/>
      <c r="MI770" s="6"/>
      <c r="MM770" s="6"/>
      <c r="MN770" s="7"/>
      <c r="MS770" s="6"/>
      <c r="ND770" s="6"/>
      <c r="NE770" s="7"/>
      <c r="NJ770" s="6"/>
      <c r="NN770" s="6"/>
      <c r="NO770" s="7"/>
      <c r="NT770" s="6"/>
      <c r="OE770" s="6"/>
      <c r="OF770" s="7"/>
      <c r="OK770" s="6"/>
      <c r="OO770" s="6"/>
      <c r="OP770" s="7"/>
      <c r="OU770" s="6"/>
      <c r="PF770" s="6"/>
      <c r="PG770" s="7"/>
      <c r="PL770" s="6"/>
      <c r="PP770" s="6"/>
      <c r="PQ770" s="7"/>
      <c r="PV770" s="6"/>
      <c r="QG770" s="6"/>
      <c r="QH770" s="7"/>
      <c r="QM770" s="6"/>
      <c r="QQ770" s="6"/>
      <c r="QR770" s="7"/>
      <c r="QW770" s="6"/>
      <c r="RH770" s="6"/>
      <c r="RI770" s="7"/>
      <c r="RN770" s="6"/>
      <c r="RR770" s="6"/>
      <c r="RS770" s="7"/>
      <c r="RX770" s="6"/>
      <c r="SI770" s="6"/>
      <c r="SJ770" s="7"/>
      <c r="SO770" s="6"/>
      <c r="SS770" s="6"/>
      <c r="ST770" s="7"/>
      <c r="SY770" s="6"/>
    </row>
    <row r="771" spans="12:520" x14ac:dyDescent="0.3">
      <c r="S771" s="6"/>
      <c r="T771" s="6"/>
      <c r="U771" s="6"/>
      <c r="W771" s="6"/>
      <c r="AA771" s="6"/>
      <c r="AB771" s="6"/>
      <c r="AH771" s="6"/>
      <c r="AT771" s="6"/>
      <c r="AY771" s="6"/>
      <c r="BC771" s="6"/>
      <c r="BD771" s="6"/>
      <c r="BI771" s="6"/>
      <c r="BT771" s="6"/>
      <c r="BU771" s="6"/>
      <c r="BZ771" s="6"/>
      <c r="CD771" s="6"/>
      <c r="CE771" s="6"/>
      <c r="CJ771" s="6"/>
      <c r="CU771" s="6"/>
      <c r="CV771" s="6"/>
      <c r="DA771" s="6"/>
      <c r="DE771" s="6"/>
      <c r="DF771" s="6"/>
      <c r="DK771" s="6"/>
      <c r="DV771" s="6"/>
      <c r="DW771" s="6"/>
      <c r="EB771" s="6"/>
      <c r="EF771" s="6"/>
      <c r="EG771" s="6"/>
      <c r="EL771" s="6"/>
      <c r="EW771" s="6"/>
      <c r="EX771" s="6"/>
      <c r="FC771" s="6"/>
      <c r="FG771" s="6"/>
      <c r="FH771" s="6"/>
      <c r="FM771" s="6"/>
      <c r="FX771" s="6"/>
      <c r="FY771" s="6"/>
      <c r="GD771" s="6"/>
      <c r="GH771" s="6"/>
      <c r="GI771" s="6"/>
      <c r="GN771" s="6"/>
      <c r="GY771" s="6"/>
      <c r="GZ771" s="6"/>
      <c r="HE771" s="6"/>
      <c r="HI771" s="6"/>
      <c r="HJ771" s="6"/>
      <c r="HO771" s="6"/>
      <c r="HZ771" s="6"/>
      <c r="IA771" s="6"/>
      <c r="IF771" s="6"/>
      <c r="IJ771" s="6"/>
      <c r="IK771" s="6"/>
      <c r="IP771" s="6"/>
      <c r="JA771" s="6"/>
      <c r="JB771" s="6"/>
      <c r="JG771" s="6"/>
      <c r="JK771" s="6"/>
      <c r="JL771" s="6"/>
      <c r="JQ771" s="6"/>
      <c r="KB771" s="6"/>
      <c r="KC771" s="6"/>
      <c r="KH771" s="6"/>
      <c r="KL771" s="6"/>
      <c r="KM771" s="6"/>
      <c r="KR771" s="6"/>
      <c r="KW771" s="8"/>
      <c r="KX771" s="8"/>
      <c r="KY771" s="8"/>
      <c r="LC771" s="6"/>
      <c r="LD771" s="6"/>
      <c r="LI771" s="6"/>
      <c r="LM771" s="6"/>
      <c r="LN771" s="6"/>
      <c r="LS771" s="6"/>
      <c r="MD771" s="6"/>
      <c r="ME771" s="6"/>
      <c r="MJ771" s="6"/>
      <c r="MN771" s="6"/>
      <c r="MO771" s="6"/>
      <c r="MT771" s="6"/>
      <c r="NE771" s="6"/>
      <c r="NF771" s="6"/>
      <c r="NK771" s="6"/>
      <c r="NO771" s="6"/>
      <c r="NP771" s="6"/>
      <c r="NU771" s="6"/>
      <c r="OF771" s="6"/>
      <c r="OG771" s="6"/>
      <c r="OL771" s="6"/>
      <c r="OP771" s="6"/>
      <c r="OQ771" s="6"/>
      <c r="OV771" s="6"/>
      <c r="PG771" s="6"/>
      <c r="PH771" s="6"/>
      <c r="PM771" s="6"/>
      <c r="PQ771" s="6"/>
      <c r="PR771" s="6"/>
      <c r="PW771" s="6"/>
      <c r="QH771" s="6"/>
      <c r="QI771" s="6"/>
      <c r="QN771" s="6"/>
      <c r="QR771" s="6"/>
      <c r="QS771" s="6"/>
      <c r="QX771" s="6"/>
      <c r="RI771" s="6"/>
      <c r="RJ771" s="6"/>
      <c r="RO771" s="6"/>
      <c r="RS771" s="6"/>
      <c r="RT771" s="6"/>
      <c r="RY771" s="6"/>
      <c r="SJ771" s="6"/>
      <c r="SK771" s="6"/>
      <c r="SP771" s="6"/>
      <c r="ST771" s="6"/>
      <c r="SU771" s="6"/>
      <c r="SZ771" s="6"/>
    </row>
    <row r="772" spans="12:520" x14ac:dyDescent="0.3">
      <c r="S772" s="6"/>
      <c r="T772" s="6"/>
      <c r="U772" s="6"/>
      <c r="W772" s="6"/>
      <c r="AA772" s="6"/>
      <c r="AB772" s="6"/>
      <c r="AH772" s="6"/>
      <c r="AT772" s="6"/>
      <c r="AY772" s="6"/>
      <c r="BC772" s="6"/>
      <c r="BD772" s="6"/>
      <c r="BI772" s="6"/>
      <c r="BT772" s="6"/>
      <c r="BU772" s="6"/>
      <c r="BZ772" s="6"/>
      <c r="CD772" s="6"/>
      <c r="CE772" s="6"/>
      <c r="CJ772" s="6"/>
      <c r="CU772" s="6"/>
      <c r="CV772" s="6"/>
      <c r="DA772" s="6"/>
      <c r="DE772" s="6"/>
      <c r="DF772" s="6"/>
      <c r="DK772" s="6"/>
      <c r="DV772" s="6"/>
      <c r="DW772" s="6"/>
      <c r="EB772" s="6"/>
      <c r="EF772" s="6"/>
      <c r="EG772" s="6"/>
      <c r="EL772" s="6"/>
      <c r="EW772" s="6"/>
      <c r="EX772" s="6"/>
      <c r="FC772" s="6"/>
      <c r="FG772" s="6"/>
      <c r="FH772" s="6"/>
      <c r="FM772" s="6"/>
      <c r="FX772" s="6"/>
      <c r="FY772" s="6"/>
      <c r="GD772" s="6"/>
      <c r="GH772" s="6"/>
      <c r="GI772" s="6"/>
      <c r="GN772" s="6"/>
      <c r="GY772" s="6"/>
      <c r="GZ772" s="6"/>
      <c r="HE772" s="6"/>
      <c r="HI772" s="6"/>
      <c r="HJ772" s="6"/>
      <c r="HO772" s="6"/>
      <c r="HZ772" s="6"/>
      <c r="IA772" s="6"/>
      <c r="IF772" s="6"/>
      <c r="IJ772" s="6"/>
      <c r="IK772" s="6"/>
      <c r="IP772" s="6"/>
      <c r="JA772" s="6"/>
      <c r="JB772" s="6"/>
      <c r="JG772" s="6"/>
      <c r="JK772" s="6"/>
      <c r="JL772" s="6"/>
      <c r="JQ772" s="6"/>
      <c r="KB772" s="6"/>
      <c r="KC772" s="6"/>
      <c r="KH772" s="6"/>
      <c r="KL772" s="6"/>
      <c r="KM772" s="6"/>
      <c r="KR772" s="6"/>
      <c r="MD772" s="6"/>
      <c r="ME772" s="6"/>
      <c r="MJ772" s="6"/>
      <c r="MN772" s="6"/>
      <c r="MO772" s="6"/>
      <c r="MT772" s="6"/>
      <c r="NE772" s="6"/>
      <c r="NF772" s="6"/>
      <c r="NK772" s="6"/>
      <c r="NO772" s="6"/>
      <c r="NP772" s="6"/>
      <c r="NU772" s="6"/>
      <c r="OF772" s="6"/>
      <c r="OG772" s="6"/>
      <c r="OL772" s="6"/>
      <c r="OP772" s="6"/>
      <c r="OQ772" s="6"/>
      <c r="OV772" s="6"/>
      <c r="PG772" s="6"/>
      <c r="PH772" s="6"/>
      <c r="PM772" s="6"/>
      <c r="PQ772" s="6"/>
      <c r="PR772" s="6"/>
      <c r="PW772" s="6"/>
      <c r="QH772" s="6"/>
      <c r="QI772" s="6"/>
      <c r="QN772" s="6"/>
      <c r="QR772" s="6"/>
      <c r="QS772" s="6"/>
      <c r="QX772" s="6"/>
      <c r="RI772" s="6"/>
      <c r="RJ772" s="6"/>
      <c r="RO772" s="6"/>
      <c r="RS772" s="6"/>
      <c r="RT772" s="6"/>
      <c r="RY772" s="6"/>
      <c r="SJ772" s="6"/>
      <c r="SK772" s="6"/>
      <c r="SP772" s="6"/>
      <c r="ST772" s="6"/>
      <c r="SU772" s="6"/>
      <c r="SZ772" s="6"/>
    </row>
    <row r="773" spans="12:520" x14ac:dyDescent="0.3">
      <c r="S773" s="6"/>
      <c r="T773" s="6"/>
      <c r="U773" s="6"/>
      <c r="W773" s="6"/>
      <c r="AA773" s="6"/>
      <c r="AB773" s="6"/>
      <c r="AH773" s="6"/>
      <c r="AT773" s="6"/>
      <c r="AY773" s="6"/>
      <c r="BC773" s="6"/>
      <c r="BD773" s="6"/>
      <c r="BI773" s="6"/>
      <c r="BT773" s="6"/>
      <c r="BU773" s="6"/>
      <c r="BZ773" s="6"/>
      <c r="CD773" s="6"/>
      <c r="CE773" s="6"/>
      <c r="CJ773" s="6"/>
      <c r="CU773" s="6"/>
      <c r="CV773" s="6"/>
      <c r="DA773" s="6"/>
      <c r="DE773" s="6"/>
      <c r="DF773" s="6"/>
      <c r="DK773" s="6"/>
      <c r="DV773" s="6"/>
      <c r="DW773" s="6"/>
      <c r="EB773" s="6"/>
      <c r="EF773" s="6"/>
      <c r="EG773" s="6"/>
      <c r="EL773" s="6"/>
      <c r="EW773" s="6"/>
      <c r="EX773" s="6"/>
      <c r="FC773" s="6"/>
      <c r="FG773" s="6"/>
      <c r="FH773" s="6"/>
      <c r="FM773" s="6"/>
      <c r="FX773" s="6"/>
      <c r="FY773" s="6"/>
      <c r="GD773" s="6"/>
      <c r="GH773" s="6"/>
      <c r="GI773" s="6"/>
      <c r="GN773" s="6"/>
      <c r="GY773" s="6"/>
      <c r="GZ773" s="6"/>
      <c r="HE773" s="6"/>
      <c r="HI773" s="6"/>
      <c r="HJ773" s="6"/>
      <c r="HO773" s="6"/>
      <c r="HZ773" s="6"/>
      <c r="IA773" s="6"/>
      <c r="IF773" s="6"/>
      <c r="IJ773" s="6"/>
      <c r="IK773" s="6"/>
      <c r="IP773" s="6"/>
      <c r="JA773" s="6"/>
      <c r="JB773" s="6"/>
      <c r="JG773" s="6"/>
      <c r="JK773" s="6"/>
      <c r="JL773" s="6"/>
      <c r="JQ773" s="6"/>
      <c r="KB773" s="6"/>
      <c r="KC773" s="6"/>
      <c r="KH773" s="6"/>
      <c r="KL773" s="6"/>
      <c r="KM773" s="6"/>
      <c r="KR773" s="6"/>
      <c r="MD773" s="6"/>
      <c r="ME773" s="6"/>
      <c r="MJ773" s="6"/>
      <c r="MN773" s="6"/>
      <c r="MO773" s="6"/>
      <c r="MT773" s="6"/>
      <c r="NE773" s="6"/>
      <c r="NF773" s="6"/>
      <c r="NK773" s="6"/>
      <c r="NO773" s="6"/>
      <c r="NP773" s="6"/>
      <c r="NU773" s="6"/>
      <c r="NZ773" s="8"/>
      <c r="OA773" s="8"/>
      <c r="OB773" s="8"/>
      <c r="OF773" s="6"/>
      <c r="OG773" s="6"/>
      <c r="OL773" s="6"/>
      <c r="OP773" s="6"/>
      <c r="OQ773" s="6"/>
      <c r="OV773" s="6"/>
      <c r="PG773" s="6"/>
      <c r="PH773" s="6"/>
      <c r="PM773" s="6"/>
      <c r="PQ773" s="6"/>
      <c r="PR773" s="6"/>
      <c r="PW773" s="6"/>
      <c r="QH773" s="6"/>
      <c r="QI773" s="6"/>
      <c r="QN773" s="6"/>
      <c r="QR773" s="6"/>
      <c r="QS773" s="6"/>
      <c r="QX773" s="6"/>
      <c r="RI773" s="6"/>
      <c r="RJ773" s="6"/>
      <c r="RO773" s="6"/>
      <c r="RS773" s="6"/>
      <c r="RT773" s="6"/>
      <c r="RY773" s="6"/>
      <c r="SJ773" s="6"/>
      <c r="SK773" s="6"/>
      <c r="SP773" s="6"/>
      <c r="ST773" s="6"/>
      <c r="SU773" s="6"/>
      <c r="SZ773" s="6"/>
    </row>
    <row r="774" spans="12:520" x14ac:dyDescent="0.3">
      <c r="S774" s="6"/>
      <c r="T774" s="6"/>
      <c r="U774" s="6"/>
      <c r="W774" s="6"/>
      <c r="AA774" s="6"/>
      <c r="AB774" s="6"/>
      <c r="AH774" s="6"/>
      <c r="AR774" s="6"/>
      <c r="AS774" s="7"/>
      <c r="AT774" s="6"/>
      <c r="AY774" s="6"/>
      <c r="BC774" s="6"/>
      <c r="BD774" s="6"/>
      <c r="BI774" s="6"/>
      <c r="BT774" s="6"/>
      <c r="BU774" s="6"/>
      <c r="BZ774" s="6"/>
      <c r="CD774" s="6"/>
      <c r="CE774" s="6"/>
      <c r="CJ774" s="6"/>
      <c r="CU774" s="6"/>
      <c r="CV774" s="6"/>
      <c r="DA774" s="6"/>
      <c r="DE774" s="6"/>
      <c r="DF774" s="6"/>
      <c r="DK774" s="6"/>
      <c r="DV774" s="6"/>
      <c r="DW774" s="6"/>
      <c r="EB774" s="6"/>
      <c r="EF774" s="6"/>
      <c r="EG774" s="6"/>
      <c r="EL774" s="6"/>
      <c r="EW774" s="6"/>
      <c r="EX774" s="6"/>
      <c r="FC774" s="6"/>
      <c r="FG774" s="6"/>
      <c r="FH774" s="6"/>
      <c r="FM774" s="6"/>
      <c r="FX774" s="6"/>
      <c r="FY774" s="6"/>
      <c r="GD774" s="6"/>
      <c r="GH774" s="6"/>
      <c r="GI774" s="6"/>
      <c r="GN774" s="6"/>
      <c r="GY774" s="6"/>
      <c r="GZ774" s="6"/>
      <c r="HE774" s="6"/>
      <c r="HI774" s="6"/>
      <c r="HJ774" s="6"/>
      <c r="HO774" s="6"/>
      <c r="HZ774" s="6"/>
      <c r="IA774" s="6"/>
      <c r="IF774" s="6"/>
      <c r="IJ774" s="6"/>
      <c r="IK774" s="6"/>
      <c r="IP774" s="6"/>
      <c r="JA774" s="6"/>
      <c r="JB774" s="6"/>
      <c r="JG774" s="6"/>
      <c r="JK774" s="6"/>
      <c r="JL774" s="6"/>
      <c r="JQ774" s="6"/>
      <c r="KB774" s="6"/>
      <c r="KC774" s="6"/>
      <c r="KH774" s="6"/>
      <c r="KL774" s="6"/>
      <c r="KM774" s="6"/>
      <c r="KR774" s="6"/>
      <c r="MD774" s="6"/>
      <c r="ME774" s="6"/>
      <c r="MJ774" s="6"/>
      <c r="MN774" s="6"/>
      <c r="MO774" s="6"/>
      <c r="MT774" s="6"/>
      <c r="NE774" s="6"/>
      <c r="NF774" s="6"/>
      <c r="NK774" s="6"/>
      <c r="NO774" s="6"/>
      <c r="NP774" s="6"/>
      <c r="NU774" s="6"/>
      <c r="PG774" s="6"/>
      <c r="PH774" s="6"/>
      <c r="PM774" s="6"/>
      <c r="PQ774" s="6"/>
      <c r="PR774" s="6"/>
      <c r="PW774" s="6"/>
      <c r="QH774" s="6"/>
      <c r="QI774" s="6"/>
      <c r="QN774" s="6"/>
      <c r="QR774" s="6"/>
      <c r="QS774" s="6"/>
      <c r="QX774" s="6"/>
      <c r="RI774" s="6"/>
      <c r="RJ774" s="6"/>
      <c r="RO774" s="6"/>
      <c r="RS774" s="6"/>
      <c r="RT774" s="6"/>
      <c r="RY774" s="6"/>
      <c r="SJ774" s="6"/>
      <c r="SK774" s="6"/>
      <c r="SP774" s="6"/>
      <c r="ST774" s="6"/>
      <c r="SU774" s="6"/>
      <c r="SZ774" s="6"/>
    </row>
    <row r="775" spans="12:520" x14ac:dyDescent="0.3">
      <c r="S775" s="6"/>
      <c r="T775" s="6"/>
      <c r="U775" s="6"/>
      <c r="W775" s="6"/>
      <c r="AA775" s="6"/>
      <c r="AB775" s="6"/>
      <c r="AH775" s="6"/>
      <c r="AS775" s="6"/>
      <c r="AT775" s="6"/>
      <c r="AY775" s="6"/>
      <c r="BC775" s="6"/>
      <c r="BD775" s="6"/>
      <c r="BI775" s="6"/>
      <c r="BT775" s="6"/>
      <c r="BU775" s="6"/>
      <c r="BZ775" s="6"/>
      <c r="CD775" s="6"/>
      <c r="CE775" s="6"/>
      <c r="CJ775" s="6"/>
      <c r="CU775" s="6"/>
      <c r="CV775" s="6"/>
      <c r="DA775" s="6"/>
      <c r="DE775" s="6"/>
      <c r="DF775" s="6"/>
      <c r="DK775" s="6"/>
      <c r="DV775" s="6"/>
      <c r="DW775" s="6"/>
      <c r="EB775" s="6"/>
      <c r="EF775" s="6"/>
      <c r="EG775" s="6"/>
      <c r="EL775" s="6"/>
      <c r="EW775" s="6"/>
      <c r="EX775" s="6"/>
      <c r="FC775" s="6"/>
      <c r="FG775" s="6"/>
      <c r="FH775" s="6"/>
      <c r="FM775" s="6"/>
      <c r="FX775" s="6"/>
      <c r="FY775" s="6"/>
      <c r="GD775" s="6"/>
      <c r="GH775" s="6"/>
      <c r="GI775" s="6"/>
      <c r="GN775" s="6"/>
      <c r="GY775" s="6"/>
      <c r="GZ775" s="6"/>
      <c r="HE775" s="6"/>
      <c r="HI775" s="6"/>
      <c r="HJ775" s="6"/>
      <c r="HO775" s="6"/>
      <c r="HZ775" s="6"/>
      <c r="IA775" s="6"/>
      <c r="IF775" s="6"/>
      <c r="IJ775" s="6"/>
      <c r="IK775" s="6"/>
      <c r="IP775" s="6"/>
      <c r="JA775" s="6"/>
      <c r="JB775" s="6"/>
      <c r="JG775" s="6"/>
      <c r="JK775" s="6"/>
      <c r="JL775" s="6"/>
      <c r="JQ775" s="6"/>
      <c r="KB775" s="6"/>
      <c r="KC775" s="6"/>
      <c r="KH775" s="6"/>
      <c r="KL775" s="6"/>
      <c r="KM775" s="6"/>
      <c r="KR775" s="6"/>
      <c r="MD775" s="6"/>
      <c r="ME775" s="6"/>
      <c r="MJ775" s="6"/>
      <c r="MN775" s="6"/>
      <c r="MO775" s="6"/>
      <c r="MT775" s="6"/>
      <c r="NE775" s="6"/>
      <c r="NF775" s="6"/>
      <c r="NK775" s="6"/>
      <c r="NO775" s="6"/>
      <c r="NP775" s="6"/>
      <c r="NU775" s="6"/>
      <c r="PG775" s="6"/>
      <c r="PH775" s="6"/>
      <c r="PM775" s="6"/>
      <c r="PQ775" s="6"/>
      <c r="PR775" s="6"/>
      <c r="PW775" s="6"/>
      <c r="QB775" s="8"/>
      <c r="QC775" s="8"/>
      <c r="QD775" s="8"/>
      <c r="QH775" s="6"/>
      <c r="QI775" s="6"/>
      <c r="QN775" s="6"/>
      <c r="QR775" s="6"/>
      <c r="QS775" s="6"/>
      <c r="QX775" s="6"/>
      <c r="RI775" s="6"/>
      <c r="RJ775" s="6"/>
      <c r="RO775" s="6"/>
      <c r="RS775" s="6"/>
      <c r="RT775" s="6"/>
      <c r="RY775" s="6"/>
      <c r="SJ775" s="6"/>
      <c r="SK775" s="6"/>
      <c r="SP775" s="6"/>
      <c r="ST775" s="6"/>
      <c r="SU775" s="6"/>
      <c r="SZ775" s="6"/>
    </row>
    <row r="776" spans="12:520" x14ac:dyDescent="0.3">
      <c r="S776" s="6"/>
      <c r="T776" s="6"/>
      <c r="U776" s="6"/>
      <c r="W776" s="6"/>
      <c r="AA776" s="6"/>
      <c r="AB776" s="6"/>
      <c r="AH776" s="6"/>
      <c r="AS776" s="6"/>
      <c r="AT776" s="6"/>
      <c r="AY776" s="6"/>
      <c r="BC776" s="6"/>
      <c r="BD776" s="6"/>
      <c r="BI776" s="6"/>
      <c r="BT776" s="6"/>
      <c r="BU776" s="6"/>
      <c r="BZ776" s="6"/>
      <c r="CD776" s="6"/>
      <c r="CE776" s="6"/>
      <c r="CJ776" s="6"/>
      <c r="CU776" s="6"/>
      <c r="CV776" s="6"/>
      <c r="DA776" s="6"/>
      <c r="DE776" s="6"/>
      <c r="DF776" s="6"/>
      <c r="DK776" s="6"/>
      <c r="DV776" s="6"/>
      <c r="DW776" s="6"/>
      <c r="EB776" s="6"/>
      <c r="EF776" s="6"/>
      <c r="EG776" s="6"/>
      <c r="EL776" s="6"/>
      <c r="EW776" s="6"/>
      <c r="EX776" s="6"/>
      <c r="FC776" s="6"/>
      <c r="FG776" s="6"/>
      <c r="FH776" s="6"/>
      <c r="FM776" s="6"/>
      <c r="FX776" s="6"/>
      <c r="FY776" s="6"/>
      <c r="GD776" s="6"/>
      <c r="GH776" s="6"/>
      <c r="GI776" s="6"/>
      <c r="GN776" s="6"/>
      <c r="GY776" s="6"/>
      <c r="GZ776" s="6"/>
      <c r="HE776" s="6"/>
      <c r="HI776" s="6"/>
      <c r="HJ776" s="6"/>
      <c r="HO776" s="6"/>
      <c r="HZ776" s="6"/>
      <c r="IA776" s="6"/>
      <c r="IF776" s="6"/>
      <c r="IJ776" s="6"/>
      <c r="IK776" s="6"/>
      <c r="IP776" s="6"/>
      <c r="JA776" s="6"/>
      <c r="JB776" s="6"/>
      <c r="JG776" s="6"/>
      <c r="JK776" s="6"/>
      <c r="JL776" s="6"/>
      <c r="JQ776" s="6"/>
      <c r="KB776" s="6"/>
      <c r="KC776" s="6"/>
      <c r="KH776" s="6"/>
      <c r="KL776" s="6"/>
      <c r="KM776" s="6"/>
      <c r="KR776" s="6"/>
      <c r="MD776" s="6"/>
      <c r="ME776" s="6"/>
      <c r="MJ776" s="6"/>
      <c r="MN776" s="6"/>
      <c r="MO776" s="6"/>
      <c r="MT776" s="6"/>
      <c r="NE776" s="6"/>
      <c r="NF776" s="6"/>
      <c r="NK776" s="6"/>
      <c r="NO776" s="6"/>
      <c r="NP776" s="6"/>
      <c r="NU776" s="6"/>
      <c r="PG776" s="6"/>
      <c r="PH776" s="6"/>
      <c r="PM776" s="6"/>
      <c r="PQ776" s="6"/>
      <c r="PR776" s="6"/>
      <c r="PW776" s="6"/>
      <c r="RI776" s="6"/>
      <c r="RJ776" s="6"/>
      <c r="RO776" s="6"/>
      <c r="RS776" s="6"/>
      <c r="RT776" s="6"/>
      <c r="RY776" s="6"/>
      <c r="SJ776" s="6"/>
      <c r="SK776" s="6"/>
      <c r="SP776" s="6"/>
      <c r="ST776" s="6"/>
      <c r="SU776" s="6"/>
      <c r="SZ776" s="6"/>
    </row>
    <row r="777" spans="12:520" x14ac:dyDescent="0.3">
      <c r="S777" s="6"/>
      <c r="T777" s="6"/>
      <c r="U777" s="6"/>
      <c r="W777" s="6"/>
      <c r="AA777" s="6"/>
      <c r="AB777" s="6"/>
      <c r="AH777" s="6"/>
      <c r="AS777" s="6"/>
      <c r="AT777" s="6"/>
      <c r="AY777" s="6"/>
      <c r="BC777" s="6"/>
      <c r="BD777" s="6"/>
      <c r="BI777" s="6"/>
      <c r="BT777" s="6"/>
      <c r="BU777" s="6"/>
      <c r="BZ777" s="6"/>
      <c r="CD777" s="6"/>
      <c r="CE777" s="6"/>
      <c r="CJ777" s="6"/>
      <c r="CU777" s="6"/>
      <c r="CV777" s="6"/>
      <c r="DA777" s="6"/>
      <c r="DE777" s="6"/>
      <c r="DF777" s="6"/>
      <c r="DK777" s="6"/>
      <c r="DV777" s="6"/>
      <c r="DW777" s="6"/>
      <c r="EB777" s="6"/>
      <c r="EF777" s="6"/>
      <c r="EG777" s="6"/>
      <c r="EL777" s="6"/>
      <c r="EW777" s="6"/>
      <c r="EX777" s="6"/>
      <c r="FC777" s="6"/>
      <c r="FG777" s="6"/>
      <c r="FH777" s="6"/>
      <c r="FM777" s="6"/>
      <c r="FX777" s="6"/>
      <c r="FY777" s="6"/>
      <c r="GD777" s="6"/>
      <c r="GH777" s="6"/>
      <c r="GI777" s="6"/>
      <c r="GN777" s="6"/>
      <c r="GY777" s="6"/>
      <c r="GZ777" s="6"/>
      <c r="HE777" s="6"/>
      <c r="HI777" s="6"/>
      <c r="HJ777" s="6"/>
      <c r="HO777" s="6"/>
      <c r="HZ777" s="6"/>
      <c r="IA777" s="6"/>
      <c r="IF777" s="6"/>
      <c r="IJ777" s="6"/>
      <c r="IK777" s="6"/>
      <c r="IP777" s="6"/>
      <c r="IU777" s="8"/>
      <c r="IV777" s="8"/>
      <c r="IW777" s="8"/>
      <c r="JA777" s="6"/>
      <c r="JB777" s="6"/>
      <c r="JG777" s="6"/>
      <c r="JK777" s="6"/>
      <c r="JL777" s="6"/>
      <c r="JQ777" s="6"/>
      <c r="KB777" s="6"/>
      <c r="KC777" s="6"/>
      <c r="KH777" s="6"/>
      <c r="KL777" s="6"/>
      <c r="KM777" s="6"/>
      <c r="KR777" s="6"/>
      <c r="MD777" s="6"/>
      <c r="ME777" s="6"/>
      <c r="MJ777" s="6"/>
      <c r="MN777" s="6"/>
      <c r="MO777" s="6"/>
      <c r="MT777" s="6"/>
      <c r="NE777" s="6"/>
      <c r="NF777" s="6"/>
      <c r="NK777" s="6"/>
      <c r="NO777" s="6"/>
      <c r="NP777" s="6"/>
      <c r="NU777" s="6"/>
      <c r="PG777" s="6"/>
      <c r="PH777" s="6"/>
      <c r="PM777" s="6"/>
      <c r="PQ777" s="6"/>
      <c r="PR777" s="6"/>
      <c r="PW777" s="6"/>
      <c r="RI777" s="6"/>
      <c r="RJ777" s="6"/>
      <c r="RO777" s="6"/>
      <c r="RS777" s="6"/>
      <c r="RT777" s="6"/>
      <c r="RY777" s="6"/>
      <c r="SJ777" s="6"/>
      <c r="SK777" s="6"/>
      <c r="SP777" s="6"/>
      <c r="ST777" s="6"/>
      <c r="SU777" s="6"/>
      <c r="SZ777" s="6"/>
    </row>
    <row r="778" spans="12:520" x14ac:dyDescent="0.3">
      <c r="S778" s="6"/>
      <c r="T778" s="6"/>
      <c r="U778" s="6"/>
      <c r="W778" s="6"/>
      <c r="AA778" s="6"/>
      <c r="AB778" s="6"/>
      <c r="AH778" s="6"/>
      <c r="AS778" s="6"/>
      <c r="AT778" s="6"/>
      <c r="AY778" s="6"/>
      <c r="BC778" s="6"/>
      <c r="BD778" s="6"/>
      <c r="BI778" s="6"/>
      <c r="BT778" s="6"/>
      <c r="BU778" s="6"/>
      <c r="BZ778" s="6"/>
      <c r="CD778" s="6"/>
      <c r="CE778" s="6"/>
      <c r="CJ778" s="6"/>
      <c r="CU778" s="6"/>
      <c r="CV778" s="6"/>
      <c r="DA778" s="6"/>
      <c r="DE778" s="6"/>
      <c r="DF778" s="6"/>
      <c r="DK778" s="6"/>
      <c r="DV778" s="6"/>
      <c r="DW778" s="6"/>
      <c r="EB778" s="6"/>
      <c r="EF778" s="6"/>
      <c r="EG778" s="6"/>
      <c r="EL778" s="6"/>
      <c r="EW778" s="6"/>
      <c r="EX778" s="6"/>
      <c r="FC778" s="6"/>
      <c r="FG778" s="6"/>
      <c r="FH778" s="6"/>
      <c r="FM778" s="6"/>
      <c r="FX778" s="6"/>
      <c r="FY778" s="6"/>
      <c r="GD778" s="6"/>
      <c r="GH778" s="6"/>
      <c r="GI778" s="6"/>
      <c r="GN778" s="6"/>
      <c r="GY778" s="6"/>
      <c r="GZ778" s="6"/>
      <c r="HE778" s="6"/>
      <c r="HI778" s="6"/>
      <c r="HJ778" s="6"/>
      <c r="HO778" s="6"/>
      <c r="HZ778" s="6"/>
      <c r="IA778" s="6"/>
      <c r="IF778" s="6"/>
      <c r="IJ778" s="6"/>
      <c r="IK778" s="6"/>
      <c r="IP778" s="6"/>
      <c r="KB778" s="6"/>
      <c r="KC778" s="6"/>
      <c r="KH778" s="6"/>
      <c r="KL778" s="6"/>
      <c r="KM778" s="6"/>
      <c r="KR778" s="6"/>
      <c r="MD778" s="6"/>
      <c r="ME778" s="6"/>
      <c r="MJ778" s="6"/>
      <c r="MN778" s="6"/>
      <c r="MO778" s="6"/>
      <c r="MT778" s="6"/>
      <c r="NE778" s="6"/>
      <c r="NF778" s="6"/>
      <c r="NK778" s="6"/>
      <c r="NO778" s="6"/>
      <c r="NP778" s="6"/>
      <c r="NU778" s="6"/>
      <c r="PG778" s="6"/>
      <c r="PH778" s="6"/>
      <c r="PM778" s="6"/>
      <c r="PQ778" s="6"/>
      <c r="PR778" s="6"/>
      <c r="PW778" s="6"/>
      <c r="RI778" s="6"/>
      <c r="RJ778" s="6"/>
      <c r="RO778" s="6"/>
      <c r="RS778" s="6"/>
      <c r="RT778" s="6"/>
      <c r="RY778" s="6"/>
      <c r="SJ778" s="6"/>
      <c r="SK778" s="6"/>
      <c r="SP778" s="6"/>
      <c r="ST778" s="6"/>
      <c r="SU778" s="6"/>
      <c r="SZ778" s="6"/>
    </row>
    <row r="779" spans="12:520" x14ac:dyDescent="0.3">
      <c r="S779" s="6"/>
      <c r="T779" s="6"/>
      <c r="U779" s="6"/>
      <c r="W779" s="6"/>
      <c r="AA779" s="6"/>
      <c r="AB779" s="6"/>
      <c r="AH779" s="6"/>
      <c r="AS779" s="6"/>
      <c r="AT779" s="6"/>
      <c r="AY779" s="6"/>
      <c r="BC779" s="6"/>
      <c r="BD779" s="6"/>
      <c r="BI779" s="6"/>
      <c r="BT779" s="6"/>
      <c r="BU779" s="6"/>
      <c r="BZ779" s="6"/>
      <c r="CD779" s="6"/>
      <c r="CE779" s="6"/>
      <c r="CJ779" s="6"/>
      <c r="CU779" s="6"/>
      <c r="CV779" s="6"/>
      <c r="DA779" s="6"/>
      <c r="DE779" s="6"/>
      <c r="DF779" s="6"/>
      <c r="DK779" s="6"/>
      <c r="DV779" s="6"/>
      <c r="DW779" s="6"/>
      <c r="EB779" s="6"/>
      <c r="EF779" s="6"/>
      <c r="EG779" s="6"/>
      <c r="EL779" s="6"/>
      <c r="EW779" s="6"/>
      <c r="EX779" s="6"/>
      <c r="FC779" s="6"/>
      <c r="FG779" s="6"/>
      <c r="FH779" s="6"/>
      <c r="FM779" s="6"/>
      <c r="FX779" s="6"/>
      <c r="FY779" s="6"/>
      <c r="GD779" s="6"/>
      <c r="GH779" s="6"/>
      <c r="GI779" s="6"/>
      <c r="GN779" s="6"/>
      <c r="GY779" s="6"/>
      <c r="GZ779" s="6"/>
      <c r="HE779" s="6"/>
      <c r="HI779" s="6"/>
      <c r="HJ779" s="6"/>
      <c r="HO779" s="6"/>
      <c r="HZ779" s="6"/>
      <c r="IA779" s="6"/>
      <c r="IF779" s="6"/>
      <c r="IJ779" s="6"/>
      <c r="IK779" s="6"/>
      <c r="IP779" s="6"/>
      <c r="KB779" s="6"/>
      <c r="KC779" s="6"/>
      <c r="KH779" s="6"/>
      <c r="KL779" s="6"/>
      <c r="KM779" s="6"/>
      <c r="KR779" s="6"/>
      <c r="LX779" s="8"/>
      <c r="LY779" s="8"/>
      <c r="LZ779" s="8"/>
      <c r="MD779" s="6"/>
      <c r="ME779" s="6"/>
      <c r="MJ779" s="6"/>
      <c r="MN779" s="6"/>
      <c r="MO779" s="6"/>
      <c r="MT779" s="6"/>
      <c r="NE779" s="6"/>
      <c r="NF779" s="6"/>
      <c r="NK779" s="6"/>
      <c r="NO779" s="6"/>
      <c r="NP779" s="6"/>
      <c r="NU779" s="6"/>
      <c r="PG779" s="6"/>
      <c r="PH779" s="6"/>
      <c r="PM779" s="6"/>
      <c r="PQ779" s="6"/>
      <c r="PR779" s="6"/>
      <c r="PW779" s="6"/>
      <c r="RI779" s="6"/>
      <c r="RJ779" s="6"/>
      <c r="RO779" s="6"/>
      <c r="RS779" s="6"/>
      <c r="RT779" s="6"/>
      <c r="RY779" s="6"/>
      <c r="SJ779" s="6"/>
      <c r="SK779" s="6"/>
      <c r="SP779" s="6"/>
      <c r="ST779" s="6"/>
      <c r="SU779" s="6"/>
      <c r="SZ779" s="6"/>
    </row>
    <row r="780" spans="12:520" x14ac:dyDescent="0.3">
      <c r="S780" s="6"/>
      <c r="T780" s="6"/>
      <c r="U780" s="6"/>
      <c r="W780" s="6"/>
      <c r="AA780" s="6"/>
      <c r="AB780" s="6"/>
      <c r="AH780" s="6"/>
      <c r="AS780" s="6"/>
      <c r="AT780" s="6"/>
      <c r="AY780" s="6"/>
      <c r="BC780" s="6"/>
      <c r="BD780" s="6"/>
      <c r="BI780" s="6"/>
      <c r="BT780" s="6"/>
      <c r="BU780" s="6"/>
      <c r="BZ780" s="6"/>
      <c r="CD780" s="6"/>
      <c r="CE780" s="6"/>
      <c r="CJ780" s="6"/>
      <c r="CU780" s="6"/>
      <c r="CV780" s="6"/>
      <c r="DA780" s="6"/>
      <c r="DE780" s="6"/>
      <c r="DF780" s="6"/>
      <c r="DK780" s="6"/>
      <c r="DV780" s="6"/>
      <c r="DW780" s="6"/>
      <c r="EB780" s="6"/>
      <c r="EF780" s="6"/>
      <c r="EG780" s="6"/>
      <c r="EL780" s="6"/>
      <c r="EW780" s="6"/>
      <c r="EX780" s="6"/>
      <c r="FC780" s="6"/>
      <c r="FG780" s="6"/>
      <c r="FH780" s="6"/>
      <c r="FM780" s="6"/>
      <c r="FX780" s="6"/>
      <c r="FY780" s="6"/>
      <c r="GD780" s="6"/>
      <c r="GH780" s="6"/>
      <c r="GI780" s="6"/>
      <c r="GN780" s="6"/>
      <c r="GY780" s="6"/>
      <c r="GZ780" s="6"/>
      <c r="HE780" s="6"/>
      <c r="HI780" s="6"/>
      <c r="HJ780" s="6"/>
      <c r="HO780" s="6"/>
      <c r="HZ780" s="6"/>
      <c r="IA780" s="6"/>
      <c r="IF780" s="6"/>
      <c r="IJ780" s="6"/>
      <c r="IK780" s="6"/>
      <c r="IP780" s="6"/>
      <c r="KB780" s="6"/>
      <c r="KC780" s="6"/>
      <c r="KH780" s="6"/>
      <c r="KL780" s="6"/>
      <c r="KM780" s="6"/>
      <c r="KR780" s="6"/>
      <c r="NE780" s="6"/>
      <c r="NF780" s="6"/>
      <c r="NK780" s="6"/>
      <c r="NO780" s="6"/>
      <c r="NP780" s="6"/>
      <c r="NU780" s="6"/>
      <c r="PG780" s="6"/>
      <c r="PH780" s="6"/>
      <c r="PM780" s="6"/>
      <c r="PQ780" s="6"/>
      <c r="PR780" s="6"/>
      <c r="PW780" s="6"/>
      <c r="RI780" s="6"/>
      <c r="RJ780" s="6"/>
      <c r="RO780" s="6"/>
      <c r="RS780" s="6"/>
      <c r="RT780" s="6"/>
      <c r="RY780" s="6"/>
      <c r="SJ780" s="6"/>
      <c r="SK780" s="6"/>
      <c r="SP780" s="6"/>
      <c r="ST780" s="6"/>
      <c r="SU780" s="6"/>
      <c r="SZ780" s="6"/>
    </row>
    <row r="781" spans="12:520" x14ac:dyDescent="0.3">
      <c r="L781" s="8"/>
      <c r="M781" s="8"/>
      <c r="N781" s="8"/>
      <c r="S781" s="6"/>
      <c r="T781" s="6"/>
      <c r="U781" s="6"/>
      <c r="W781" s="6"/>
      <c r="AA781" s="6"/>
      <c r="AB781" s="6"/>
      <c r="AH781" s="6"/>
      <c r="AS781" s="6"/>
      <c r="AT781" s="6"/>
      <c r="AY781" s="6"/>
      <c r="BC781" s="6"/>
      <c r="BD781" s="6"/>
      <c r="BI781" s="6"/>
      <c r="BN781" s="8"/>
      <c r="BO781" s="8"/>
      <c r="BP781" s="8"/>
      <c r="BT781" s="6"/>
      <c r="BU781" s="6"/>
      <c r="BZ781" s="6"/>
      <c r="CD781" s="6"/>
      <c r="CE781" s="6"/>
      <c r="CJ781" s="6"/>
      <c r="CO781" s="8"/>
      <c r="CP781" s="8"/>
      <c r="CQ781" s="8"/>
      <c r="CU781" s="6"/>
      <c r="CV781" s="6"/>
      <c r="DA781" s="6"/>
      <c r="DE781" s="6"/>
      <c r="DF781" s="6"/>
      <c r="DK781" s="6"/>
      <c r="DP781" s="8"/>
      <c r="DQ781" s="8"/>
      <c r="DR781" s="8"/>
      <c r="DV781" s="6"/>
      <c r="DW781" s="6"/>
      <c r="EB781" s="6"/>
      <c r="EF781" s="6"/>
      <c r="EG781" s="6"/>
      <c r="EL781" s="6"/>
      <c r="EQ781" s="8"/>
      <c r="ER781" s="8"/>
      <c r="ES781" s="8"/>
      <c r="EW781" s="6"/>
      <c r="EX781" s="6"/>
      <c r="FC781" s="6"/>
      <c r="FG781" s="6"/>
      <c r="FH781" s="6"/>
      <c r="FM781" s="6"/>
      <c r="FR781" s="8"/>
      <c r="FS781" s="8"/>
      <c r="FT781" s="8"/>
      <c r="FX781" s="6"/>
      <c r="FY781" s="6"/>
      <c r="GD781" s="6"/>
      <c r="GH781" s="6"/>
      <c r="GI781" s="6"/>
      <c r="GN781" s="6"/>
      <c r="GS781" s="8"/>
      <c r="GT781" s="8"/>
      <c r="GU781" s="8"/>
      <c r="GY781" s="6"/>
      <c r="GZ781" s="6"/>
      <c r="HE781" s="6"/>
      <c r="HI781" s="6"/>
      <c r="HJ781" s="6"/>
      <c r="HO781" s="6"/>
      <c r="HT781" s="8"/>
      <c r="HU781" s="8"/>
      <c r="HV781" s="8"/>
      <c r="HZ781" s="6"/>
      <c r="IA781" s="6"/>
      <c r="IF781" s="6"/>
      <c r="IJ781" s="6"/>
      <c r="IK781" s="6"/>
      <c r="IP781" s="6"/>
      <c r="JV781" s="8"/>
      <c r="JW781" s="8"/>
      <c r="JX781" s="8"/>
      <c r="KB781" s="6"/>
      <c r="KC781" s="6"/>
      <c r="KH781" s="6"/>
      <c r="KL781" s="6"/>
      <c r="KM781" s="6"/>
      <c r="KR781" s="6"/>
      <c r="MY781" s="8"/>
      <c r="MZ781" s="8"/>
      <c r="NA781" s="8"/>
      <c r="NE781" s="6"/>
      <c r="NF781" s="6"/>
      <c r="NK781" s="6"/>
      <c r="NO781" s="6"/>
      <c r="NP781" s="6"/>
      <c r="NU781" s="6"/>
      <c r="PA781" s="8"/>
      <c r="PB781" s="8"/>
      <c r="PC781" s="8"/>
      <c r="PG781" s="6"/>
      <c r="PH781" s="6"/>
      <c r="PM781" s="6"/>
      <c r="PQ781" s="6"/>
      <c r="PR781" s="6"/>
      <c r="PW781" s="6"/>
      <c r="RC781" s="8"/>
      <c r="RD781" s="8"/>
      <c r="RE781" s="8"/>
      <c r="RI781" s="6"/>
      <c r="RJ781" s="6"/>
      <c r="RO781" s="6"/>
      <c r="RS781" s="6"/>
      <c r="RT781" s="6"/>
      <c r="RY781" s="6"/>
      <c r="SD781" s="8"/>
      <c r="SE781" s="8"/>
      <c r="SF781" s="8"/>
      <c r="SJ781" s="6"/>
      <c r="SK781" s="6"/>
      <c r="SP781" s="6"/>
      <c r="ST781" s="6"/>
      <c r="SU781" s="6"/>
      <c r="SZ781" s="6"/>
    </row>
    <row r="782" spans="12:520" x14ac:dyDescent="0.3">
      <c r="AS782" s="6"/>
    </row>
    <row r="783" spans="12:520" x14ac:dyDescent="0.3">
      <c r="R783" s="6"/>
      <c r="S783" s="7"/>
      <c r="T783" s="7"/>
      <c r="Z783" s="6"/>
      <c r="AA783" s="7"/>
      <c r="AG783" s="6"/>
      <c r="AS783" s="6"/>
      <c r="AX783" s="6"/>
      <c r="BB783" s="6"/>
      <c r="BC783" s="7"/>
      <c r="BH783" s="6"/>
      <c r="BS783" s="6"/>
      <c r="BT783" s="7"/>
      <c r="BY783" s="6"/>
      <c r="CC783" s="6"/>
      <c r="CD783" s="7"/>
      <c r="CI783" s="6"/>
      <c r="CT783" s="6"/>
      <c r="CU783" s="7"/>
      <c r="CZ783" s="6"/>
      <c r="DD783" s="6"/>
      <c r="DE783" s="7"/>
      <c r="DJ783" s="6"/>
      <c r="DU783" s="6"/>
      <c r="DV783" s="7"/>
      <c r="EA783" s="6"/>
      <c r="EE783" s="6"/>
      <c r="EF783" s="7"/>
      <c r="EK783" s="6"/>
      <c r="EV783" s="6"/>
      <c r="EW783" s="7"/>
      <c r="FB783" s="6"/>
      <c r="FF783" s="6"/>
      <c r="FG783" s="7"/>
      <c r="FL783" s="6"/>
      <c r="FW783" s="6"/>
      <c r="FX783" s="7"/>
      <c r="GC783" s="6"/>
      <c r="GG783" s="6"/>
      <c r="GH783" s="7"/>
      <c r="GM783" s="6"/>
      <c r="GX783" s="6"/>
      <c r="GY783" s="7"/>
      <c r="HD783" s="6"/>
      <c r="HH783" s="6"/>
      <c r="HI783" s="7"/>
      <c r="HN783" s="6"/>
      <c r="HY783" s="6"/>
      <c r="HZ783" s="7"/>
      <c r="IE783" s="6"/>
      <c r="II783" s="6"/>
      <c r="IJ783" s="7"/>
      <c r="IO783" s="6"/>
      <c r="IZ783" s="6"/>
      <c r="JA783" s="7"/>
      <c r="JF783" s="6"/>
      <c r="JJ783" s="6"/>
      <c r="JK783" s="7"/>
      <c r="JP783" s="6"/>
      <c r="KA783" s="6"/>
      <c r="KB783" s="7"/>
      <c r="KG783" s="6"/>
      <c r="KK783" s="6"/>
      <c r="KL783" s="7"/>
      <c r="KQ783" s="6"/>
      <c r="LB783" s="6"/>
      <c r="LC783" s="7"/>
      <c r="LH783" s="6"/>
      <c r="LL783" s="6"/>
      <c r="LM783" s="7"/>
      <c r="LR783" s="6"/>
      <c r="MC783" s="6"/>
      <c r="MD783" s="7"/>
      <c r="MI783" s="6"/>
      <c r="MM783" s="6"/>
      <c r="MN783" s="7"/>
      <c r="MS783" s="6"/>
      <c r="ND783" s="6"/>
      <c r="NE783" s="7"/>
      <c r="NJ783" s="6"/>
      <c r="NN783" s="6"/>
      <c r="NO783" s="7"/>
      <c r="NT783" s="6"/>
      <c r="OE783" s="6"/>
      <c r="OF783" s="7"/>
      <c r="OK783" s="6"/>
      <c r="OO783" s="6"/>
      <c r="OP783" s="7"/>
      <c r="OU783" s="6"/>
      <c r="PF783" s="6"/>
      <c r="PG783" s="7"/>
      <c r="PL783" s="6"/>
      <c r="PP783" s="6"/>
      <c r="PQ783" s="7"/>
      <c r="PV783" s="6"/>
      <c r="QG783" s="6"/>
      <c r="QH783" s="7"/>
      <c r="QM783" s="6"/>
      <c r="QQ783" s="6"/>
      <c r="QR783" s="7"/>
      <c r="QW783" s="6"/>
      <c r="RH783" s="6"/>
      <c r="RI783" s="7"/>
      <c r="RN783" s="6"/>
      <c r="RR783" s="6"/>
      <c r="RS783" s="7"/>
      <c r="RX783" s="6"/>
      <c r="SI783" s="6"/>
      <c r="SJ783" s="7"/>
      <c r="SO783" s="6"/>
      <c r="SS783" s="6"/>
      <c r="ST783" s="7"/>
      <c r="SY783" s="6"/>
    </row>
    <row r="784" spans="12:520" x14ac:dyDescent="0.3">
      <c r="O784" s="5"/>
      <c r="R784" s="5"/>
      <c r="S784" s="6"/>
      <c r="T784" s="6"/>
      <c r="U784" s="7"/>
      <c r="W784" s="6"/>
      <c r="X784" s="5"/>
      <c r="Z784" s="5"/>
      <c r="AA784" s="6"/>
      <c r="AB784" s="7"/>
      <c r="AG784" s="5"/>
      <c r="AH784" s="6"/>
      <c r="AS784" s="6"/>
      <c r="AT784" s="7"/>
      <c r="AW784" s="5"/>
      <c r="AY784" s="6"/>
      <c r="BC784" s="6"/>
      <c r="BD784" s="6"/>
      <c r="BI784" s="6"/>
      <c r="BT784" s="6"/>
      <c r="BU784" s="6"/>
      <c r="BZ784" s="6"/>
      <c r="CD784" s="6"/>
      <c r="CE784" s="6"/>
      <c r="CJ784" s="6"/>
      <c r="CU784" s="6"/>
      <c r="CV784" s="6"/>
      <c r="DA784" s="6"/>
      <c r="DE784" s="6"/>
      <c r="DF784" s="6"/>
      <c r="DK784" s="6"/>
      <c r="DV784" s="6"/>
      <c r="DW784" s="6"/>
      <c r="EB784" s="6"/>
      <c r="EF784" s="6"/>
      <c r="EG784" s="6"/>
      <c r="EL784" s="6"/>
      <c r="EW784" s="6"/>
      <c r="EX784" s="6"/>
      <c r="FC784" s="6"/>
      <c r="FG784" s="6"/>
      <c r="FH784" s="6"/>
      <c r="FM784" s="6"/>
      <c r="FX784" s="6"/>
      <c r="FY784" s="6"/>
      <c r="GD784" s="6"/>
      <c r="GH784" s="6"/>
      <c r="GI784" s="6"/>
      <c r="GN784" s="6"/>
      <c r="GY784" s="6"/>
      <c r="GZ784" s="6"/>
      <c r="HE784" s="6"/>
      <c r="HI784" s="6"/>
      <c r="HJ784" s="6"/>
      <c r="HO784" s="6"/>
      <c r="HZ784" s="6"/>
      <c r="IA784" s="6"/>
      <c r="IF784" s="6"/>
      <c r="IJ784" s="6"/>
      <c r="IK784" s="6"/>
      <c r="IP784" s="6"/>
      <c r="JA784" s="6"/>
      <c r="JB784" s="6"/>
      <c r="JG784" s="6"/>
      <c r="JK784" s="6"/>
      <c r="JL784" s="6"/>
      <c r="JQ784" s="6"/>
      <c r="KB784" s="6"/>
      <c r="KC784" s="6"/>
      <c r="KH784" s="6"/>
      <c r="KL784" s="6"/>
      <c r="KM784" s="6"/>
      <c r="KR784" s="6"/>
      <c r="KW784" s="8"/>
      <c r="KX784" s="8"/>
      <c r="KY784" s="8"/>
      <c r="LC784" s="6"/>
      <c r="LD784" s="6"/>
      <c r="LI784" s="6"/>
      <c r="LM784" s="6"/>
      <c r="LN784" s="6"/>
      <c r="LS784" s="6"/>
      <c r="MD784" s="6"/>
      <c r="ME784" s="6"/>
      <c r="MJ784" s="6"/>
      <c r="MN784" s="6"/>
      <c r="MO784" s="6"/>
      <c r="MT784" s="6"/>
      <c r="NE784" s="6"/>
      <c r="NF784" s="6"/>
      <c r="NK784" s="6"/>
      <c r="NO784" s="6"/>
      <c r="NP784" s="6"/>
      <c r="NU784" s="6"/>
      <c r="OF784" s="6"/>
      <c r="OG784" s="6"/>
      <c r="OL784" s="6"/>
      <c r="OP784" s="6"/>
      <c r="OQ784" s="6"/>
      <c r="OV784" s="6"/>
      <c r="PG784" s="6"/>
      <c r="PH784" s="6"/>
      <c r="PM784" s="6"/>
      <c r="PQ784" s="6"/>
      <c r="PR784" s="6"/>
      <c r="PW784" s="6"/>
      <c r="QH784" s="6"/>
      <c r="QI784" s="6"/>
      <c r="QN784" s="6"/>
      <c r="QR784" s="6"/>
      <c r="QS784" s="6"/>
      <c r="QX784" s="6"/>
      <c r="RI784" s="6"/>
      <c r="RJ784" s="6"/>
      <c r="RO784" s="6"/>
      <c r="RS784" s="6"/>
      <c r="RT784" s="6"/>
      <c r="RY784" s="6"/>
      <c r="SJ784" s="6"/>
      <c r="SK784" s="6"/>
      <c r="SP784" s="6"/>
      <c r="ST784" s="6"/>
      <c r="SU784" s="6"/>
      <c r="SZ784" s="6"/>
    </row>
    <row r="785" spans="12:520" x14ac:dyDescent="0.3">
      <c r="O785" s="5"/>
      <c r="R785" s="5"/>
      <c r="S785" s="6"/>
      <c r="T785" s="6"/>
      <c r="U785" s="7"/>
      <c r="W785" s="6"/>
      <c r="X785" s="5"/>
      <c r="Z785" s="5"/>
      <c r="AA785" s="6"/>
      <c r="AB785" s="7"/>
      <c r="AG785" s="5"/>
      <c r="AH785" s="6"/>
      <c r="AM785" s="8"/>
      <c r="AN785" s="8"/>
      <c r="AO785" s="8"/>
      <c r="AS785" s="6"/>
      <c r="AT785" s="7"/>
      <c r="AW785" s="5"/>
      <c r="AY785" s="6"/>
      <c r="BC785" s="6"/>
      <c r="BD785" s="6"/>
      <c r="BI785" s="6"/>
      <c r="BT785" s="6"/>
      <c r="BU785" s="6"/>
      <c r="BZ785" s="6"/>
      <c r="CD785" s="6"/>
      <c r="CE785" s="6"/>
      <c r="CJ785" s="6"/>
      <c r="CU785" s="6"/>
      <c r="CV785" s="6"/>
      <c r="DA785" s="6"/>
      <c r="DE785" s="6"/>
      <c r="DF785" s="6"/>
      <c r="DK785" s="6"/>
      <c r="DV785" s="6"/>
      <c r="DW785" s="6"/>
      <c r="EB785" s="6"/>
      <c r="EF785" s="6"/>
      <c r="EG785" s="6"/>
      <c r="EL785" s="6"/>
      <c r="EW785" s="6"/>
      <c r="EX785" s="6"/>
      <c r="FC785" s="6"/>
      <c r="FG785" s="6"/>
      <c r="FH785" s="6"/>
      <c r="FM785" s="6"/>
      <c r="FX785" s="6"/>
      <c r="FY785" s="6"/>
      <c r="GD785" s="6"/>
      <c r="GH785" s="6"/>
      <c r="GI785" s="6"/>
      <c r="GN785" s="6"/>
      <c r="GY785" s="6"/>
      <c r="GZ785" s="6"/>
      <c r="HE785" s="6"/>
      <c r="HI785" s="6"/>
      <c r="HJ785" s="6"/>
      <c r="HO785" s="6"/>
      <c r="HZ785" s="6"/>
      <c r="IA785" s="6"/>
      <c r="IF785" s="6"/>
      <c r="IJ785" s="6"/>
      <c r="IK785" s="6"/>
      <c r="IP785" s="6"/>
      <c r="JA785" s="6"/>
      <c r="JB785" s="6"/>
      <c r="JG785" s="6"/>
      <c r="JK785" s="6"/>
      <c r="JL785" s="6"/>
      <c r="JQ785" s="6"/>
      <c r="KB785" s="6"/>
      <c r="KC785" s="6"/>
      <c r="KH785" s="6"/>
      <c r="KL785" s="6"/>
      <c r="KM785" s="6"/>
      <c r="KR785" s="6"/>
      <c r="MD785" s="6"/>
      <c r="ME785" s="6"/>
      <c r="MJ785" s="6"/>
      <c r="MN785" s="6"/>
      <c r="MO785" s="6"/>
      <c r="MT785" s="6"/>
      <c r="NE785" s="6"/>
      <c r="NF785" s="6"/>
      <c r="NK785" s="6"/>
      <c r="NO785" s="6"/>
      <c r="NP785" s="6"/>
      <c r="NU785" s="6"/>
      <c r="OF785" s="6"/>
      <c r="OG785" s="6"/>
      <c r="OL785" s="6"/>
      <c r="OP785" s="6"/>
      <c r="OQ785" s="6"/>
      <c r="OV785" s="6"/>
      <c r="PG785" s="6"/>
      <c r="PH785" s="6"/>
      <c r="PM785" s="6"/>
      <c r="PQ785" s="6"/>
      <c r="PR785" s="6"/>
      <c r="PW785" s="6"/>
      <c r="QH785" s="6"/>
      <c r="QI785" s="6"/>
      <c r="QN785" s="6"/>
      <c r="QR785" s="6"/>
      <c r="QS785" s="6"/>
      <c r="QX785" s="6"/>
      <c r="RI785" s="6"/>
      <c r="RJ785" s="6"/>
      <c r="RO785" s="6"/>
      <c r="RS785" s="6"/>
      <c r="RT785" s="6"/>
      <c r="RY785" s="6"/>
      <c r="SJ785" s="6"/>
      <c r="SK785" s="6"/>
      <c r="SP785" s="6"/>
      <c r="ST785" s="6"/>
      <c r="SU785" s="6"/>
      <c r="SZ785" s="6"/>
    </row>
    <row r="786" spans="12:520" x14ac:dyDescent="0.3">
      <c r="O786" s="5"/>
      <c r="R786" s="5"/>
      <c r="S786" s="6"/>
      <c r="T786" s="6"/>
      <c r="U786" s="7"/>
      <c r="W786" s="6"/>
      <c r="X786" s="5"/>
      <c r="Z786" s="5"/>
      <c r="AA786" s="6"/>
      <c r="AB786" s="7"/>
      <c r="AG786" s="5"/>
      <c r="AH786" s="6"/>
      <c r="AT786" s="7"/>
      <c r="AW786" s="5"/>
      <c r="AY786" s="6"/>
      <c r="BC786" s="6"/>
      <c r="BD786" s="6"/>
      <c r="BI786" s="6"/>
      <c r="BT786" s="6"/>
      <c r="BU786" s="6"/>
      <c r="BZ786" s="6"/>
      <c r="CD786" s="6"/>
      <c r="CE786" s="6"/>
      <c r="CJ786" s="6"/>
      <c r="CU786" s="6"/>
      <c r="CV786" s="6"/>
      <c r="DA786" s="6"/>
      <c r="DE786" s="6"/>
      <c r="DF786" s="6"/>
      <c r="DK786" s="6"/>
      <c r="DV786" s="6"/>
      <c r="DW786" s="6"/>
      <c r="EB786" s="6"/>
      <c r="EF786" s="6"/>
      <c r="EG786" s="6"/>
      <c r="EL786" s="6"/>
      <c r="EW786" s="6"/>
      <c r="EX786" s="6"/>
      <c r="FC786" s="6"/>
      <c r="FG786" s="6"/>
      <c r="FH786" s="6"/>
      <c r="FM786" s="6"/>
      <c r="FX786" s="6"/>
      <c r="FY786" s="6"/>
      <c r="GD786" s="6"/>
      <c r="GH786" s="6"/>
      <c r="GI786" s="6"/>
      <c r="GN786" s="6"/>
      <c r="GY786" s="6"/>
      <c r="GZ786" s="6"/>
      <c r="HE786" s="6"/>
      <c r="HI786" s="6"/>
      <c r="HJ786" s="6"/>
      <c r="HO786" s="6"/>
      <c r="HZ786" s="6"/>
      <c r="IA786" s="6"/>
      <c r="IF786" s="6"/>
      <c r="IJ786" s="6"/>
      <c r="IK786" s="6"/>
      <c r="IP786" s="6"/>
      <c r="JA786" s="6"/>
      <c r="JB786" s="6"/>
      <c r="JG786" s="6"/>
      <c r="JK786" s="6"/>
      <c r="JL786" s="6"/>
      <c r="JQ786" s="6"/>
      <c r="KB786" s="6"/>
      <c r="KC786" s="6"/>
      <c r="KH786" s="6"/>
      <c r="KL786" s="6"/>
      <c r="KM786" s="6"/>
      <c r="KR786" s="6"/>
      <c r="MD786" s="6"/>
      <c r="ME786" s="6"/>
      <c r="MJ786" s="6"/>
      <c r="MN786" s="6"/>
      <c r="MO786" s="6"/>
      <c r="MT786" s="6"/>
      <c r="NE786" s="6"/>
      <c r="NF786" s="6"/>
      <c r="NK786" s="6"/>
      <c r="NO786" s="6"/>
      <c r="NP786" s="6"/>
      <c r="NU786" s="6"/>
      <c r="NZ786" s="8"/>
      <c r="OA786" s="8"/>
      <c r="OB786" s="8"/>
      <c r="OF786" s="6"/>
      <c r="OG786" s="6"/>
      <c r="OL786" s="6"/>
      <c r="OP786" s="6"/>
      <c r="OQ786" s="6"/>
      <c r="OV786" s="6"/>
      <c r="PG786" s="6"/>
      <c r="PH786" s="6"/>
      <c r="PM786" s="6"/>
      <c r="PQ786" s="6"/>
      <c r="PR786" s="6"/>
      <c r="PW786" s="6"/>
      <c r="QH786" s="6"/>
      <c r="QI786" s="6"/>
      <c r="QN786" s="6"/>
      <c r="QR786" s="6"/>
      <c r="QS786" s="6"/>
      <c r="QX786" s="6"/>
      <c r="RI786" s="6"/>
      <c r="RJ786" s="6"/>
      <c r="RO786" s="6"/>
      <c r="RS786" s="6"/>
      <c r="RT786" s="6"/>
      <c r="RY786" s="6"/>
      <c r="SJ786" s="6"/>
      <c r="SK786" s="6"/>
      <c r="SP786" s="6"/>
      <c r="ST786" s="6"/>
      <c r="SU786" s="6"/>
      <c r="SZ786" s="6"/>
    </row>
    <row r="787" spans="12:520" x14ac:dyDescent="0.3">
      <c r="R787" s="5"/>
      <c r="S787" s="6"/>
      <c r="T787" s="6"/>
      <c r="U787" s="7"/>
      <c r="W787" s="6"/>
      <c r="Z787" s="5"/>
      <c r="AA787" s="6"/>
      <c r="AB787" s="7"/>
      <c r="AG787" s="5"/>
      <c r="AH787" s="6"/>
      <c r="AR787" s="6"/>
      <c r="AS787" s="7"/>
      <c r="AT787" s="7"/>
      <c r="AW787" s="5"/>
      <c r="AY787" s="6"/>
      <c r="BC787" s="6"/>
      <c r="BD787" s="6"/>
      <c r="BI787" s="6"/>
      <c r="BT787" s="6"/>
      <c r="BU787" s="6"/>
      <c r="BZ787" s="6"/>
      <c r="CD787" s="6"/>
      <c r="CE787" s="6"/>
      <c r="CJ787" s="6"/>
      <c r="CU787" s="6"/>
      <c r="CV787" s="6"/>
      <c r="DA787" s="6"/>
      <c r="DE787" s="6"/>
      <c r="DF787" s="6"/>
      <c r="DK787" s="6"/>
      <c r="DV787" s="6"/>
      <c r="DW787" s="6"/>
      <c r="EB787" s="6"/>
      <c r="EF787" s="6"/>
      <c r="EG787" s="6"/>
      <c r="EL787" s="6"/>
      <c r="EW787" s="6"/>
      <c r="EX787" s="6"/>
      <c r="FC787" s="6"/>
      <c r="FG787" s="6"/>
      <c r="FH787" s="6"/>
      <c r="FM787" s="6"/>
      <c r="FX787" s="6"/>
      <c r="FY787" s="6"/>
      <c r="GD787" s="6"/>
      <c r="GH787" s="6"/>
      <c r="GI787" s="6"/>
      <c r="GN787" s="6"/>
      <c r="GY787" s="6"/>
      <c r="GZ787" s="6"/>
      <c r="HE787" s="6"/>
      <c r="HI787" s="6"/>
      <c r="HJ787" s="6"/>
      <c r="HO787" s="6"/>
      <c r="HZ787" s="6"/>
      <c r="IA787" s="6"/>
      <c r="IF787" s="6"/>
      <c r="IJ787" s="6"/>
      <c r="IK787" s="6"/>
      <c r="IP787" s="6"/>
      <c r="JA787" s="6"/>
      <c r="JB787" s="6"/>
      <c r="JG787" s="6"/>
      <c r="JK787" s="6"/>
      <c r="JL787" s="6"/>
      <c r="JQ787" s="6"/>
      <c r="KB787" s="6"/>
      <c r="KC787" s="6"/>
      <c r="KH787" s="6"/>
      <c r="KL787" s="6"/>
      <c r="KM787" s="6"/>
      <c r="KR787" s="6"/>
      <c r="MD787" s="6"/>
      <c r="ME787" s="6"/>
      <c r="MJ787" s="6"/>
      <c r="MN787" s="6"/>
      <c r="MO787" s="6"/>
      <c r="MT787" s="6"/>
      <c r="NE787" s="6"/>
      <c r="NF787" s="6"/>
      <c r="NK787" s="6"/>
      <c r="NO787" s="6"/>
      <c r="NP787" s="6"/>
      <c r="NU787" s="6"/>
      <c r="PG787" s="6"/>
      <c r="PH787" s="6"/>
      <c r="PM787" s="6"/>
      <c r="PQ787" s="6"/>
      <c r="PR787" s="6"/>
      <c r="PW787" s="6"/>
      <c r="QH787" s="6"/>
      <c r="QI787" s="6"/>
      <c r="QN787" s="6"/>
      <c r="QR787" s="6"/>
      <c r="QS787" s="6"/>
      <c r="QX787" s="6"/>
      <c r="RI787" s="6"/>
      <c r="RJ787" s="6"/>
      <c r="RO787" s="6"/>
      <c r="RS787" s="6"/>
      <c r="RT787" s="6"/>
      <c r="RY787" s="6"/>
      <c r="SJ787" s="6"/>
      <c r="SK787" s="6"/>
      <c r="SP787" s="6"/>
      <c r="ST787" s="6"/>
      <c r="SU787" s="6"/>
      <c r="SZ787" s="6"/>
    </row>
    <row r="788" spans="12:520" x14ac:dyDescent="0.3">
      <c r="O788" s="5"/>
      <c r="R788" s="5"/>
      <c r="S788" s="6"/>
      <c r="T788" s="6"/>
      <c r="U788" s="7"/>
      <c r="W788" s="6"/>
      <c r="X788" s="5"/>
      <c r="Z788" s="5"/>
      <c r="AA788" s="6"/>
      <c r="AB788" s="7"/>
      <c r="AG788" s="5"/>
      <c r="AH788" s="6"/>
      <c r="AQ788" s="5"/>
      <c r="AR788" s="5"/>
      <c r="AS788" s="6"/>
      <c r="AT788" s="7"/>
      <c r="AW788" s="5"/>
      <c r="AY788" s="6"/>
      <c r="BC788" s="6"/>
      <c r="BD788" s="6"/>
      <c r="BI788" s="6"/>
      <c r="BT788" s="6"/>
      <c r="BU788" s="6"/>
      <c r="BZ788" s="6"/>
      <c r="CD788" s="6"/>
      <c r="CE788" s="6"/>
      <c r="CJ788" s="6"/>
      <c r="CU788" s="6"/>
      <c r="CV788" s="6"/>
      <c r="DA788" s="6"/>
      <c r="DE788" s="6"/>
      <c r="DF788" s="6"/>
      <c r="DK788" s="6"/>
      <c r="DV788" s="6"/>
      <c r="DW788" s="6"/>
      <c r="EB788" s="6"/>
      <c r="EF788" s="6"/>
      <c r="EG788" s="6"/>
      <c r="EL788" s="6"/>
      <c r="EW788" s="6"/>
      <c r="EX788" s="6"/>
      <c r="FC788" s="6"/>
      <c r="FG788" s="6"/>
      <c r="FH788" s="6"/>
      <c r="FM788" s="6"/>
      <c r="FX788" s="6"/>
      <c r="FY788" s="6"/>
      <c r="GD788" s="6"/>
      <c r="GH788" s="6"/>
      <c r="GI788" s="6"/>
      <c r="GN788" s="6"/>
      <c r="GY788" s="6"/>
      <c r="GZ788" s="6"/>
      <c r="HE788" s="6"/>
      <c r="HI788" s="6"/>
      <c r="HJ788" s="6"/>
      <c r="HO788" s="6"/>
      <c r="HZ788" s="6"/>
      <c r="IA788" s="6"/>
      <c r="IF788" s="6"/>
      <c r="IJ788" s="6"/>
      <c r="IK788" s="6"/>
      <c r="IP788" s="6"/>
      <c r="JA788" s="6"/>
      <c r="JB788" s="6"/>
      <c r="JG788" s="6"/>
      <c r="JK788" s="6"/>
      <c r="JL788" s="6"/>
      <c r="JQ788" s="6"/>
      <c r="KB788" s="6"/>
      <c r="KC788" s="6"/>
      <c r="KH788" s="6"/>
      <c r="KL788" s="6"/>
      <c r="KM788" s="6"/>
      <c r="KR788" s="6"/>
      <c r="MD788" s="6"/>
      <c r="ME788" s="6"/>
      <c r="MJ788" s="6"/>
      <c r="MN788" s="6"/>
      <c r="MO788" s="6"/>
      <c r="MT788" s="6"/>
      <c r="NE788" s="6"/>
      <c r="NF788" s="6"/>
      <c r="NK788" s="6"/>
      <c r="NO788" s="6"/>
      <c r="NP788" s="6"/>
      <c r="NU788" s="6"/>
      <c r="PG788" s="6"/>
      <c r="PH788" s="6"/>
      <c r="PM788" s="6"/>
      <c r="PQ788" s="6"/>
      <c r="PR788" s="6"/>
      <c r="PW788" s="6"/>
      <c r="QB788" s="8"/>
      <c r="QC788" s="8"/>
      <c r="QD788" s="8"/>
      <c r="QH788" s="6"/>
      <c r="QI788" s="6"/>
      <c r="QN788" s="6"/>
      <c r="QR788" s="6"/>
      <c r="QS788" s="6"/>
      <c r="QX788" s="6"/>
      <c r="RI788" s="6"/>
      <c r="RJ788" s="6"/>
      <c r="RO788" s="6"/>
      <c r="RS788" s="6"/>
      <c r="RT788" s="6"/>
      <c r="RY788" s="6"/>
      <c r="SJ788" s="6"/>
      <c r="SK788" s="6"/>
      <c r="SP788" s="6"/>
      <c r="ST788" s="6"/>
      <c r="SU788" s="6"/>
      <c r="SZ788" s="6"/>
    </row>
    <row r="789" spans="12:520" x14ac:dyDescent="0.3">
      <c r="O789" s="5"/>
      <c r="R789" s="5"/>
      <c r="S789" s="6"/>
      <c r="T789" s="6"/>
      <c r="U789" s="7"/>
      <c r="W789" s="6"/>
      <c r="X789" s="5"/>
      <c r="Z789" s="5"/>
      <c r="AA789" s="6"/>
      <c r="AB789" s="7"/>
      <c r="AG789" s="5"/>
      <c r="AH789" s="6"/>
      <c r="AQ789" s="5"/>
      <c r="AR789" s="5"/>
      <c r="AS789" s="6"/>
      <c r="AT789" s="7"/>
      <c r="AW789" s="5"/>
      <c r="AY789" s="6"/>
      <c r="BC789" s="6"/>
      <c r="BD789" s="6"/>
      <c r="BI789" s="6"/>
      <c r="BT789" s="6"/>
      <c r="BU789" s="6"/>
      <c r="BZ789" s="6"/>
      <c r="CD789" s="6"/>
      <c r="CE789" s="6"/>
      <c r="CJ789" s="6"/>
      <c r="CU789" s="6"/>
      <c r="CV789" s="6"/>
      <c r="DA789" s="6"/>
      <c r="DE789" s="6"/>
      <c r="DF789" s="6"/>
      <c r="DK789" s="6"/>
      <c r="DV789" s="6"/>
      <c r="DW789" s="6"/>
      <c r="EB789" s="6"/>
      <c r="EF789" s="6"/>
      <c r="EG789" s="6"/>
      <c r="EL789" s="6"/>
      <c r="EW789" s="6"/>
      <c r="EX789" s="6"/>
      <c r="FC789" s="6"/>
      <c r="FG789" s="6"/>
      <c r="FH789" s="6"/>
      <c r="FM789" s="6"/>
      <c r="FX789" s="6"/>
      <c r="FY789" s="6"/>
      <c r="GD789" s="6"/>
      <c r="GH789" s="6"/>
      <c r="GI789" s="6"/>
      <c r="GN789" s="6"/>
      <c r="GY789" s="6"/>
      <c r="GZ789" s="6"/>
      <c r="HE789" s="6"/>
      <c r="HI789" s="6"/>
      <c r="HJ789" s="6"/>
      <c r="HO789" s="6"/>
      <c r="HZ789" s="6"/>
      <c r="IA789" s="6"/>
      <c r="IF789" s="6"/>
      <c r="IJ789" s="6"/>
      <c r="IK789" s="6"/>
      <c r="IP789" s="6"/>
      <c r="JA789" s="6"/>
      <c r="JB789" s="6"/>
      <c r="JG789" s="6"/>
      <c r="JK789" s="6"/>
      <c r="JL789" s="6"/>
      <c r="JQ789" s="6"/>
      <c r="KB789" s="6"/>
      <c r="KC789" s="6"/>
      <c r="KH789" s="6"/>
      <c r="KL789" s="6"/>
      <c r="KM789" s="6"/>
      <c r="KR789" s="6"/>
      <c r="MD789" s="6"/>
      <c r="ME789" s="6"/>
      <c r="MJ789" s="6"/>
      <c r="MN789" s="6"/>
      <c r="MO789" s="6"/>
      <c r="MT789" s="6"/>
      <c r="NE789" s="6"/>
      <c r="NF789" s="6"/>
      <c r="NK789" s="6"/>
      <c r="NO789" s="6"/>
      <c r="NP789" s="6"/>
      <c r="NU789" s="6"/>
      <c r="PG789" s="6"/>
      <c r="PH789" s="6"/>
      <c r="PM789" s="6"/>
      <c r="PQ789" s="6"/>
      <c r="PR789" s="6"/>
      <c r="PW789" s="6"/>
      <c r="RI789" s="6"/>
      <c r="RJ789" s="6"/>
      <c r="RO789" s="6"/>
      <c r="RS789" s="6"/>
      <c r="RT789" s="6"/>
      <c r="RY789" s="6"/>
      <c r="SJ789" s="6"/>
      <c r="SK789" s="6"/>
      <c r="SP789" s="6"/>
      <c r="ST789" s="6"/>
      <c r="SU789" s="6"/>
      <c r="SZ789" s="6"/>
    </row>
    <row r="790" spans="12:520" x14ac:dyDescent="0.3">
      <c r="O790" s="5"/>
      <c r="R790" s="5"/>
      <c r="S790" s="6"/>
      <c r="T790" s="6"/>
      <c r="U790" s="7"/>
      <c r="W790" s="6"/>
      <c r="X790" s="5"/>
      <c r="Z790" s="5"/>
      <c r="AA790" s="6"/>
      <c r="AB790" s="7"/>
      <c r="AG790" s="5"/>
      <c r="AH790" s="6"/>
      <c r="AQ790" s="5"/>
      <c r="AR790" s="5"/>
      <c r="AS790" s="6"/>
      <c r="AT790" s="7"/>
      <c r="AW790" s="5"/>
      <c r="AY790" s="7"/>
      <c r="BC790" s="6"/>
      <c r="BD790" s="6"/>
      <c r="BI790" s="6"/>
      <c r="BT790" s="6"/>
      <c r="BU790" s="6"/>
      <c r="BZ790" s="6"/>
      <c r="CD790" s="6"/>
      <c r="CE790" s="6"/>
      <c r="CJ790" s="6"/>
      <c r="CU790" s="6"/>
      <c r="CV790" s="6"/>
      <c r="DA790" s="6"/>
      <c r="DE790" s="6"/>
      <c r="DF790" s="6"/>
      <c r="DK790" s="6"/>
      <c r="DV790" s="6"/>
      <c r="DW790" s="6"/>
      <c r="EB790" s="6"/>
      <c r="EF790" s="6"/>
      <c r="EG790" s="6"/>
      <c r="EL790" s="6"/>
      <c r="EW790" s="6"/>
      <c r="EX790" s="6"/>
      <c r="FC790" s="6"/>
      <c r="FG790" s="6"/>
      <c r="FH790" s="6"/>
      <c r="FM790" s="6"/>
      <c r="FX790" s="6"/>
      <c r="FY790" s="6"/>
      <c r="GD790" s="6"/>
      <c r="GH790" s="6"/>
      <c r="GI790" s="6"/>
      <c r="GN790" s="6"/>
      <c r="GY790" s="6"/>
      <c r="GZ790" s="6"/>
      <c r="HE790" s="6"/>
      <c r="HI790" s="6"/>
      <c r="HJ790" s="6"/>
      <c r="HO790" s="6"/>
      <c r="HZ790" s="6"/>
      <c r="IA790" s="6"/>
      <c r="IF790" s="6"/>
      <c r="IJ790" s="6"/>
      <c r="IK790" s="6"/>
      <c r="IP790" s="6"/>
      <c r="IU790" s="8"/>
      <c r="IV790" s="8"/>
      <c r="IW790" s="8"/>
      <c r="JA790" s="6"/>
      <c r="JB790" s="6"/>
      <c r="JG790" s="6"/>
      <c r="JK790" s="6"/>
      <c r="JL790" s="6"/>
      <c r="JQ790" s="6"/>
      <c r="KB790" s="6"/>
      <c r="KC790" s="6"/>
      <c r="KH790" s="6"/>
      <c r="KL790" s="6"/>
      <c r="KM790" s="6"/>
      <c r="KR790" s="6"/>
      <c r="MD790" s="6"/>
      <c r="ME790" s="6"/>
      <c r="MJ790" s="6"/>
      <c r="MN790" s="6"/>
      <c r="MO790" s="6"/>
      <c r="MT790" s="6"/>
      <c r="NE790" s="6"/>
      <c r="NF790" s="6"/>
      <c r="NK790" s="6"/>
      <c r="NO790" s="6"/>
      <c r="NP790" s="6"/>
      <c r="NU790" s="6"/>
      <c r="PG790" s="6"/>
      <c r="PH790" s="6"/>
      <c r="PM790" s="6"/>
      <c r="PQ790" s="6"/>
      <c r="PR790" s="6"/>
      <c r="PW790" s="6"/>
      <c r="RI790" s="6"/>
      <c r="RJ790" s="6"/>
      <c r="RO790" s="6"/>
      <c r="RS790" s="6"/>
      <c r="RT790" s="6"/>
      <c r="RY790" s="6"/>
      <c r="SJ790" s="6"/>
      <c r="SK790" s="6"/>
      <c r="SP790" s="6"/>
      <c r="ST790" s="6"/>
      <c r="SU790" s="6"/>
      <c r="SZ790" s="6"/>
    </row>
    <row r="791" spans="12:520" x14ac:dyDescent="0.3">
      <c r="O791" s="5"/>
      <c r="R791" s="5"/>
      <c r="S791" s="6"/>
      <c r="T791" s="6"/>
      <c r="U791" s="7"/>
      <c r="W791" s="6"/>
      <c r="X791" s="5"/>
      <c r="Z791" s="5"/>
      <c r="AA791" s="6"/>
      <c r="AB791" s="7"/>
      <c r="AG791" s="5"/>
      <c r="AH791" s="6"/>
      <c r="AQ791" s="5"/>
      <c r="AR791" s="5"/>
      <c r="AS791" s="6"/>
      <c r="AT791" s="7"/>
      <c r="AW791" s="5"/>
      <c r="AY791" s="6"/>
      <c r="BC791" s="6"/>
      <c r="BD791" s="6"/>
      <c r="BI791" s="6"/>
      <c r="BT791" s="6"/>
      <c r="BU791" s="6"/>
      <c r="BZ791" s="6"/>
      <c r="CD791" s="6"/>
      <c r="CE791" s="6"/>
      <c r="CJ791" s="6"/>
      <c r="CU791" s="6"/>
      <c r="CV791" s="6"/>
      <c r="DA791" s="6"/>
      <c r="DE791" s="6"/>
      <c r="DF791" s="6"/>
      <c r="DK791" s="6"/>
      <c r="DV791" s="6"/>
      <c r="DW791" s="6"/>
      <c r="EB791" s="6"/>
      <c r="EF791" s="6"/>
      <c r="EG791" s="6"/>
      <c r="EL791" s="6"/>
      <c r="EW791" s="6"/>
      <c r="EX791" s="6"/>
      <c r="FC791" s="6"/>
      <c r="FG791" s="6"/>
      <c r="FH791" s="6"/>
      <c r="FM791" s="6"/>
      <c r="FX791" s="6"/>
      <c r="FY791" s="6"/>
      <c r="GD791" s="6"/>
      <c r="GH791" s="6"/>
      <c r="GI791" s="6"/>
      <c r="GN791" s="6"/>
      <c r="GY791" s="6"/>
      <c r="GZ791" s="6"/>
      <c r="HE791" s="6"/>
      <c r="HI791" s="6"/>
      <c r="HJ791" s="6"/>
      <c r="HO791" s="6"/>
      <c r="HZ791" s="6"/>
      <c r="IA791" s="6"/>
      <c r="IF791" s="6"/>
      <c r="IJ791" s="6"/>
      <c r="IK791" s="6"/>
      <c r="IP791" s="6"/>
      <c r="KB791" s="6"/>
      <c r="KC791" s="6"/>
      <c r="KH791" s="6"/>
      <c r="KL791" s="6"/>
      <c r="KM791" s="6"/>
      <c r="KR791" s="6"/>
      <c r="MD791" s="6"/>
      <c r="ME791" s="6"/>
      <c r="MJ791" s="6"/>
      <c r="MN791" s="6"/>
      <c r="MO791" s="6"/>
      <c r="MT791" s="6"/>
      <c r="NE791" s="6"/>
      <c r="NF791" s="6"/>
      <c r="NK791" s="6"/>
      <c r="NO791" s="6"/>
      <c r="NP791" s="6"/>
      <c r="NU791" s="6"/>
      <c r="PG791" s="6"/>
      <c r="PH791" s="6"/>
      <c r="PM791" s="6"/>
      <c r="PQ791" s="6"/>
      <c r="PR791" s="6"/>
      <c r="PW791" s="6"/>
      <c r="RI791" s="6"/>
      <c r="RJ791" s="6"/>
      <c r="RO791" s="6"/>
      <c r="RS791" s="6"/>
      <c r="RT791" s="6"/>
      <c r="RY791" s="6"/>
      <c r="SJ791" s="6"/>
      <c r="SK791" s="6"/>
      <c r="SP791" s="6"/>
      <c r="ST791" s="6"/>
      <c r="SU791" s="6"/>
      <c r="SZ791" s="6"/>
    </row>
    <row r="792" spans="12:520" x14ac:dyDescent="0.3">
      <c r="O792" s="5"/>
      <c r="R792" s="5"/>
      <c r="S792" s="6"/>
      <c r="T792" s="6"/>
      <c r="U792" s="7"/>
      <c r="W792" s="6"/>
      <c r="X792" s="5"/>
      <c r="Z792" s="5"/>
      <c r="AA792" s="6"/>
      <c r="AB792" s="7"/>
      <c r="AG792" s="5"/>
      <c r="AH792" s="6"/>
      <c r="AQ792" s="5"/>
      <c r="AR792" s="5"/>
      <c r="AS792" s="6"/>
      <c r="AT792" s="7"/>
      <c r="AW792" s="5"/>
      <c r="AY792" s="7"/>
      <c r="BC792" s="6"/>
      <c r="BD792" s="6"/>
      <c r="BI792" s="6"/>
      <c r="BT792" s="6"/>
      <c r="BU792" s="6"/>
      <c r="BZ792" s="6"/>
      <c r="CD792" s="6"/>
      <c r="CE792" s="6"/>
      <c r="CJ792" s="6"/>
      <c r="CU792" s="6"/>
      <c r="CV792" s="6"/>
      <c r="DA792" s="6"/>
      <c r="DE792" s="6"/>
      <c r="DF792" s="6"/>
      <c r="DK792" s="6"/>
      <c r="DV792" s="6"/>
      <c r="DW792" s="6"/>
      <c r="EB792" s="6"/>
      <c r="EF792" s="6"/>
      <c r="EG792" s="6"/>
      <c r="EL792" s="6"/>
      <c r="EW792" s="6"/>
      <c r="EX792" s="6"/>
      <c r="FC792" s="6"/>
      <c r="FG792" s="6"/>
      <c r="FH792" s="6"/>
      <c r="FM792" s="6"/>
      <c r="FX792" s="6"/>
      <c r="FY792" s="6"/>
      <c r="GD792" s="6"/>
      <c r="GH792" s="6"/>
      <c r="GI792" s="6"/>
      <c r="GN792" s="6"/>
      <c r="GY792" s="6"/>
      <c r="GZ792" s="6"/>
      <c r="HE792" s="6"/>
      <c r="HI792" s="6"/>
      <c r="HJ792" s="6"/>
      <c r="HO792" s="6"/>
      <c r="HZ792" s="6"/>
      <c r="IA792" s="6"/>
      <c r="IF792" s="6"/>
      <c r="IJ792" s="6"/>
      <c r="IK792" s="6"/>
      <c r="IP792" s="6"/>
      <c r="KB792" s="6"/>
      <c r="KC792" s="6"/>
      <c r="KH792" s="6"/>
      <c r="KL792" s="6"/>
      <c r="KM792" s="6"/>
      <c r="KR792" s="6"/>
      <c r="LX792" s="8"/>
      <c r="LY792" s="8"/>
      <c r="LZ792" s="8"/>
      <c r="MD792" s="6"/>
      <c r="ME792" s="6"/>
      <c r="MJ792" s="6"/>
      <c r="MN792" s="6"/>
      <c r="MO792" s="6"/>
      <c r="MT792" s="6"/>
      <c r="NE792" s="6"/>
      <c r="NF792" s="6"/>
      <c r="NK792" s="6"/>
      <c r="NO792" s="6"/>
      <c r="NP792" s="6"/>
      <c r="NU792" s="6"/>
      <c r="PG792" s="6"/>
      <c r="PH792" s="6"/>
      <c r="PM792" s="6"/>
      <c r="PQ792" s="6"/>
      <c r="PR792" s="6"/>
      <c r="PW792" s="6"/>
      <c r="RI792" s="6"/>
      <c r="RJ792" s="6"/>
      <c r="RO792" s="6"/>
      <c r="RS792" s="6"/>
      <c r="RT792" s="6"/>
      <c r="RY792" s="6"/>
      <c r="SJ792" s="6"/>
      <c r="SK792" s="6"/>
      <c r="SP792" s="6"/>
      <c r="ST792" s="6"/>
      <c r="SU792" s="6"/>
      <c r="SZ792" s="6"/>
    </row>
    <row r="793" spans="12:520" x14ac:dyDescent="0.3">
      <c r="O793" s="5"/>
      <c r="R793" s="5"/>
      <c r="S793" s="6"/>
      <c r="T793" s="6"/>
      <c r="U793" s="7"/>
      <c r="W793" s="6"/>
      <c r="X793" s="5"/>
      <c r="Z793" s="5"/>
      <c r="AA793" s="6"/>
      <c r="AB793" s="7"/>
      <c r="AG793" s="5"/>
      <c r="AH793" s="6"/>
      <c r="AQ793" s="5"/>
      <c r="AR793" s="5"/>
      <c r="AS793" s="6"/>
      <c r="AT793" s="7"/>
      <c r="AW793" s="5"/>
      <c r="AY793" s="6"/>
      <c r="BC793" s="6"/>
      <c r="BD793" s="6"/>
      <c r="BI793" s="6"/>
      <c r="BT793" s="6"/>
      <c r="BU793" s="6"/>
      <c r="BZ793" s="6"/>
      <c r="CD793" s="6"/>
      <c r="CE793" s="6"/>
      <c r="CJ793" s="6"/>
      <c r="CU793" s="6"/>
      <c r="CV793" s="6"/>
      <c r="DA793" s="6"/>
      <c r="DE793" s="6"/>
      <c r="DF793" s="6"/>
      <c r="DK793" s="6"/>
      <c r="DV793" s="6"/>
      <c r="DW793" s="6"/>
      <c r="EB793" s="6"/>
      <c r="EF793" s="6"/>
      <c r="EG793" s="6"/>
      <c r="EL793" s="6"/>
      <c r="EW793" s="6"/>
      <c r="EX793" s="6"/>
      <c r="FC793" s="6"/>
      <c r="FG793" s="6"/>
      <c r="FH793" s="6"/>
      <c r="FM793" s="6"/>
      <c r="FX793" s="6"/>
      <c r="FY793" s="6"/>
      <c r="GD793" s="6"/>
      <c r="GH793" s="6"/>
      <c r="GI793" s="6"/>
      <c r="GN793" s="6"/>
      <c r="GY793" s="6"/>
      <c r="GZ793" s="6"/>
      <c r="HE793" s="6"/>
      <c r="HI793" s="6"/>
      <c r="HJ793" s="6"/>
      <c r="HO793" s="6"/>
      <c r="HZ793" s="6"/>
      <c r="IA793" s="6"/>
      <c r="IF793" s="6"/>
      <c r="IJ793" s="6"/>
      <c r="IK793" s="6"/>
      <c r="IP793" s="6"/>
      <c r="KB793" s="6"/>
      <c r="KC793" s="6"/>
      <c r="KH793" s="6"/>
      <c r="KL793" s="6"/>
      <c r="KM793" s="6"/>
      <c r="KR793" s="6"/>
      <c r="NE793" s="6"/>
      <c r="NF793" s="6"/>
      <c r="NK793" s="6"/>
      <c r="NO793" s="6"/>
      <c r="NP793" s="6"/>
      <c r="NU793" s="6"/>
      <c r="PG793" s="6"/>
      <c r="PH793" s="6"/>
      <c r="PM793" s="6"/>
      <c r="PQ793" s="6"/>
      <c r="PR793" s="6"/>
      <c r="PW793" s="6"/>
      <c r="RI793" s="6"/>
      <c r="RJ793" s="6"/>
      <c r="RO793" s="6"/>
      <c r="RS793" s="6"/>
      <c r="RT793" s="6"/>
      <c r="RY793" s="6"/>
      <c r="SJ793" s="6"/>
      <c r="SK793" s="6"/>
      <c r="SP793" s="6"/>
      <c r="ST793" s="6"/>
      <c r="SU793" s="6"/>
      <c r="SZ793" s="6"/>
    </row>
    <row r="794" spans="12:520" x14ac:dyDescent="0.3">
      <c r="L794" s="8"/>
      <c r="M794" s="8"/>
      <c r="N794" s="8"/>
      <c r="R794" s="5"/>
      <c r="S794" s="6"/>
      <c r="T794" s="6"/>
      <c r="U794" s="7"/>
      <c r="W794" s="6"/>
      <c r="Z794" s="5"/>
      <c r="AA794" s="6"/>
      <c r="AB794" s="7"/>
      <c r="AG794" s="5"/>
      <c r="AH794" s="6"/>
      <c r="AQ794" s="5"/>
      <c r="AR794" s="5"/>
      <c r="AS794" s="6"/>
      <c r="AT794" s="7"/>
      <c r="AW794" s="5"/>
      <c r="AY794" s="6"/>
      <c r="BC794" s="6"/>
      <c r="BD794" s="6"/>
      <c r="BI794" s="6"/>
      <c r="BN794" s="8"/>
      <c r="BO794" s="8"/>
      <c r="BP794" s="8"/>
      <c r="BT794" s="6"/>
      <c r="BU794" s="6"/>
      <c r="BZ794" s="6"/>
      <c r="CD794" s="6"/>
      <c r="CE794" s="6"/>
      <c r="CJ794" s="6"/>
      <c r="CO794" s="8"/>
      <c r="CP794" s="8"/>
      <c r="CQ794" s="8"/>
      <c r="CU794" s="6"/>
      <c r="CV794" s="6"/>
      <c r="DA794" s="6"/>
      <c r="DE794" s="6"/>
      <c r="DF794" s="6"/>
      <c r="DK794" s="6"/>
      <c r="DP794" s="8"/>
      <c r="DQ794" s="8"/>
      <c r="DR794" s="8"/>
      <c r="DV794" s="6"/>
      <c r="DW794" s="6"/>
      <c r="EB794" s="6"/>
      <c r="EF794" s="6"/>
      <c r="EG794" s="6"/>
      <c r="EL794" s="6"/>
      <c r="EQ794" s="8"/>
      <c r="ER794" s="8"/>
      <c r="ES794" s="8"/>
      <c r="EW794" s="6"/>
      <c r="EX794" s="6"/>
      <c r="FC794" s="6"/>
      <c r="FG794" s="6"/>
      <c r="FH794" s="6"/>
      <c r="FM794" s="6"/>
      <c r="FR794" s="8"/>
      <c r="FS794" s="8"/>
      <c r="FT794" s="8"/>
      <c r="FX794" s="6"/>
      <c r="FY794" s="6"/>
      <c r="GD794" s="6"/>
      <c r="GH794" s="6"/>
      <c r="GI794" s="6"/>
      <c r="GN794" s="6"/>
      <c r="GS794" s="8"/>
      <c r="GT794" s="8"/>
      <c r="GU794" s="8"/>
      <c r="GY794" s="6"/>
      <c r="GZ794" s="6"/>
      <c r="HE794" s="6"/>
      <c r="HI794" s="6"/>
      <c r="HJ794" s="6"/>
      <c r="HO794" s="6"/>
      <c r="HT794" s="8"/>
      <c r="HU794" s="8"/>
      <c r="HV794" s="8"/>
      <c r="HZ794" s="6"/>
      <c r="IA794" s="6"/>
      <c r="IF794" s="6"/>
      <c r="IJ794" s="6"/>
      <c r="IK794" s="6"/>
      <c r="IP794" s="6"/>
      <c r="JV794" s="8"/>
      <c r="JW794" s="8"/>
      <c r="JX794" s="8"/>
      <c r="KB794" s="6"/>
      <c r="KC794" s="6"/>
      <c r="KH794" s="6"/>
      <c r="KL794" s="6"/>
      <c r="KM794" s="6"/>
      <c r="KR794" s="6"/>
      <c r="MY794" s="8"/>
      <c r="MZ794" s="8"/>
      <c r="NA794" s="8"/>
      <c r="NE794" s="6"/>
      <c r="NF794" s="6"/>
      <c r="NK794" s="6"/>
      <c r="NO794" s="6"/>
      <c r="NP794" s="6"/>
      <c r="NU794" s="6"/>
      <c r="PA794" s="8"/>
      <c r="PB794" s="8"/>
      <c r="PC794" s="8"/>
      <c r="PG794" s="6"/>
      <c r="PH794" s="6"/>
      <c r="PM794" s="6"/>
      <c r="PQ794" s="6"/>
      <c r="PR794" s="6"/>
      <c r="PW794" s="6"/>
      <c r="RC794" s="8"/>
      <c r="RD794" s="8"/>
      <c r="RE794" s="8"/>
      <c r="RI794" s="6"/>
      <c r="RJ794" s="6"/>
      <c r="RO794" s="6"/>
      <c r="RS794" s="6"/>
      <c r="RT794" s="6"/>
      <c r="RY794" s="6"/>
      <c r="SD794" s="8"/>
      <c r="SE794" s="8"/>
      <c r="SF794" s="8"/>
      <c r="SJ794" s="6"/>
      <c r="SK794" s="6"/>
      <c r="SP794" s="6"/>
      <c r="ST794" s="6"/>
      <c r="SU794" s="6"/>
      <c r="SZ794" s="6"/>
    </row>
    <row r="795" spans="12:520" x14ac:dyDescent="0.3">
      <c r="AQ795" s="5"/>
      <c r="AR795" s="5"/>
      <c r="AS795" s="6"/>
    </row>
    <row r="796" spans="12:520" x14ac:dyDescent="0.3">
      <c r="AQ796" s="5"/>
      <c r="AR796" s="5"/>
      <c r="AS796" s="6"/>
    </row>
    <row r="797" spans="12:520" x14ac:dyDescent="0.3">
      <c r="AQ797" s="5"/>
      <c r="AR797" s="5"/>
      <c r="AS797" s="6"/>
    </row>
    <row r="798" spans="12:520" x14ac:dyDescent="0.3">
      <c r="AM798" s="8"/>
      <c r="AN798" s="8"/>
      <c r="AO798" s="8"/>
      <c r="AQ798" s="5"/>
      <c r="AR798" s="5"/>
      <c r="AS798" s="6"/>
    </row>
    <row r="815" spans="18:520" x14ac:dyDescent="0.3">
      <c r="R815" s="6"/>
      <c r="S815" s="7"/>
      <c r="T815" s="7"/>
      <c r="Z815" s="6"/>
      <c r="AA815" s="7"/>
      <c r="AG815" s="6"/>
      <c r="AX815" s="6"/>
      <c r="BB815" s="6"/>
      <c r="BC815" s="7"/>
      <c r="BH815" s="6"/>
      <c r="BS815" s="6"/>
      <c r="BT815" s="7"/>
      <c r="BY815" s="6"/>
      <c r="CC815" s="6"/>
      <c r="CD815" s="7"/>
      <c r="CI815" s="6"/>
      <c r="CT815" s="6"/>
      <c r="CU815" s="7"/>
      <c r="CZ815" s="6"/>
      <c r="DD815" s="6"/>
      <c r="DE815" s="7"/>
      <c r="DJ815" s="6"/>
      <c r="DU815" s="6"/>
      <c r="DV815" s="7"/>
      <c r="EA815" s="6"/>
      <c r="EE815" s="6"/>
      <c r="EF815" s="7"/>
      <c r="EK815" s="6"/>
      <c r="EV815" s="6"/>
      <c r="EW815" s="7"/>
      <c r="FB815" s="6"/>
      <c r="FF815" s="6"/>
      <c r="FG815" s="7"/>
      <c r="FL815" s="6"/>
      <c r="FW815" s="6"/>
      <c r="FX815" s="7"/>
      <c r="GC815" s="6"/>
      <c r="GG815" s="6"/>
      <c r="GH815" s="7"/>
      <c r="GM815" s="6"/>
      <c r="GX815" s="6"/>
      <c r="GY815" s="7"/>
      <c r="HD815" s="6"/>
      <c r="HH815" s="6"/>
      <c r="HI815" s="7"/>
      <c r="HN815" s="6"/>
      <c r="HY815" s="6"/>
      <c r="HZ815" s="7"/>
      <c r="IE815" s="6"/>
      <c r="II815" s="6"/>
      <c r="IJ815" s="7"/>
      <c r="IO815" s="6"/>
      <c r="IZ815" s="6"/>
      <c r="JA815" s="7"/>
      <c r="JF815" s="6"/>
      <c r="JJ815" s="6"/>
      <c r="JK815" s="7"/>
      <c r="JP815" s="6"/>
      <c r="KA815" s="6"/>
      <c r="KB815" s="7"/>
      <c r="KG815" s="6"/>
      <c r="KK815" s="6"/>
      <c r="KL815" s="7"/>
      <c r="KQ815" s="6"/>
      <c r="LB815" s="6"/>
      <c r="LC815" s="7"/>
      <c r="LH815" s="6"/>
      <c r="LL815" s="6"/>
      <c r="LM815" s="7"/>
      <c r="LR815" s="6"/>
      <c r="MC815" s="6"/>
      <c r="MD815" s="7"/>
      <c r="MI815" s="6"/>
      <c r="MM815" s="6"/>
      <c r="MN815" s="7"/>
      <c r="MS815" s="6"/>
      <c r="ND815" s="6"/>
      <c r="NE815" s="7"/>
      <c r="NJ815" s="6"/>
      <c r="NN815" s="6"/>
      <c r="NO815" s="7"/>
      <c r="NT815" s="6"/>
      <c r="OE815" s="6"/>
      <c r="OF815" s="7"/>
      <c r="OK815" s="6"/>
      <c r="OO815" s="6"/>
      <c r="OP815" s="7"/>
      <c r="OU815" s="6"/>
      <c r="PF815" s="6"/>
      <c r="PG815" s="7"/>
      <c r="PL815" s="6"/>
      <c r="PP815" s="6"/>
      <c r="PQ815" s="7"/>
      <c r="PV815" s="6"/>
      <c r="QG815" s="6"/>
      <c r="QH815" s="7"/>
      <c r="QM815" s="6"/>
      <c r="QQ815" s="6"/>
      <c r="QR815" s="7"/>
      <c r="QW815" s="6"/>
      <c r="RH815" s="6"/>
      <c r="RI815" s="7"/>
      <c r="RN815" s="6"/>
      <c r="RR815" s="6"/>
      <c r="RS815" s="7"/>
      <c r="RX815" s="6"/>
      <c r="SI815" s="6"/>
      <c r="SJ815" s="7"/>
      <c r="SO815" s="6"/>
      <c r="SS815" s="6"/>
      <c r="ST815" s="7"/>
      <c r="SY815" s="6"/>
    </row>
    <row r="816" spans="18:520" x14ac:dyDescent="0.3">
      <c r="S816" s="6"/>
      <c r="T816" s="6"/>
      <c r="U816" s="6"/>
      <c r="W816" s="6"/>
      <c r="AA816" s="6"/>
      <c r="AB816" s="6"/>
      <c r="AH816" s="6"/>
      <c r="AT816" s="6"/>
      <c r="AY816" s="6"/>
      <c r="BC816" s="6"/>
      <c r="BD816" s="6"/>
      <c r="BI816" s="6"/>
      <c r="BT816" s="6"/>
      <c r="BU816" s="6"/>
      <c r="BZ816" s="6"/>
      <c r="CD816" s="6"/>
      <c r="CE816" s="6"/>
      <c r="CJ816" s="6"/>
      <c r="CU816" s="6"/>
      <c r="CV816" s="6"/>
      <c r="DA816" s="6"/>
      <c r="DE816" s="6"/>
      <c r="DF816" s="6"/>
      <c r="DK816" s="6"/>
      <c r="DV816" s="6"/>
      <c r="DW816" s="6"/>
      <c r="EB816" s="6"/>
      <c r="EF816" s="6"/>
      <c r="EG816" s="6"/>
      <c r="EL816" s="6"/>
      <c r="EW816" s="6"/>
      <c r="EX816" s="6"/>
      <c r="FC816" s="6"/>
      <c r="FG816" s="6"/>
      <c r="FH816" s="6"/>
      <c r="FM816" s="6"/>
      <c r="FX816" s="6"/>
      <c r="FY816" s="6"/>
      <c r="GD816" s="6"/>
      <c r="GH816" s="6"/>
      <c r="GI816" s="6"/>
      <c r="GN816" s="6"/>
      <c r="GY816" s="6"/>
      <c r="GZ816" s="6"/>
      <c r="HE816" s="6"/>
      <c r="HI816" s="6"/>
      <c r="HJ816" s="6"/>
      <c r="HO816" s="6"/>
      <c r="HZ816" s="6"/>
      <c r="IA816" s="6"/>
      <c r="IF816" s="6"/>
      <c r="IJ816" s="6"/>
      <c r="IK816" s="6"/>
      <c r="IP816" s="6"/>
      <c r="JA816" s="6"/>
      <c r="JB816" s="6"/>
      <c r="JG816" s="6"/>
      <c r="JK816" s="6"/>
      <c r="JL816" s="6"/>
      <c r="JQ816" s="6"/>
      <c r="KB816" s="6"/>
      <c r="KC816" s="6"/>
      <c r="KH816" s="6"/>
      <c r="KL816" s="6"/>
      <c r="KM816" s="6"/>
      <c r="KR816" s="6"/>
      <c r="LC816" s="6"/>
      <c r="LD816" s="6"/>
      <c r="LI816" s="6"/>
      <c r="LM816" s="6"/>
      <c r="LN816" s="6"/>
      <c r="LS816" s="6"/>
      <c r="MD816" s="6"/>
      <c r="ME816" s="6"/>
      <c r="MJ816" s="6"/>
      <c r="MN816" s="6"/>
      <c r="MO816" s="6"/>
      <c r="MT816" s="6"/>
      <c r="NE816" s="6"/>
      <c r="NF816" s="6"/>
      <c r="NK816" s="6"/>
      <c r="NO816" s="6"/>
      <c r="NP816" s="6"/>
      <c r="NU816" s="6"/>
      <c r="OF816" s="6"/>
      <c r="OG816" s="6"/>
      <c r="OL816" s="6"/>
      <c r="OP816" s="6"/>
      <c r="OQ816" s="6"/>
      <c r="OV816" s="6"/>
      <c r="PG816" s="6"/>
      <c r="PH816" s="6"/>
      <c r="PM816" s="6"/>
      <c r="PQ816" s="6"/>
      <c r="PR816" s="6"/>
      <c r="PW816" s="6"/>
      <c r="QH816" s="6"/>
      <c r="QI816" s="6"/>
      <c r="QN816" s="6"/>
      <c r="QR816" s="6"/>
      <c r="QS816" s="6"/>
      <c r="QX816" s="6"/>
      <c r="RI816" s="6"/>
      <c r="RJ816" s="6"/>
      <c r="RO816" s="6"/>
      <c r="RS816" s="6"/>
      <c r="RT816" s="6"/>
      <c r="RY816" s="6"/>
      <c r="SJ816" s="6"/>
      <c r="SK816" s="6"/>
      <c r="SP816" s="6"/>
      <c r="ST816" s="6"/>
      <c r="SU816" s="6"/>
      <c r="SZ816" s="6"/>
    </row>
    <row r="817" spans="12:520" x14ac:dyDescent="0.3">
      <c r="S817" s="6"/>
      <c r="T817" s="6"/>
      <c r="U817" s="6"/>
      <c r="W817" s="6"/>
      <c r="AA817" s="6"/>
      <c r="AB817" s="6"/>
      <c r="AH817" s="6"/>
      <c r="AT817" s="6"/>
      <c r="AY817" s="6"/>
      <c r="BC817" s="6"/>
      <c r="BD817" s="6"/>
      <c r="BI817" s="6"/>
      <c r="BT817" s="6"/>
      <c r="BU817" s="6"/>
      <c r="BZ817" s="6"/>
      <c r="CD817" s="6"/>
      <c r="CE817" s="6"/>
      <c r="CJ817" s="6"/>
      <c r="CU817" s="6"/>
      <c r="CV817" s="6"/>
      <c r="DA817" s="6"/>
      <c r="DE817" s="6"/>
      <c r="DF817" s="6"/>
      <c r="DK817" s="6"/>
      <c r="DV817" s="6"/>
      <c r="DW817" s="6"/>
      <c r="EB817" s="6"/>
      <c r="EF817" s="6"/>
      <c r="EG817" s="6"/>
      <c r="EL817" s="6"/>
      <c r="EW817" s="6"/>
      <c r="EX817" s="6"/>
      <c r="FC817" s="6"/>
      <c r="FG817" s="6"/>
      <c r="FH817" s="6"/>
      <c r="FM817" s="6"/>
      <c r="FX817" s="6"/>
      <c r="FY817" s="6"/>
      <c r="GD817" s="6"/>
      <c r="GH817" s="6"/>
      <c r="GI817" s="6"/>
      <c r="GN817" s="6"/>
      <c r="GY817" s="6"/>
      <c r="GZ817" s="6"/>
      <c r="HE817" s="6"/>
      <c r="HI817" s="6"/>
      <c r="HJ817" s="6"/>
      <c r="HO817" s="6"/>
      <c r="HZ817" s="6"/>
      <c r="IA817" s="6"/>
      <c r="IF817" s="6"/>
      <c r="IJ817" s="6"/>
      <c r="IK817" s="6"/>
      <c r="IP817" s="6"/>
      <c r="JA817" s="6"/>
      <c r="JB817" s="6"/>
      <c r="JG817" s="6"/>
      <c r="JK817" s="6"/>
      <c r="JL817" s="6"/>
      <c r="JQ817" s="6"/>
      <c r="KB817" s="6"/>
      <c r="KC817" s="6"/>
      <c r="KH817" s="6"/>
      <c r="KL817" s="6"/>
      <c r="KM817" s="6"/>
      <c r="KR817" s="6"/>
      <c r="LC817" s="6"/>
      <c r="LD817" s="6"/>
      <c r="LI817" s="6"/>
      <c r="LM817" s="6"/>
      <c r="LN817" s="6"/>
      <c r="LS817" s="6"/>
      <c r="MD817" s="6"/>
      <c r="ME817" s="6"/>
      <c r="MJ817" s="6"/>
      <c r="MN817" s="6"/>
      <c r="MO817" s="6"/>
      <c r="MT817" s="6"/>
      <c r="NE817" s="6"/>
      <c r="NF817" s="6"/>
      <c r="NK817" s="6"/>
      <c r="NO817" s="6"/>
      <c r="NP817" s="6"/>
      <c r="NU817" s="6"/>
      <c r="OF817" s="6"/>
      <c r="OG817" s="6"/>
      <c r="OL817" s="6"/>
      <c r="OP817" s="6"/>
      <c r="OQ817" s="6"/>
      <c r="OV817" s="6"/>
      <c r="PA817" s="8"/>
      <c r="PB817" s="8"/>
      <c r="PC817" s="8"/>
      <c r="PG817" s="6"/>
      <c r="PH817" s="6"/>
      <c r="PM817" s="6"/>
      <c r="PQ817" s="6"/>
      <c r="PR817" s="6"/>
      <c r="PW817" s="6"/>
      <c r="QH817" s="6"/>
      <c r="QI817" s="6"/>
      <c r="QN817" s="6"/>
      <c r="QR817" s="6"/>
      <c r="QS817" s="6"/>
      <c r="QX817" s="6"/>
      <c r="RI817" s="6"/>
      <c r="RJ817" s="6"/>
      <c r="RO817" s="6"/>
      <c r="RS817" s="6"/>
      <c r="RT817" s="6"/>
      <c r="RY817" s="6"/>
      <c r="SJ817" s="6"/>
      <c r="SK817" s="6"/>
      <c r="SP817" s="6"/>
      <c r="ST817" s="6"/>
      <c r="SU817" s="6"/>
      <c r="SZ817" s="6"/>
    </row>
    <row r="818" spans="12:520" x14ac:dyDescent="0.3">
      <c r="S818" s="6"/>
      <c r="T818" s="6"/>
      <c r="U818" s="6"/>
      <c r="W818" s="6"/>
      <c r="AA818" s="6"/>
      <c r="AB818" s="6"/>
      <c r="AH818" s="6"/>
      <c r="AT818" s="6"/>
      <c r="AY818" s="6"/>
      <c r="BC818" s="6"/>
      <c r="BD818" s="6"/>
      <c r="BI818" s="6"/>
      <c r="BT818" s="6"/>
      <c r="BU818" s="6"/>
      <c r="BZ818" s="6"/>
      <c r="CD818" s="6"/>
      <c r="CE818" s="6"/>
      <c r="CJ818" s="6"/>
      <c r="CU818" s="6"/>
      <c r="CV818" s="6"/>
      <c r="DA818" s="6"/>
      <c r="DE818" s="6"/>
      <c r="DF818" s="6"/>
      <c r="DK818" s="6"/>
      <c r="DV818" s="6"/>
      <c r="DW818" s="6"/>
      <c r="EB818" s="6"/>
      <c r="EF818" s="6"/>
      <c r="EG818" s="6"/>
      <c r="EL818" s="6"/>
      <c r="EW818" s="6"/>
      <c r="EX818" s="6"/>
      <c r="FC818" s="6"/>
      <c r="FG818" s="6"/>
      <c r="FH818" s="6"/>
      <c r="FM818" s="6"/>
      <c r="FX818" s="6"/>
      <c r="FY818" s="6"/>
      <c r="GD818" s="6"/>
      <c r="GH818" s="6"/>
      <c r="GI818" s="6"/>
      <c r="GN818" s="6"/>
      <c r="GY818" s="6"/>
      <c r="GZ818" s="6"/>
      <c r="HE818" s="6"/>
      <c r="HI818" s="6"/>
      <c r="HJ818" s="6"/>
      <c r="HO818" s="6"/>
      <c r="HZ818" s="6"/>
      <c r="IA818" s="6"/>
      <c r="IF818" s="6"/>
      <c r="IJ818" s="6"/>
      <c r="IK818" s="6"/>
      <c r="IP818" s="6"/>
      <c r="JA818" s="6"/>
      <c r="JB818" s="6"/>
      <c r="JG818" s="6"/>
      <c r="JK818" s="6"/>
      <c r="JL818" s="6"/>
      <c r="JQ818" s="6"/>
      <c r="KB818" s="6"/>
      <c r="KC818" s="6"/>
      <c r="KH818" s="6"/>
      <c r="KL818" s="6"/>
      <c r="KM818" s="6"/>
      <c r="KR818" s="6"/>
      <c r="LC818" s="6"/>
      <c r="LD818" s="6"/>
      <c r="LI818" s="6"/>
      <c r="LM818" s="6"/>
      <c r="LN818" s="6"/>
      <c r="LS818" s="6"/>
      <c r="MD818" s="6"/>
      <c r="ME818" s="6"/>
      <c r="MJ818" s="6"/>
      <c r="MN818" s="6"/>
      <c r="MO818" s="6"/>
      <c r="MT818" s="6"/>
      <c r="NE818" s="6"/>
      <c r="NF818" s="6"/>
      <c r="NK818" s="6"/>
      <c r="NO818" s="6"/>
      <c r="NP818" s="6"/>
      <c r="NU818" s="6"/>
      <c r="OF818" s="6"/>
      <c r="OG818" s="6"/>
      <c r="OL818" s="6"/>
      <c r="OP818" s="6"/>
      <c r="OQ818" s="6"/>
      <c r="OV818" s="6"/>
      <c r="QH818" s="6"/>
      <c r="QI818" s="6"/>
      <c r="QN818" s="6"/>
      <c r="QR818" s="6"/>
      <c r="QS818" s="6"/>
      <c r="QX818" s="6"/>
      <c r="RI818" s="6"/>
      <c r="RJ818" s="6"/>
      <c r="RO818" s="6"/>
      <c r="RS818" s="6"/>
      <c r="RT818" s="6"/>
      <c r="RY818" s="6"/>
      <c r="SJ818" s="6"/>
      <c r="SK818" s="6"/>
      <c r="SP818" s="6"/>
      <c r="ST818" s="6"/>
      <c r="SU818" s="6"/>
      <c r="SZ818" s="6"/>
    </row>
    <row r="819" spans="12:520" x14ac:dyDescent="0.3">
      <c r="S819" s="6"/>
      <c r="T819" s="6"/>
      <c r="U819" s="6"/>
      <c r="W819" s="6"/>
      <c r="AA819" s="6"/>
      <c r="AB819" s="6"/>
      <c r="AH819" s="6"/>
      <c r="AR819" s="6"/>
      <c r="AS819" s="7"/>
      <c r="AT819" s="6"/>
      <c r="AY819" s="6"/>
      <c r="BC819" s="6"/>
      <c r="BD819" s="6"/>
      <c r="BI819" s="6"/>
      <c r="BT819" s="6"/>
      <c r="BU819" s="6"/>
      <c r="BZ819" s="6"/>
      <c r="CD819" s="6"/>
      <c r="CE819" s="6"/>
      <c r="CJ819" s="6"/>
      <c r="CU819" s="6"/>
      <c r="CV819" s="6"/>
      <c r="DA819" s="6"/>
      <c r="DE819" s="6"/>
      <c r="DF819" s="6"/>
      <c r="DK819" s="6"/>
      <c r="DV819" s="6"/>
      <c r="DW819" s="6"/>
      <c r="EB819" s="6"/>
      <c r="EF819" s="6"/>
      <c r="EG819" s="6"/>
      <c r="EL819" s="6"/>
      <c r="EW819" s="6"/>
      <c r="EX819" s="6"/>
      <c r="FC819" s="6"/>
      <c r="FG819" s="6"/>
      <c r="FH819" s="6"/>
      <c r="FM819" s="6"/>
      <c r="FX819" s="6"/>
      <c r="FY819" s="6"/>
      <c r="GD819" s="6"/>
      <c r="GH819" s="6"/>
      <c r="GI819" s="6"/>
      <c r="GN819" s="6"/>
      <c r="GS819" s="8"/>
      <c r="GT819" s="8"/>
      <c r="GU819" s="8"/>
      <c r="GY819" s="6"/>
      <c r="GZ819" s="6"/>
      <c r="HE819" s="6"/>
      <c r="HI819" s="6"/>
      <c r="HJ819" s="6"/>
      <c r="HO819" s="6"/>
      <c r="HZ819" s="6"/>
      <c r="IA819" s="6"/>
      <c r="IF819" s="6"/>
      <c r="IJ819" s="6"/>
      <c r="IK819" s="6"/>
      <c r="IP819" s="6"/>
      <c r="JA819" s="6"/>
      <c r="JB819" s="6"/>
      <c r="JG819" s="6"/>
      <c r="JK819" s="6"/>
      <c r="JL819" s="6"/>
      <c r="JQ819" s="6"/>
      <c r="KB819" s="6"/>
      <c r="KC819" s="6"/>
      <c r="KH819" s="6"/>
      <c r="KL819" s="6"/>
      <c r="KM819" s="6"/>
      <c r="KR819" s="6"/>
      <c r="LC819" s="6"/>
      <c r="LD819" s="6"/>
      <c r="LI819" s="6"/>
      <c r="LM819" s="6"/>
      <c r="LN819" s="6"/>
      <c r="LS819" s="6"/>
      <c r="MD819" s="6"/>
      <c r="ME819" s="6"/>
      <c r="MJ819" s="6"/>
      <c r="MN819" s="6"/>
      <c r="MO819" s="6"/>
      <c r="MT819" s="6"/>
      <c r="NE819" s="6"/>
      <c r="NF819" s="6"/>
      <c r="NK819" s="6"/>
      <c r="NO819" s="6"/>
      <c r="NP819" s="6"/>
      <c r="NU819" s="6"/>
      <c r="OF819" s="6"/>
      <c r="OG819" s="6"/>
      <c r="OL819" s="6"/>
      <c r="OP819" s="6"/>
      <c r="OQ819" s="6"/>
      <c r="OV819" s="6"/>
      <c r="QH819" s="6"/>
      <c r="QI819" s="6"/>
      <c r="QN819" s="6"/>
      <c r="QR819" s="6"/>
      <c r="QS819" s="6"/>
      <c r="QX819" s="6"/>
      <c r="RI819" s="6"/>
      <c r="RJ819" s="6"/>
      <c r="RO819" s="6"/>
      <c r="RS819" s="6"/>
      <c r="RT819" s="6"/>
      <c r="RY819" s="6"/>
      <c r="SJ819" s="6"/>
      <c r="SK819" s="6"/>
      <c r="SP819" s="6"/>
      <c r="ST819" s="6"/>
      <c r="SU819" s="6"/>
      <c r="SZ819" s="6"/>
    </row>
    <row r="820" spans="12:520" x14ac:dyDescent="0.3">
      <c r="S820" s="6"/>
      <c r="T820" s="6"/>
      <c r="U820" s="6"/>
      <c r="W820" s="6"/>
      <c r="AA820" s="6"/>
      <c r="AB820" s="6"/>
      <c r="AH820" s="6"/>
      <c r="AS820" s="6"/>
      <c r="AT820" s="6"/>
      <c r="AY820" s="6"/>
      <c r="BC820" s="6"/>
      <c r="BD820" s="6"/>
      <c r="BI820" s="6"/>
      <c r="BT820" s="6"/>
      <c r="BU820" s="6"/>
      <c r="BZ820" s="6"/>
      <c r="CD820" s="6"/>
      <c r="CE820" s="6"/>
      <c r="CJ820" s="6"/>
      <c r="CU820" s="6"/>
      <c r="CV820" s="6"/>
      <c r="DA820" s="6"/>
      <c r="DE820" s="6"/>
      <c r="DF820" s="6"/>
      <c r="DK820" s="6"/>
      <c r="DV820" s="6"/>
      <c r="DW820" s="6"/>
      <c r="EB820" s="6"/>
      <c r="EF820" s="6"/>
      <c r="EG820" s="6"/>
      <c r="EL820" s="6"/>
      <c r="EW820" s="6"/>
      <c r="EX820" s="6"/>
      <c r="FC820" s="6"/>
      <c r="FG820" s="6"/>
      <c r="FH820" s="6"/>
      <c r="FM820" s="6"/>
      <c r="FX820" s="6"/>
      <c r="FY820" s="6"/>
      <c r="GD820" s="6"/>
      <c r="GH820" s="6"/>
      <c r="GI820" s="6"/>
      <c r="GN820" s="6"/>
      <c r="HZ820" s="6"/>
      <c r="IA820" s="6"/>
      <c r="IF820" s="6"/>
      <c r="IJ820" s="6"/>
      <c r="IK820" s="6"/>
      <c r="IP820" s="6"/>
      <c r="JA820" s="6"/>
      <c r="JB820" s="6"/>
      <c r="JG820" s="6"/>
      <c r="JK820" s="6"/>
      <c r="JL820" s="6"/>
      <c r="JQ820" s="6"/>
      <c r="KB820" s="6"/>
      <c r="KC820" s="6"/>
      <c r="KH820" s="6"/>
      <c r="KL820" s="6"/>
      <c r="KM820" s="6"/>
      <c r="KR820" s="6"/>
      <c r="LC820" s="6"/>
      <c r="LD820" s="6"/>
      <c r="LI820" s="6"/>
      <c r="LM820" s="6"/>
      <c r="LN820" s="6"/>
      <c r="LS820" s="6"/>
      <c r="MD820" s="6"/>
      <c r="ME820" s="6"/>
      <c r="MJ820" s="6"/>
      <c r="MN820" s="6"/>
      <c r="MO820" s="6"/>
      <c r="MT820" s="6"/>
      <c r="NE820" s="6"/>
      <c r="NF820" s="6"/>
      <c r="NK820" s="6"/>
      <c r="NO820" s="6"/>
      <c r="NP820" s="6"/>
      <c r="NU820" s="6"/>
      <c r="OF820" s="6"/>
      <c r="OG820" s="6"/>
      <c r="OL820" s="6"/>
      <c r="OP820" s="6"/>
      <c r="OQ820" s="6"/>
      <c r="OV820" s="6"/>
      <c r="QH820" s="6"/>
      <c r="QI820" s="6"/>
      <c r="QN820" s="6"/>
      <c r="QR820" s="6"/>
      <c r="QS820" s="6"/>
      <c r="QX820" s="6"/>
      <c r="RI820" s="6"/>
      <c r="RJ820" s="6"/>
      <c r="RO820" s="6"/>
      <c r="RS820" s="6"/>
      <c r="RT820" s="6"/>
      <c r="RY820" s="6"/>
      <c r="SJ820" s="6"/>
      <c r="SK820" s="6"/>
      <c r="SP820" s="6"/>
      <c r="ST820" s="6"/>
      <c r="SU820" s="6"/>
      <c r="SZ820" s="6"/>
    </row>
    <row r="821" spans="12:520" x14ac:dyDescent="0.3">
      <c r="S821" s="6"/>
      <c r="T821" s="6"/>
      <c r="U821" s="6"/>
      <c r="W821" s="6"/>
      <c r="AA821" s="6"/>
      <c r="AB821" s="6"/>
      <c r="AH821" s="6"/>
      <c r="AS821" s="6"/>
      <c r="AT821" s="6"/>
      <c r="AY821" s="6"/>
      <c r="BC821" s="6"/>
      <c r="BD821" s="6"/>
      <c r="BI821" s="6"/>
      <c r="BT821" s="6"/>
      <c r="BU821" s="6"/>
      <c r="BZ821" s="6"/>
      <c r="CD821" s="6"/>
      <c r="CE821" s="6"/>
      <c r="CJ821" s="6"/>
      <c r="CU821" s="6"/>
      <c r="CV821" s="6"/>
      <c r="DA821" s="6"/>
      <c r="DE821" s="6"/>
      <c r="DF821" s="6"/>
      <c r="DK821" s="6"/>
      <c r="DV821" s="6"/>
      <c r="DW821" s="6"/>
      <c r="EB821" s="6"/>
      <c r="EF821" s="6"/>
      <c r="EG821" s="6"/>
      <c r="EL821" s="6"/>
      <c r="EW821" s="6"/>
      <c r="EX821" s="6"/>
      <c r="FC821" s="6"/>
      <c r="FG821" s="6"/>
      <c r="FH821" s="6"/>
      <c r="FM821" s="6"/>
      <c r="FX821" s="6"/>
      <c r="FY821" s="6"/>
      <c r="GD821" s="6"/>
      <c r="GH821" s="6"/>
      <c r="GI821" s="6"/>
      <c r="GN821" s="6"/>
      <c r="HZ821" s="6"/>
      <c r="IA821" s="6"/>
      <c r="IF821" s="6"/>
      <c r="IJ821" s="6"/>
      <c r="IK821" s="6"/>
      <c r="IP821" s="6"/>
      <c r="JA821" s="6"/>
      <c r="JB821" s="6"/>
      <c r="JG821" s="6"/>
      <c r="JK821" s="6"/>
      <c r="JL821" s="6"/>
      <c r="JQ821" s="6"/>
      <c r="KB821" s="6"/>
      <c r="KC821" s="6"/>
      <c r="KH821" s="6"/>
      <c r="KL821" s="6"/>
      <c r="KM821" s="6"/>
      <c r="KR821" s="6"/>
      <c r="LC821" s="6"/>
      <c r="LD821" s="6"/>
      <c r="LI821" s="6"/>
      <c r="LM821" s="6"/>
      <c r="LN821" s="6"/>
      <c r="LS821" s="6"/>
      <c r="MD821" s="6"/>
      <c r="ME821" s="6"/>
      <c r="MJ821" s="6"/>
      <c r="MN821" s="6"/>
      <c r="MO821" s="6"/>
      <c r="MT821" s="6"/>
      <c r="NE821" s="6"/>
      <c r="NF821" s="6"/>
      <c r="NK821" s="6"/>
      <c r="NO821" s="6"/>
      <c r="NP821" s="6"/>
      <c r="NU821" s="6"/>
      <c r="OF821" s="6"/>
      <c r="OG821" s="6"/>
      <c r="OL821" s="6"/>
      <c r="OP821" s="6"/>
      <c r="OQ821" s="6"/>
      <c r="OV821" s="6"/>
      <c r="QH821" s="6"/>
      <c r="QI821" s="6"/>
      <c r="QN821" s="6"/>
      <c r="QR821" s="6"/>
      <c r="QS821" s="6"/>
      <c r="QX821" s="6"/>
      <c r="RI821" s="6"/>
      <c r="RJ821" s="6"/>
      <c r="RO821" s="6"/>
      <c r="RS821" s="6"/>
      <c r="RT821" s="6"/>
      <c r="RY821" s="6"/>
      <c r="SD821" s="8"/>
      <c r="SE821" s="8"/>
      <c r="SF821" s="8"/>
      <c r="SJ821" s="6"/>
      <c r="SK821" s="6"/>
      <c r="SP821" s="6"/>
      <c r="ST821" s="6"/>
      <c r="SU821" s="6"/>
      <c r="SZ821" s="6"/>
    </row>
    <row r="822" spans="12:520" x14ac:dyDescent="0.3">
      <c r="S822" s="6"/>
      <c r="T822" s="6"/>
      <c r="U822" s="6"/>
      <c r="W822" s="6"/>
      <c r="AA822" s="6"/>
      <c r="AB822" s="6"/>
      <c r="AH822" s="6"/>
      <c r="AS822" s="6"/>
      <c r="AT822" s="6"/>
      <c r="AY822" s="6"/>
      <c r="BC822" s="6"/>
      <c r="BD822" s="6"/>
      <c r="BI822" s="6"/>
      <c r="BT822" s="6"/>
      <c r="BU822" s="6"/>
      <c r="BZ822" s="6"/>
      <c r="CD822" s="6"/>
      <c r="CE822" s="6"/>
      <c r="CJ822" s="6"/>
      <c r="CU822" s="6"/>
      <c r="CV822" s="6"/>
      <c r="DA822" s="6"/>
      <c r="DE822" s="6"/>
      <c r="DF822" s="6"/>
      <c r="DK822" s="6"/>
      <c r="DV822" s="6"/>
      <c r="DW822" s="6"/>
      <c r="EB822" s="6"/>
      <c r="EF822" s="6"/>
      <c r="EG822" s="6"/>
      <c r="EL822" s="6"/>
      <c r="EW822" s="6"/>
      <c r="EX822" s="6"/>
      <c r="FC822" s="6"/>
      <c r="FG822" s="6"/>
      <c r="FH822" s="6"/>
      <c r="FM822" s="6"/>
      <c r="FX822" s="6"/>
      <c r="FY822" s="6"/>
      <c r="GD822" s="6"/>
      <c r="GH822" s="6"/>
      <c r="GI822" s="6"/>
      <c r="GN822" s="6"/>
      <c r="HZ822" s="6"/>
      <c r="IA822" s="6"/>
      <c r="IF822" s="6"/>
      <c r="IJ822" s="6"/>
      <c r="IK822" s="6"/>
      <c r="IP822" s="6"/>
      <c r="JA822" s="6"/>
      <c r="JB822" s="6"/>
      <c r="JG822" s="6"/>
      <c r="JK822" s="6"/>
      <c r="JL822" s="6"/>
      <c r="JQ822" s="6"/>
      <c r="KB822" s="6"/>
      <c r="KC822" s="6"/>
      <c r="KH822" s="6"/>
      <c r="KL822" s="6"/>
      <c r="KM822" s="6"/>
      <c r="KR822" s="6"/>
      <c r="LC822" s="6"/>
      <c r="LD822" s="6"/>
      <c r="LI822" s="6"/>
      <c r="LM822" s="6"/>
      <c r="LN822" s="6"/>
      <c r="LS822" s="6"/>
      <c r="MD822" s="6"/>
      <c r="ME822" s="6"/>
      <c r="MJ822" s="6"/>
      <c r="MN822" s="6"/>
      <c r="MO822" s="6"/>
      <c r="MT822" s="6"/>
      <c r="NE822" s="6"/>
      <c r="NF822" s="6"/>
      <c r="NK822" s="6"/>
      <c r="NO822" s="6"/>
      <c r="NP822" s="6"/>
      <c r="NU822" s="6"/>
      <c r="OF822" s="6"/>
      <c r="OG822" s="6"/>
      <c r="OL822" s="6"/>
      <c r="OP822" s="6"/>
      <c r="OQ822" s="6"/>
      <c r="OV822" s="6"/>
      <c r="QH822" s="6"/>
      <c r="QI822" s="6"/>
      <c r="QN822" s="6"/>
      <c r="QR822" s="6"/>
      <c r="QS822" s="6"/>
      <c r="QX822" s="6"/>
      <c r="RI822" s="6"/>
      <c r="RJ822" s="6"/>
      <c r="RO822" s="6"/>
      <c r="RS822" s="6"/>
      <c r="RT822" s="6"/>
      <c r="RY822" s="6"/>
    </row>
    <row r="823" spans="12:520" x14ac:dyDescent="0.3">
      <c r="S823" s="6"/>
      <c r="T823" s="6"/>
      <c r="U823" s="6"/>
      <c r="W823" s="6"/>
      <c r="AA823" s="6"/>
      <c r="AB823" s="6"/>
      <c r="AH823" s="6"/>
      <c r="AS823" s="6"/>
      <c r="AT823" s="6"/>
      <c r="AY823" s="6"/>
      <c r="BC823" s="6"/>
      <c r="BD823" s="6"/>
      <c r="BI823" s="6"/>
      <c r="BT823" s="6"/>
      <c r="BU823" s="6"/>
      <c r="BZ823" s="6"/>
      <c r="CD823" s="6"/>
      <c r="CE823" s="6"/>
      <c r="CJ823" s="6"/>
      <c r="CU823" s="6"/>
      <c r="CV823" s="6"/>
      <c r="DA823" s="6"/>
      <c r="DE823" s="6"/>
      <c r="DF823" s="6"/>
      <c r="DK823" s="6"/>
      <c r="DV823" s="6"/>
      <c r="DW823" s="6"/>
      <c r="EB823" s="6"/>
      <c r="EF823" s="6"/>
      <c r="EG823" s="6"/>
      <c r="EL823" s="6"/>
      <c r="EW823" s="6"/>
      <c r="EX823" s="6"/>
      <c r="FC823" s="6"/>
      <c r="FG823" s="6"/>
      <c r="FH823" s="6"/>
      <c r="FM823" s="6"/>
      <c r="FX823" s="6"/>
      <c r="FY823" s="6"/>
      <c r="GD823" s="6"/>
      <c r="GH823" s="6"/>
      <c r="GI823" s="6"/>
      <c r="GN823" s="6"/>
      <c r="HZ823" s="6"/>
      <c r="IA823" s="6"/>
      <c r="IF823" s="6"/>
      <c r="IJ823" s="6"/>
      <c r="IK823" s="6"/>
      <c r="IP823" s="6"/>
      <c r="JA823" s="6"/>
      <c r="JB823" s="6"/>
      <c r="JG823" s="6"/>
      <c r="JK823" s="6"/>
      <c r="JL823" s="6"/>
      <c r="JQ823" s="6"/>
      <c r="JV823" s="8"/>
      <c r="JW823" s="8"/>
      <c r="JX823" s="8"/>
      <c r="KB823" s="6"/>
      <c r="KC823" s="6"/>
      <c r="KH823" s="6"/>
      <c r="KL823" s="6"/>
      <c r="KM823" s="6"/>
      <c r="KR823" s="6"/>
      <c r="LC823" s="6"/>
      <c r="LD823" s="6"/>
      <c r="LI823" s="6"/>
      <c r="LM823" s="6"/>
      <c r="LN823" s="6"/>
      <c r="LS823" s="6"/>
      <c r="MD823" s="6"/>
      <c r="ME823" s="6"/>
      <c r="MJ823" s="6"/>
      <c r="MN823" s="6"/>
      <c r="MO823" s="6"/>
      <c r="MT823" s="6"/>
      <c r="NE823" s="6"/>
      <c r="NF823" s="6"/>
      <c r="NK823" s="6"/>
      <c r="NO823" s="6"/>
      <c r="NP823" s="6"/>
      <c r="NU823" s="6"/>
      <c r="OF823" s="6"/>
      <c r="OG823" s="6"/>
      <c r="OL823" s="6"/>
      <c r="OP823" s="6"/>
      <c r="OQ823" s="6"/>
      <c r="OV823" s="6"/>
      <c r="QH823" s="6"/>
      <c r="QI823" s="6"/>
      <c r="QN823" s="6"/>
      <c r="QR823" s="6"/>
      <c r="QS823" s="6"/>
      <c r="QX823" s="6"/>
      <c r="RI823" s="6"/>
      <c r="RJ823" s="6"/>
      <c r="RO823" s="6"/>
      <c r="RS823" s="6"/>
      <c r="RT823" s="6"/>
      <c r="RY823" s="6"/>
    </row>
    <row r="824" spans="12:520" x14ac:dyDescent="0.3">
      <c r="S824" s="6"/>
      <c r="T824" s="6"/>
      <c r="U824" s="6"/>
      <c r="W824" s="6"/>
      <c r="AA824" s="6"/>
      <c r="AB824" s="6"/>
      <c r="AH824" s="6"/>
      <c r="AS824" s="6"/>
      <c r="AT824" s="6"/>
      <c r="AY824" s="6"/>
      <c r="BC824" s="6"/>
      <c r="BD824" s="6"/>
      <c r="BI824" s="6"/>
      <c r="BT824" s="6"/>
      <c r="BU824" s="6"/>
      <c r="BZ824" s="6"/>
      <c r="CD824" s="6"/>
      <c r="CE824" s="6"/>
      <c r="CJ824" s="6"/>
      <c r="CU824" s="6"/>
      <c r="CV824" s="6"/>
      <c r="DA824" s="6"/>
      <c r="DE824" s="6"/>
      <c r="DF824" s="6"/>
      <c r="DK824" s="6"/>
      <c r="DV824" s="6"/>
      <c r="DW824" s="6"/>
      <c r="EB824" s="6"/>
      <c r="EF824" s="6"/>
      <c r="EG824" s="6"/>
      <c r="EL824" s="6"/>
      <c r="EW824" s="6"/>
      <c r="EX824" s="6"/>
      <c r="FC824" s="6"/>
      <c r="FG824" s="6"/>
      <c r="FH824" s="6"/>
      <c r="FM824" s="6"/>
      <c r="FX824" s="6"/>
      <c r="FY824" s="6"/>
      <c r="GD824" s="6"/>
      <c r="GH824" s="6"/>
      <c r="GI824" s="6"/>
      <c r="GN824" s="6"/>
      <c r="HZ824" s="6"/>
      <c r="IA824" s="6"/>
      <c r="IF824" s="6"/>
      <c r="IJ824" s="6"/>
      <c r="IK824" s="6"/>
      <c r="IP824" s="6"/>
      <c r="JA824" s="6"/>
      <c r="JB824" s="6"/>
      <c r="JG824" s="6"/>
      <c r="JK824" s="6"/>
      <c r="JL824" s="6"/>
      <c r="JQ824" s="6"/>
      <c r="LC824" s="6"/>
      <c r="LD824" s="6"/>
      <c r="LI824" s="6"/>
      <c r="LM824" s="6"/>
      <c r="LN824" s="6"/>
      <c r="LS824" s="6"/>
      <c r="MD824" s="6"/>
      <c r="ME824" s="6"/>
      <c r="MJ824" s="6"/>
      <c r="MN824" s="6"/>
      <c r="MO824" s="6"/>
      <c r="MT824" s="6"/>
      <c r="NE824" s="6"/>
      <c r="NF824" s="6"/>
      <c r="NK824" s="6"/>
      <c r="NO824" s="6"/>
      <c r="NP824" s="6"/>
      <c r="NU824" s="6"/>
      <c r="OF824" s="6"/>
      <c r="OG824" s="6"/>
      <c r="OL824" s="6"/>
      <c r="OP824" s="6"/>
      <c r="OQ824" s="6"/>
      <c r="OV824" s="6"/>
      <c r="QH824" s="6"/>
      <c r="QI824" s="6"/>
      <c r="QN824" s="6"/>
      <c r="QR824" s="6"/>
      <c r="QS824" s="6"/>
      <c r="QX824" s="6"/>
      <c r="RI824" s="6"/>
      <c r="RJ824" s="6"/>
      <c r="RO824" s="6"/>
      <c r="RS824" s="6"/>
      <c r="RT824" s="6"/>
      <c r="RY824" s="6"/>
    </row>
    <row r="825" spans="12:520" x14ac:dyDescent="0.3">
      <c r="L825" s="8"/>
      <c r="M825" s="8"/>
      <c r="N825" s="8"/>
      <c r="S825" s="6"/>
      <c r="T825" s="6"/>
      <c r="U825" s="6"/>
      <c r="W825" s="6"/>
      <c r="AA825" s="6"/>
      <c r="AB825" s="6"/>
      <c r="AH825" s="6"/>
      <c r="AS825" s="6"/>
      <c r="AT825" s="6"/>
      <c r="AY825" s="6"/>
      <c r="BC825" s="6"/>
      <c r="BD825" s="6"/>
      <c r="BI825" s="6"/>
      <c r="BT825" s="6"/>
      <c r="BU825" s="6"/>
      <c r="BZ825" s="6"/>
      <c r="CD825" s="6"/>
      <c r="CE825" s="6"/>
      <c r="CJ825" s="6"/>
      <c r="CU825" s="6"/>
      <c r="CV825" s="6"/>
      <c r="DA825" s="6"/>
      <c r="DE825" s="6"/>
      <c r="DF825" s="6"/>
      <c r="DK825" s="6"/>
      <c r="DV825" s="6"/>
      <c r="DW825" s="6"/>
      <c r="EB825" s="6"/>
      <c r="EF825" s="6"/>
      <c r="EG825" s="6"/>
      <c r="EL825" s="6"/>
      <c r="EW825" s="6"/>
      <c r="EX825" s="6"/>
      <c r="FC825" s="6"/>
      <c r="FG825" s="6"/>
      <c r="FH825" s="6"/>
      <c r="FM825" s="6"/>
      <c r="FX825" s="6"/>
      <c r="FY825" s="6"/>
      <c r="GD825" s="6"/>
      <c r="GH825" s="6"/>
      <c r="GI825" s="6"/>
      <c r="GN825" s="6"/>
      <c r="HZ825" s="6"/>
      <c r="IA825" s="6"/>
      <c r="IF825" s="6"/>
      <c r="IJ825" s="6"/>
      <c r="IK825" s="6"/>
      <c r="IP825" s="6"/>
      <c r="JA825" s="6"/>
      <c r="JB825" s="6"/>
      <c r="JG825" s="6"/>
      <c r="JK825" s="6"/>
      <c r="JL825" s="6"/>
      <c r="JQ825" s="6"/>
      <c r="LC825" s="6"/>
      <c r="LD825" s="6"/>
      <c r="LI825" s="6"/>
      <c r="LM825" s="6"/>
      <c r="LN825" s="6"/>
      <c r="LS825" s="6"/>
      <c r="MD825" s="6"/>
      <c r="ME825" s="6"/>
      <c r="MJ825" s="6"/>
      <c r="MN825" s="6"/>
      <c r="MO825" s="6"/>
      <c r="MT825" s="6"/>
      <c r="NE825" s="6"/>
      <c r="NF825" s="6"/>
      <c r="NK825" s="6"/>
      <c r="NO825" s="6"/>
      <c r="NP825" s="6"/>
      <c r="NU825" s="6"/>
      <c r="OF825" s="6"/>
      <c r="OG825" s="6"/>
      <c r="OL825" s="6"/>
      <c r="OP825" s="6"/>
      <c r="OQ825" s="6"/>
      <c r="OV825" s="6"/>
      <c r="QH825" s="6"/>
      <c r="QI825" s="6"/>
      <c r="QN825" s="6"/>
      <c r="QR825" s="6"/>
      <c r="QS825" s="6"/>
      <c r="QX825" s="6"/>
      <c r="RI825" s="6"/>
      <c r="RJ825" s="6"/>
      <c r="RO825" s="6"/>
      <c r="RS825" s="6"/>
      <c r="RT825" s="6"/>
      <c r="RY825" s="6"/>
    </row>
    <row r="826" spans="12:520" x14ac:dyDescent="0.3">
      <c r="AS826" s="6"/>
      <c r="AT826" s="6"/>
      <c r="AY826" s="6"/>
      <c r="BC826" s="6"/>
      <c r="BD826" s="6"/>
      <c r="BI826" s="6"/>
      <c r="BN826" s="8"/>
      <c r="BO826" s="8"/>
      <c r="BP826" s="8"/>
      <c r="BT826" s="6"/>
      <c r="BU826" s="6"/>
      <c r="BZ826" s="6"/>
      <c r="CD826" s="6"/>
      <c r="CE826" s="6"/>
      <c r="CJ826" s="6"/>
      <c r="CO826" s="8"/>
      <c r="CP826" s="8"/>
      <c r="CQ826" s="8"/>
      <c r="CU826" s="6"/>
      <c r="CV826" s="6"/>
      <c r="DA826" s="6"/>
      <c r="DE826" s="6"/>
      <c r="DF826" s="6"/>
      <c r="DK826" s="6"/>
      <c r="DP826" s="8"/>
      <c r="DQ826" s="8"/>
      <c r="DR826" s="8"/>
      <c r="DV826" s="6"/>
      <c r="DW826" s="6"/>
      <c r="EB826" s="6"/>
      <c r="EF826" s="6"/>
      <c r="EG826" s="6"/>
      <c r="EL826" s="6"/>
      <c r="EQ826" s="8"/>
      <c r="ER826" s="8"/>
      <c r="ES826" s="8"/>
      <c r="EW826" s="6"/>
      <c r="EX826" s="6"/>
      <c r="FC826" s="6"/>
      <c r="FG826" s="6"/>
      <c r="FH826" s="6"/>
      <c r="FM826" s="6"/>
      <c r="FR826" s="8"/>
      <c r="FS826" s="8"/>
      <c r="FT826" s="8"/>
      <c r="FX826" s="6"/>
      <c r="FY826" s="6"/>
      <c r="GD826" s="6"/>
      <c r="GH826" s="6"/>
      <c r="GI826" s="6"/>
      <c r="GN826" s="6"/>
      <c r="HT826" s="8"/>
      <c r="HU826" s="8"/>
      <c r="HV826" s="8"/>
      <c r="HZ826" s="6"/>
      <c r="IA826" s="6"/>
      <c r="IF826" s="6"/>
      <c r="IJ826" s="6"/>
      <c r="IK826" s="6"/>
      <c r="IP826" s="6"/>
      <c r="IU826" s="8"/>
      <c r="IV826" s="8"/>
      <c r="IW826" s="8"/>
      <c r="JA826" s="6"/>
      <c r="JB826" s="6"/>
      <c r="JG826" s="6"/>
      <c r="JK826" s="6"/>
      <c r="JL826" s="6"/>
      <c r="JQ826" s="6"/>
      <c r="KW826" s="8"/>
      <c r="KX826" s="8"/>
      <c r="KY826" s="8"/>
      <c r="LC826" s="6"/>
      <c r="LD826" s="6"/>
      <c r="LI826" s="6"/>
      <c r="LM826" s="6"/>
      <c r="LN826" s="6"/>
      <c r="LS826" s="6"/>
      <c r="LX826" s="8"/>
      <c r="LY826" s="8"/>
      <c r="LZ826" s="8"/>
      <c r="MD826" s="6"/>
      <c r="ME826" s="6"/>
      <c r="MJ826" s="6"/>
      <c r="MN826" s="6"/>
      <c r="MO826" s="6"/>
      <c r="MT826" s="6"/>
      <c r="MY826" s="8"/>
      <c r="MZ826" s="8"/>
      <c r="NA826" s="8"/>
      <c r="NE826" s="6"/>
      <c r="NF826" s="6"/>
      <c r="NK826" s="6"/>
      <c r="NO826" s="6"/>
      <c r="NP826" s="6"/>
      <c r="NU826" s="6"/>
      <c r="NZ826" s="8"/>
      <c r="OA826" s="8"/>
      <c r="OB826" s="8"/>
      <c r="OF826" s="6"/>
      <c r="OG826" s="6"/>
      <c r="OL826" s="6"/>
      <c r="OP826" s="6"/>
      <c r="OQ826" s="6"/>
      <c r="OV826" s="6"/>
      <c r="QB826" s="8"/>
      <c r="QC826" s="8"/>
      <c r="QD826" s="8"/>
      <c r="QH826" s="6"/>
      <c r="QI826" s="6"/>
      <c r="QN826" s="6"/>
      <c r="QR826" s="6"/>
      <c r="QS826" s="6"/>
      <c r="QX826" s="6"/>
      <c r="RC826" s="8"/>
      <c r="RD826" s="8"/>
      <c r="RE826" s="8"/>
      <c r="RI826" s="6"/>
      <c r="RJ826" s="6"/>
      <c r="RO826" s="6"/>
      <c r="RS826" s="6"/>
      <c r="RT826" s="6"/>
      <c r="RY826" s="6"/>
    </row>
    <row r="827" spans="12:520" x14ac:dyDescent="0.3">
      <c r="AS827" s="6"/>
    </row>
    <row r="828" spans="12:520" x14ac:dyDescent="0.3">
      <c r="R828" s="6"/>
      <c r="S828" s="7"/>
      <c r="T828" s="7"/>
      <c r="Z828" s="6"/>
      <c r="AA828" s="7"/>
      <c r="AG828" s="6"/>
      <c r="AS828" s="6"/>
      <c r="AX828" s="6"/>
      <c r="BB828" s="6"/>
      <c r="BC828" s="7"/>
      <c r="BH828" s="6"/>
      <c r="BS828" s="6"/>
      <c r="BT828" s="7"/>
      <c r="BY828" s="6"/>
      <c r="CC828" s="6"/>
      <c r="CD828" s="7"/>
      <c r="CI828" s="6"/>
      <c r="CT828" s="6"/>
      <c r="CU828" s="7"/>
      <c r="CZ828" s="6"/>
      <c r="DD828" s="6"/>
      <c r="DE828" s="7"/>
      <c r="DJ828" s="6"/>
      <c r="DU828" s="6"/>
      <c r="DV828" s="7"/>
      <c r="EA828" s="6"/>
      <c r="EE828" s="6"/>
      <c r="EF828" s="7"/>
      <c r="EK828" s="6"/>
      <c r="EV828" s="6"/>
      <c r="EW828" s="7"/>
      <c r="FB828" s="6"/>
      <c r="FF828" s="6"/>
      <c r="FG828" s="7"/>
      <c r="FL828" s="6"/>
      <c r="FW828" s="6"/>
      <c r="FX828" s="7"/>
      <c r="GC828" s="6"/>
      <c r="GG828" s="6"/>
      <c r="GH828" s="7"/>
      <c r="GM828" s="6"/>
      <c r="GX828" s="6"/>
      <c r="GY828" s="7"/>
      <c r="HD828" s="6"/>
      <c r="HH828" s="6"/>
      <c r="HI828" s="7"/>
      <c r="HN828" s="6"/>
      <c r="HY828" s="6"/>
      <c r="HZ828" s="7"/>
      <c r="IE828" s="6"/>
      <c r="II828" s="6"/>
      <c r="IJ828" s="7"/>
      <c r="IO828" s="6"/>
      <c r="IZ828" s="6"/>
      <c r="JA828" s="7"/>
      <c r="JF828" s="6"/>
      <c r="JJ828" s="6"/>
      <c r="JK828" s="7"/>
      <c r="JP828" s="6"/>
      <c r="KA828" s="6"/>
      <c r="KB828" s="7"/>
      <c r="KG828" s="6"/>
      <c r="KK828" s="6"/>
      <c r="KL828" s="7"/>
      <c r="KQ828" s="6"/>
      <c r="LB828" s="6"/>
      <c r="LC828" s="7"/>
      <c r="LH828" s="6"/>
      <c r="LL828" s="6"/>
      <c r="LM828" s="7"/>
      <c r="LR828" s="6"/>
      <c r="MC828" s="6"/>
      <c r="MD828" s="7"/>
      <c r="MI828" s="6"/>
      <c r="MM828" s="6"/>
      <c r="MN828" s="7"/>
      <c r="MS828" s="6"/>
      <c r="ND828" s="6"/>
      <c r="NE828" s="7"/>
      <c r="NJ828" s="6"/>
      <c r="NN828" s="6"/>
      <c r="NO828" s="7"/>
      <c r="NT828" s="6"/>
      <c r="OE828" s="6"/>
      <c r="OF828" s="7"/>
      <c r="OK828" s="6"/>
      <c r="OO828" s="6"/>
      <c r="OP828" s="7"/>
      <c r="OU828" s="6"/>
      <c r="PF828" s="6"/>
      <c r="PG828" s="7"/>
      <c r="PL828" s="6"/>
      <c r="PP828" s="6"/>
      <c r="PQ828" s="7"/>
      <c r="PV828" s="6"/>
      <c r="QG828" s="6"/>
      <c r="QH828" s="7"/>
      <c r="QM828" s="6"/>
      <c r="QQ828" s="6"/>
      <c r="QR828" s="7"/>
      <c r="QW828" s="6"/>
      <c r="RH828" s="6"/>
      <c r="RI828" s="7"/>
      <c r="RN828" s="6"/>
      <c r="RR828" s="6"/>
      <c r="RS828" s="7"/>
      <c r="RX828" s="6"/>
      <c r="SI828" s="6"/>
      <c r="SJ828" s="7"/>
      <c r="SO828" s="6"/>
      <c r="SS828" s="6"/>
      <c r="ST828" s="7"/>
      <c r="SY828" s="6"/>
    </row>
    <row r="829" spans="12:520" x14ac:dyDescent="0.3">
      <c r="O829" s="5"/>
      <c r="R829" s="5"/>
      <c r="S829" s="6"/>
      <c r="T829" s="6"/>
      <c r="U829" s="7"/>
      <c r="W829" s="6"/>
      <c r="X829" s="5"/>
      <c r="Z829" s="5"/>
      <c r="AA829" s="6"/>
      <c r="AB829" s="7"/>
      <c r="AG829" s="5"/>
      <c r="AH829" s="6"/>
      <c r="AS829" s="6"/>
      <c r="AT829" s="7"/>
      <c r="AW829" s="5"/>
      <c r="AY829" s="6"/>
      <c r="BC829" s="6"/>
      <c r="BD829" s="6"/>
      <c r="BI829" s="6"/>
      <c r="BT829" s="6"/>
      <c r="BU829" s="6"/>
      <c r="BZ829" s="6"/>
      <c r="CD829" s="6"/>
      <c r="CE829" s="6"/>
      <c r="CJ829" s="6"/>
      <c r="CU829" s="6"/>
      <c r="CV829" s="6"/>
      <c r="DA829" s="6"/>
      <c r="DE829" s="6"/>
      <c r="DF829" s="6"/>
      <c r="DK829" s="6"/>
      <c r="DV829" s="6"/>
      <c r="DW829" s="6"/>
      <c r="EB829" s="6"/>
      <c r="EF829" s="6"/>
      <c r="EG829" s="6"/>
      <c r="EL829" s="6"/>
      <c r="EW829" s="6"/>
      <c r="EX829" s="6"/>
      <c r="FC829" s="6"/>
      <c r="FG829" s="6"/>
      <c r="FH829" s="6"/>
      <c r="FM829" s="6"/>
      <c r="FX829" s="6"/>
      <c r="FY829" s="6"/>
      <c r="GD829" s="6"/>
      <c r="GH829" s="6"/>
      <c r="GI829" s="6"/>
      <c r="GN829" s="6"/>
      <c r="GY829" s="6"/>
      <c r="GZ829" s="6"/>
      <c r="HE829" s="6"/>
      <c r="HI829" s="6"/>
      <c r="HJ829" s="6"/>
      <c r="HO829" s="6"/>
      <c r="HZ829" s="6"/>
      <c r="IA829" s="6"/>
      <c r="IF829" s="6"/>
      <c r="IJ829" s="6"/>
      <c r="IK829" s="6"/>
      <c r="IP829" s="6"/>
      <c r="JA829" s="6"/>
      <c r="JB829" s="6"/>
      <c r="JG829" s="6"/>
      <c r="JK829" s="6"/>
      <c r="JL829" s="6"/>
      <c r="JQ829" s="6"/>
      <c r="KB829" s="6"/>
      <c r="KC829" s="6"/>
      <c r="KH829" s="6"/>
      <c r="KL829" s="6"/>
      <c r="KM829" s="6"/>
      <c r="KR829" s="6"/>
      <c r="LC829" s="6"/>
      <c r="LD829" s="6"/>
      <c r="LI829" s="6"/>
      <c r="LM829" s="6"/>
      <c r="LN829" s="6"/>
      <c r="LS829" s="6"/>
      <c r="MD829" s="6"/>
      <c r="ME829" s="6"/>
      <c r="MJ829" s="6"/>
      <c r="MN829" s="6"/>
      <c r="MO829" s="6"/>
      <c r="MT829" s="6"/>
      <c r="NE829" s="6"/>
      <c r="NF829" s="6"/>
      <c r="NK829" s="6"/>
      <c r="NO829" s="6"/>
      <c r="NP829" s="6"/>
      <c r="NU829" s="6"/>
      <c r="OF829" s="6"/>
      <c r="OG829" s="6"/>
      <c r="OL829" s="6"/>
      <c r="OP829" s="6"/>
      <c r="OQ829" s="6"/>
      <c r="OV829" s="6"/>
      <c r="PG829" s="6"/>
      <c r="PH829" s="6"/>
      <c r="PM829" s="6"/>
      <c r="PQ829" s="6"/>
      <c r="PR829" s="6"/>
      <c r="PW829" s="6"/>
      <c r="QH829" s="6"/>
      <c r="QI829" s="6"/>
      <c r="QN829" s="6"/>
      <c r="QR829" s="6"/>
      <c r="QS829" s="6"/>
      <c r="QX829" s="6"/>
      <c r="RI829" s="6"/>
      <c r="RJ829" s="6"/>
      <c r="RO829" s="6"/>
      <c r="RS829" s="6"/>
      <c r="RT829" s="6"/>
      <c r="RY829" s="6"/>
      <c r="SJ829" s="6"/>
      <c r="SK829" s="6"/>
      <c r="SP829" s="6"/>
      <c r="ST829" s="6"/>
      <c r="SU829" s="6"/>
      <c r="SZ829" s="6"/>
    </row>
    <row r="830" spans="12:520" x14ac:dyDescent="0.3">
      <c r="O830" s="5"/>
      <c r="R830" s="5"/>
      <c r="S830" s="6"/>
      <c r="T830" s="6"/>
      <c r="U830" s="7"/>
      <c r="W830" s="6"/>
      <c r="X830" s="5"/>
      <c r="Z830" s="5"/>
      <c r="AA830" s="6"/>
      <c r="AB830" s="7"/>
      <c r="AG830" s="5"/>
      <c r="AH830" s="6"/>
      <c r="AM830" s="8"/>
      <c r="AN830" s="8"/>
      <c r="AO830" s="8"/>
      <c r="AS830" s="6"/>
      <c r="AT830" s="7"/>
      <c r="AW830" s="5"/>
      <c r="AY830" s="6"/>
      <c r="BC830" s="6"/>
      <c r="BD830" s="6"/>
      <c r="BI830" s="6"/>
      <c r="BT830" s="6"/>
      <c r="BU830" s="6"/>
      <c r="BZ830" s="6"/>
      <c r="CD830" s="6"/>
      <c r="CE830" s="6"/>
      <c r="CJ830" s="6"/>
      <c r="CU830" s="6"/>
      <c r="CV830" s="6"/>
      <c r="DA830" s="6"/>
      <c r="DE830" s="6"/>
      <c r="DF830" s="6"/>
      <c r="DK830" s="6"/>
      <c r="DV830" s="6"/>
      <c r="DW830" s="6"/>
      <c r="EB830" s="6"/>
      <c r="EF830" s="6"/>
      <c r="EG830" s="6"/>
      <c r="EL830" s="6"/>
      <c r="EW830" s="6"/>
      <c r="EX830" s="6"/>
      <c r="FC830" s="6"/>
      <c r="FG830" s="6"/>
      <c r="FH830" s="6"/>
      <c r="FM830" s="6"/>
      <c r="FX830" s="6"/>
      <c r="FY830" s="6"/>
      <c r="GD830" s="6"/>
      <c r="GH830" s="6"/>
      <c r="GI830" s="6"/>
      <c r="GN830" s="6"/>
      <c r="GY830" s="6"/>
      <c r="GZ830" s="6"/>
      <c r="HE830" s="6"/>
      <c r="HI830" s="6"/>
      <c r="HJ830" s="6"/>
      <c r="HO830" s="6"/>
      <c r="HZ830" s="6"/>
      <c r="IA830" s="6"/>
      <c r="IF830" s="6"/>
      <c r="IJ830" s="6"/>
      <c r="IK830" s="6"/>
      <c r="IP830" s="6"/>
      <c r="JA830" s="6"/>
      <c r="JB830" s="6"/>
      <c r="JG830" s="6"/>
      <c r="JK830" s="6"/>
      <c r="JL830" s="6"/>
      <c r="JQ830" s="6"/>
      <c r="KB830" s="6"/>
      <c r="KC830" s="6"/>
      <c r="KH830" s="6"/>
      <c r="KL830" s="6"/>
      <c r="KM830" s="6"/>
      <c r="KR830" s="6"/>
      <c r="LC830" s="6"/>
      <c r="LD830" s="6"/>
      <c r="LI830" s="6"/>
      <c r="LM830" s="6"/>
      <c r="LN830" s="6"/>
      <c r="LS830" s="6"/>
      <c r="MD830" s="6"/>
      <c r="ME830" s="6"/>
      <c r="MJ830" s="6"/>
      <c r="MN830" s="6"/>
      <c r="MO830" s="6"/>
      <c r="MT830" s="6"/>
      <c r="NE830" s="6"/>
      <c r="NF830" s="6"/>
      <c r="NK830" s="6"/>
      <c r="NO830" s="6"/>
      <c r="NP830" s="6"/>
      <c r="NU830" s="6"/>
      <c r="OF830" s="6"/>
      <c r="OG830" s="6"/>
      <c r="OL830" s="6"/>
      <c r="OP830" s="6"/>
      <c r="OQ830" s="6"/>
      <c r="OV830" s="6"/>
      <c r="PA830" s="8"/>
      <c r="PB830" s="8"/>
      <c r="PC830" s="8"/>
      <c r="PG830" s="6"/>
      <c r="PH830" s="6"/>
      <c r="PM830" s="6"/>
      <c r="PQ830" s="6"/>
      <c r="PR830" s="6"/>
      <c r="PW830" s="6"/>
      <c r="QH830" s="6"/>
      <c r="QI830" s="6"/>
      <c r="QN830" s="6"/>
      <c r="QR830" s="6"/>
      <c r="QS830" s="6"/>
      <c r="QX830" s="6"/>
      <c r="RI830" s="6"/>
      <c r="RJ830" s="6"/>
      <c r="RO830" s="6"/>
      <c r="RS830" s="6"/>
      <c r="RT830" s="6"/>
      <c r="RY830" s="6"/>
      <c r="SJ830" s="6"/>
      <c r="SK830" s="6"/>
      <c r="SP830" s="6"/>
      <c r="ST830" s="6"/>
      <c r="SU830" s="6"/>
      <c r="SZ830" s="6"/>
    </row>
    <row r="831" spans="12:520" x14ac:dyDescent="0.3">
      <c r="O831" s="5"/>
      <c r="R831" s="5"/>
      <c r="S831" s="6"/>
      <c r="T831" s="6"/>
      <c r="U831" s="7"/>
      <c r="W831" s="7"/>
      <c r="X831" s="5"/>
      <c r="Z831" s="5"/>
      <c r="AA831" s="6"/>
      <c r="AB831" s="7"/>
      <c r="AG831" s="5"/>
      <c r="AH831" s="7"/>
      <c r="AT831" s="7"/>
      <c r="AW831" s="5"/>
      <c r="AY831" s="6"/>
      <c r="BC831" s="6"/>
      <c r="BD831" s="6"/>
      <c r="BI831" s="6"/>
      <c r="BT831" s="6"/>
      <c r="BU831" s="6"/>
      <c r="BZ831" s="6"/>
      <c r="CD831" s="6"/>
      <c r="CE831" s="6"/>
      <c r="CJ831" s="6"/>
      <c r="CU831" s="6"/>
      <c r="CV831" s="6"/>
      <c r="DA831" s="6"/>
      <c r="DE831" s="6"/>
      <c r="DF831" s="6"/>
      <c r="DK831" s="6"/>
      <c r="DV831" s="6"/>
      <c r="DW831" s="6"/>
      <c r="EB831" s="6"/>
      <c r="EF831" s="6"/>
      <c r="EG831" s="6"/>
      <c r="EL831" s="6"/>
      <c r="EW831" s="6"/>
      <c r="EX831" s="6"/>
      <c r="FC831" s="6"/>
      <c r="FG831" s="6"/>
      <c r="FH831" s="6"/>
      <c r="FM831" s="6"/>
      <c r="FX831" s="6"/>
      <c r="FY831" s="6"/>
      <c r="GD831" s="6"/>
      <c r="GH831" s="6"/>
      <c r="GI831" s="6"/>
      <c r="GN831" s="6"/>
      <c r="GY831" s="6"/>
      <c r="GZ831" s="6"/>
      <c r="HE831" s="6"/>
      <c r="HI831" s="6"/>
      <c r="HJ831" s="6"/>
      <c r="HO831" s="6"/>
      <c r="HZ831" s="6"/>
      <c r="IA831" s="6"/>
      <c r="IF831" s="6"/>
      <c r="IJ831" s="6"/>
      <c r="IK831" s="6"/>
      <c r="IP831" s="6"/>
      <c r="JA831" s="6"/>
      <c r="JB831" s="6"/>
      <c r="JG831" s="6"/>
      <c r="JK831" s="6"/>
      <c r="JL831" s="6"/>
      <c r="JQ831" s="6"/>
      <c r="KB831" s="6"/>
      <c r="KC831" s="6"/>
      <c r="KH831" s="6"/>
      <c r="KL831" s="6"/>
      <c r="KM831" s="6"/>
      <c r="KR831" s="6"/>
      <c r="LC831" s="6"/>
      <c r="LD831" s="6"/>
      <c r="LI831" s="6"/>
      <c r="LM831" s="6"/>
      <c r="LN831" s="6"/>
      <c r="LS831" s="6"/>
      <c r="MD831" s="6"/>
      <c r="ME831" s="6"/>
      <c r="MJ831" s="6"/>
      <c r="MN831" s="6"/>
      <c r="MO831" s="6"/>
      <c r="MT831" s="6"/>
      <c r="NE831" s="6"/>
      <c r="NF831" s="6"/>
      <c r="NK831" s="6"/>
      <c r="NO831" s="6"/>
      <c r="NP831" s="6"/>
      <c r="NU831" s="6"/>
      <c r="OF831" s="6"/>
      <c r="OG831" s="6"/>
      <c r="OL831" s="6"/>
      <c r="OP831" s="6"/>
      <c r="OQ831" s="6"/>
      <c r="OV831" s="6"/>
      <c r="QH831" s="6"/>
      <c r="QI831" s="6"/>
      <c r="QN831" s="6"/>
      <c r="QR831" s="6"/>
      <c r="QS831" s="6"/>
      <c r="QX831" s="6"/>
      <c r="RI831" s="6"/>
      <c r="RJ831" s="6"/>
      <c r="RO831" s="6"/>
      <c r="RS831" s="6"/>
      <c r="RT831" s="6"/>
      <c r="RY831" s="6"/>
      <c r="SJ831" s="6"/>
      <c r="SK831" s="6"/>
      <c r="SP831" s="6"/>
      <c r="ST831" s="6"/>
      <c r="SU831" s="6"/>
      <c r="SZ831" s="6"/>
    </row>
    <row r="832" spans="12:520" x14ac:dyDescent="0.3">
      <c r="O832" s="5"/>
      <c r="R832" s="5"/>
      <c r="S832" s="6"/>
      <c r="T832" s="6"/>
      <c r="U832" s="7"/>
      <c r="W832" s="6"/>
      <c r="X832" s="5"/>
      <c r="Z832" s="5"/>
      <c r="AA832" s="6"/>
      <c r="AB832" s="7"/>
      <c r="AG832" s="5"/>
      <c r="AH832" s="6"/>
      <c r="AR832" s="6"/>
      <c r="AS832" s="7"/>
      <c r="AT832" s="7"/>
      <c r="AW832" s="5"/>
      <c r="AY832" s="6"/>
      <c r="BC832" s="6"/>
      <c r="BD832" s="6"/>
      <c r="BI832" s="6"/>
      <c r="BT832" s="6"/>
      <c r="BU832" s="6"/>
      <c r="BZ832" s="6"/>
      <c r="CD832" s="6"/>
      <c r="CE832" s="6"/>
      <c r="CJ832" s="6"/>
      <c r="CU832" s="6"/>
      <c r="CV832" s="6"/>
      <c r="DA832" s="6"/>
      <c r="DE832" s="6"/>
      <c r="DF832" s="6"/>
      <c r="DK832" s="6"/>
      <c r="DV832" s="6"/>
      <c r="DW832" s="6"/>
      <c r="EB832" s="6"/>
      <c r="EF832" s="6"/>
      <c r="EG832" s="6"/>
      <c r="EL832" s="6"/>
      <c r="EW832" s="6"/>
      <c r="EX832" s="6"/>
      <c r="FC832" s="6"/>
      <c r="FG832" s="6"/>
      <c r="FH832" s="6"/>
      <c r="FM832" s="6"/>
      <c r="FX832" s="6"/>
      <c r="FY832" s="6"/>
      <c r="GD832" s="6"/>
      <c r="GH832" s="6"/>
      <c r="GI832" s="6"/>
      <c r="GN832" s="6"/>
      <c r="GS832" s="8"/>
      <c r="GT832" s="8"/>
      <c r="GU832" s="8"/>
      <c r="GY832" s="6"/>
      <c r="GZ832" s="6"/>
      <c r="HE832" s="6"/>
      <c r="HI832" s="6"/>
      <c r="HJ832" s="6"/>
      <c r="HO832" s="6"/>
      <c r="HZ832" s="6"/>
      <c r="IA832" s="6"/>
      <c r="IF832" s="6"/>
      <c r="IJ832" s="6"/>
      <c r="IK832" s="6"/>
      <c r="IP832" s="6"/>
      <c r="JA832" s="6"/>
      <c r="JB832" s="6"/>
      <c r="JG832" s="6"/>
      <c r="JK832" s="6"/>
      <c r="JL832" s="6"/>
      <c r="JQ832" s="6"/>
      <c r="KB832" s="6"/>
      <c r="KC832" s="6"/>
      <c r="KH832" s="6"/>
      <c r="KL832" s="6"/>
      <c r="KM832" s="6"/>
      <c r="KR832" s="6"/>
      <c r="LC832" s="6"/>
      <c r="LD832" s="6"/>
      <c r="LI832" s="6"/>
      <c r="LM832" s="6"/>
      <c r="LN832" s="6"/>
      <c r="LS832" s="6"/>
      <c r="MD832" s="6"/>
      <c r="ME832" s="6"/>
      <c r="MJ832" s="6"/>
      <c r="MN832" s="6"/>
      <c r="MO832" s="6"/>
      <c r="MT832" s="6"/>
      <c r="NE832" s="6"/>
      <c r="NF832" s="6"/>
      <c r="NK832" s="6"/>
      <c r="NO832" s="6"/>
      <c r="NP832" s="6"/>
      <c r="NU832" s="6"/>
      <c r="OF832" s="6"/>
      <c r="OG832" s="6"/>
      <c r="OL832" s="6"/>
      <c r="OP832" s="6"/>
      <c r="OQ832" s="6"/>
      <c r="OV832" s="6"/>
      <c r="QH832" s="6"/>
      <c r="QI832" s="6"/>
      <c r="QN832" s="6"/>
      <c r="QR832" s="6"/>
      <c r="QS832" s="6"/>
      <c r="QX832" s="6"/>
      <c r="RI832" s="6"/>
      <c r="RJ832" s="6"/>
      <c r="RO832" s="6"/>
      <c r="RS832" s="6"/>
      <c r="RT832" s="6"/>
      <c r="RY832" s="6"/>
      <c r="SJ832" s="6"/>
      <c r="SK832" s="6"/>
      <c r="SP832" s="6"/>
      <c r="ST832" s="6"/>
      <c r="SU832" s="6"/>
      <c r="SZ832" s="6"/>
    </row>
    <row r="833" spans="12:520" x14ac:dyDescent="0.3">
      <c r="O833" s="5"/>
      <c r="R833" s="5"/>
      <c r="S833" s="6"/>
      <c r="T833" s="6"/>
      <c r="U833" s="7"/>
      <c r="W833" s="6"/>
      <c r="X833" s="5"/>
      <c r="Z833" s="5"/>
      <c r="AA833" s="6"/>
      <c r="AB833" s="7"/>
      <c r="AG833" s="5"/>
      <c r="AH833" s="6"/>
      <c r="AQ833" s="5"/>
      <c r="AR833" s="5"/>
      <c r="AS833" s="6"/>
      <c r="AT833" s="7"/>
      <c r="AW833" s="5"/>
      <c r="AY833" s="6"/>
      <c r="BC833" s="6"/>
      <c r="BD833" s="6"/>
      <c r="BI833" s="6"/>
      <c r="BT833" s="6"/>
      <c r="BU833" s="6"/>
      <c r="BZ833" s="6"/>
      <c r="CD833" s="6"/>
      <c r="CE833" s="6"/>
      <c r="CJ833" s="6"/>
      <c r="CU833" s="6"/>
      <c r="CV833" s="6"/>
      <c r="DA833" s="6"/>
      <c r="DE833" s="6"/>
      <c r="DF833" s="6"/>
      <c r="DK833" s="6"/>
      <c r="DV833" s="6"/>
      <c r="DW833" s="6"/>
      <c r="EB833" s="6"/>
      <c r="EF833" s="6"/>
      <c r="EG833" s="6"/>
      <c r="EL833" s="6"/>
      <c r="EW833" s="6"/>
      <c r="EX833" s="6"/>
      <c r="FC833" s="6"/>
      <c r="FG833" s="6"/>
      <c r="FH833" s="6"/>
      <c r="FM833" s="6"/>
      <c r="FX833" s="6"/>
      <c r="FY833" s="6"/>
      <c r="GD833" s="6"/>
      <c r="GH833" s="6"/>
      <c r="GI833" s="6"/>
      <c r="GN833" s="6"/>
      <c r="HZ833" s="6"/>
      <c r="IA833" s="6"/>
      <c r="IF833" s="6"/>
      <c r="IJ833" s="6"/>
      <c r="IK833" s="6"/>
      <c r="IP833" s="6"/>
      <c r="JA833" s="6"/>
      <c r="JB833" s="6"/>
      <c r="JG833" s="6"/>
      <c r="JK833" s="6"/>
      <c r="JL833" s="6"/>
      <c r="JQ833" s="6"/>
      <c r="KB833" s="6"/>
      <c r="KC833" s="6"/>
      <c r="KH833" s="6"/>
      <c r="KL833" s="6"/>
      <c r="KM833" s="6"/>
      <c r="KR833" s="6"/>
      <c r="LC833" s="6"/>
      <c r="LD833" s="6"/>
      <c r="LI833" s="6"/>
      <c r="LM833" s="6"/>
      <c r="LN833" s="6"/>
      <c r="LS833" s="6"/>
      <c r="MD833" s="6"/>
      <c r="ME833" s="6"/>
      <c r="MJ833" s="6"/>
      <c r="MN833" s="6"/>
      <c r="MO833" s="6"/>
      <c r="MT833" s="6"/>
      <c r="NE833" s="6"/>
      <c r="NF833" s="6"/>
      <c r="NK833" s="6"/>
      <c r="NO833" s="6"/>
      <c r="NP833" s="6"/>
      <c r="NU833" s="6"/>
      <c r="OF833" s="6"/>
      <c r="OG833" s="6"/>
      <c r="OL833" s="6"/>
      <c r="OP833" s="6"/>
      <c r="OQ833" s="6"/>
      <c r="OV833" s="6"/>
      <c r="QH833" s="6"/>
      <c r="QI833" s="6"/>
      <c r="QN833" s="6"/>
      <c r="QR833" s="6"/>
      <c r="QS833" s="6"/>
      <c r="QX833" s="6"/>
      <c r="RI833" s="6"/>
      <c r="RJ833" s="6"/>
      <c r="RO833" s="6"/>
      <c r="RS833" s="6"/>
      <c r="RT833" s="6"/>
      <c r="RY833" s="6"/>
      <c r="SJ833" s="6"/>
      <c r="SK833" s="6"/>
      <c r="SP833" s="6"/>
      <c r="ST833" s="6"/>
      <c r="SU833" s="6"/>
      <c r="SZ833" s="6"/>
    </row>
    <row r="834" spans="12:520" x14ac:dyDescent="0.3">
      <c r="O834" s="5"/>
      <c r="R834" s="5"/>
      <c r="S834" s="6"/>
      <c r="T834" s="6"/>
      <c r="U834" s="7"/>
      <c r="W834" s="6"/>
      <c r="X834" s="5"/>
      <c r="Z834" s="5"/>
      <c r="AA834" s="6"/>
      <c r="AB834" s="7"/>
      <c r="AG834" s="5"/>
      <c r="AH834" s="6"/>
      <c r="AQ834" s="5"/>
      <c r="AR834" s="5"/>
      <c r="AS834" s="6"/>
      <c r="AT834" s="7"/>
      <c r="AW834" s="5"/>
      <c r="AY834" s="6"/>
      <c r="BC834" s="6"/>
      <c r="BD834" s="6"/>
      <c r="BI834" s="6"/>
      <c r="BT834" s="6"/>
      <c r="BU834" s="6"/>
      <c r="BZ834" s="6"/>
      <c r="CD834" s="6"/>
      <c r="CE834" s="6"/>
      <c r="CJ834" s="6"/>
      <c r="CU834" s="6"/>
      <c r="CV834" s="6"/>
      <c r="DA834" s="6"/>
      <c r="DE834" s="6"/>
      <c r="DF834" s="6"/>
      <c r="DK834" s="6"/>
      <c r="DV834" s="6"/>
      <c r="DW834" s="6"/>
      <c r="EB834" s="6"/>
      <c r="EF834" s="6"/>
      <c r="EG834" s="6"/>
      <c r="EL834" s="6"/>
      <c r="EW834" s="6"/>
      <c r="EX834" s="6"/>
      <c r="FC834" s="6"/>
      <c r="FG834" s="6"/>
      <c r="FH834" s="6"/>
      <c r="FM834" s="6"/>
      <c r="FX834" s="6"/>
      <c r="FY834" s="6"/>
      <c r="GD834" s="6"/>
      <c r="GH834" s="6"/>
      <c r="GI834" s="6"/>
      <c r="GN834" s="6"/>
      <c r="HZ834" s="6"/>
      <c r="IA834" s="6"/>
      <c r="IF834" s="6"/>
      <c r="IJ834" s="6"/>
      <c r="IK834" s="6"/>
      <c r="IP834" s="6"/>
      <c r="JA834" s="6"/>
      <c r="JB834" s="6"/>
      <c r="JG834" s="6"/>
      <c r="JK834" s="6"/>
      <c r="JL834" s="6"/>
      <c r="JQ834" s="6"/>
      <c r="KB834" s="6"/>
      <c r="KC834" s="6"/>
      <c r="KH834" s="6"/>
      <c r="KL834" s="6"/>
      <c r="KM834" s="6"/>
      <c r="KR834" s="6"/>
      <c r="LC834" s="6"/>
      <c r="LD834" s="6"/>
      <c r="LI834" s="6"/>
      <c r="LM834" s="6"/>
      <c r="LN834" s="6"/>
      <c r="LS834" s="6"/>
      <c r="MD834" s="6"/>
      <c r="ME834" s="6"/>
      <c r="MJ834" s="6"/>
      <c r="MN834" s="6"/>
      <c r="MO834" s="6"/>
      <c r="MT834" s="6"/>
      <c r="NE834" s="6"/>
      <c r="NF834" s="6"/>
      <c r="NK834" s="6"/>
      <c r="NO834" s="6"/>
      <c r="NP834" s="6"/>
      <c r="NU834" s="6"/>
      <c r="OF834" s="6"/>
      <c r="OG834" s="6"/>
      <c r="OL834" s="6"/>
      <c r="OP834" s="6"/>
      <c r="OQ834" s="6"/>
      <c r="OV834" s="6"/>
      <c r="QH834" s="6"/>
      <c r="QI834" s="6"/>
      <c r="QN834" s="6"/>
      <c r="QR834" s="6"/>
      <c r="QS834" s="6"/>
      <c r="QX834" s="6"/>
      <c r="RI834" s="6"/>
      <c r="RJ834" s="6"/>
      <c r="RO834" s="6"/>
      <c r="RS834" s="6"/>
      <c r="RT834" s="6"/>
      <c r="RY834" s="6"/>
      <c r="SD834" s="8"/>
      <c r="SE834" s="8"/>
      <c r="SF834" s="8"/>
      <c r="SJ834" s="6"/>
      <c r="SK834" s="6"/>
      <c r="SP834" s="6"/>
      <c r="ST834" s="6"/>
      <c r="SU834" s="6"/>
      <c r="SZ834" s="6"/>
    </row>
    <row r="835" spans="12:520" x14ac:dyDescent="0.3">
      <c r="O835" s="5"/>
      <c r="R835" s="5"/>
      <c r="S835" s="6"/>
      <c r="T835" s="6"/>
      <c r="U835" s="7"/>
      <c r="W835" s="6"/>
      <c r="X835" s="5"/>
      <c r="Z835" s="5"/>
      <c r="AA835" s="6"/>
      <c r="AB835" s="7"/>
      <c r="AG835" s="5"/>
      <c r="AH835" s="6"/>
      <c r="AQ835" s="5"/>
      <c r="AR835" s="5"/>
      <c r="AS835" s="6"/>
      <c r="AT835" s="7"/>
      <c r="AW835" s="5"/>
      <c r="AY835" s="6"/>
      <c r="BC835" s="6"/>
      <c r="BD835" s="6"/>
      <c r="BI835" s="6"/>
      <c r="BT835" s="6"/>
      <c r="BU835" s="6"/>
      <c r="BZ835" s="6"/>
      <c r="CD835" s="6"/>
      <c r="CE835" s="6"/>
      <c r="CJ835" s="6"/>
      <c r="CU835" s="6"/>
      <c r="CV835" s="6"/>
      <c r="DA835" s="6"/>
      <c r="DE835" s="6"/>
      <c r="DF835" s="6"/>
      <c r="DK835" s="6"/>
      <c r="DV835" s="6"/>
      <c r="DW835" s="6"/>
      <c r="EB835" s="6"/>
      <c r="EF835" s="6"/>
      <c r="EG835" s="6"/>
      <c r="EL835" s="6"/>
      <c r="EW835" s="6"/>
      <c r="EX835" s="6"/>
      <c r="FC835" s="6"/>
      <c r="FG835" s="6"/>
      <c r="FH835" s="6"/>
      <c r="FM835" s="6"/>
      <c r="FX835" s="6"/>
      <c r="FY835" s="6"/>
      <c r="GD835" s="6"/>
      <c r="GH835" s="6"/>
      <c r="GI835" s="6"/>
      <c r="GN835" s="6"/>
      <c r="HZ835" s="6"/>
      <c r="IA835" s="6"/>
      <c r="IF835" s="6"/>
      <c r="IJ835" s="6"/>
      <c r="IK835" s="6"/>
      <c r="IP835" s="6"/>
      <c r="JA835" s="6"/>
      <c r="JB835" s="6"/>
      <c r="JG835" s="6"/>
      <c r="JK835" s="6"/>
      <c r="JL835" s="6"/>
      <c r="JQ835" s="6"/>
      <c r="KB835" s="6"/>
      <c r="KC835" s="6"/>
      <c r="KH835" s="6"/>
      <c r="KL835" s="6"/>
      <c r="KM835" s="6"/>
      <c r="KR835" s="6"/>
      <c r="LC835" s="6"/>
      <c r="LD835" s="6"/>
      <c r="LI835" s="6"/>
      <c r="LM835" s="6"/>
      <c r="LN835" s="6"/>
      <c r="LS835" s="6"/>
      <c r="MD835" s="6"/>
      <c r="ME835" s="6"/>
      <c r="MJ835" s="6"/>
      <c r="MN835" s="6"/>
      <c r="MO835" s="6"/>
      <c r="MT835" s="6"/>
      <c r="NE835" s="6"/>
      <c r="NF835" s="6"/>
      <c r="NK835" s="6"/>
      <c r="NO835" s="6"/>
      <c r="NP835" s="6"/>
      <c r="NU835" s="6"/>
      <c r="OF835" s="6"/>
      <c r="OG835" s="6"/>
      <c r="OL835" s="6"/>
      <c r="OP835" s="6"/>
      <c r="OQ835" s="6"/>
      <c r="OV835" s="6"/>
      <c r="QH835" s="6"/>
      <c r="QI835" s="6"/>
      <c r="QN835" s="6"/>
      <c r="QR835" s="6"/>
      <c r="QS835" s="6"/>
      <c r="QX835" s="6"/>
      <c r="RI835" s="6"/>
      <c r="RJ835" s="6"/>
      <c r="RO835" s="6"/>
      <c r="RS835" s="6"/>
      <c r="RT835" s="6"/>
      <c r="RY835" s="6"/>
    </row>
    <row r="836" spans="12:520" x14ac:dyDescent="0.3">
      <c r="O836" s="5"/>
      <c r="R836" s="5"/>
      <c r="S836" s="6"/>
      <c r="T836" s="6"/>
      <c r="U836" s="7"/>
      <c r="W836" s="6"/>
      <c r="X836" s="5"/>
      <c r="Z836" s="5"/>
      <c r="AA836" s="6"/>
      <c r="AB836" s="7"/>
      <c r="AG836" s="5"/>
      <c r="AH836" s="6"/>
      <c r="AQ836" s="5"/>
      <c r="AR836" s="5"/>
      <c r="AS836" s="6"/>
      <c r="AT836" s="7"/>
      <c r="AW836" s="5"/>
      <c r="AY836" s="6"/>
      <c r="BC836" s="6"/>
      <c r="BD836" s="6"/>
      <c r="BI836" s="6"/>
      <c r="BT836" s="6"/>
      <c r="BU836" s="6"/>
      <c r="BZ836" s="6"/>
      <c r="CD836" s="6"/>
      <c r="CE836" s="6"/>
      <c r="CJ836" s="6"/>
      <c r="CU836" s="6"/>
      <c r="CV836" s="6"/>
      <c r="DA836" s="6"/>
      <c r="DE836" s="6"/>
      <c r="DF836" s="6"/>
      <c r="DK836" s="6"/>
      <c r="DV836" s="6"/>
      <c r="DW836" s="6"/>
      <c r="EB836" s="6"/>
      <c r="EF836" s="6"/>
      <c r="EG836" s="6"/>
      <c r="EL836" s="6"/>
      <c r="EW836" s="6"/>
      <c r="EX836" s="6"/>
      <c r="FC836" s="6"/>
      <c r="FG836" s="6"/>
      <c r="FH836" s="6"/>
      <c r="FM836" s="6"/>
      <c r="FX836" s="6"/>
      <c r="FY836" s="6"/>
      <c r="GD836" s="6"/>
      <c r="GH836" s="6"/>
      <c r="GI836" s="6"/>
      <c r="GN836" s="6"/>
      <c r="HZ836" s="6"/>
      <c r="IA836" s="6"/>
      <c r="IF836" s="6"/>
      <c r="IJ836" s="6"/>
      <c r="IK836" s="6"/>
      <c r="IP836" s="6"/>
      <c r="JA836" s="6"/>
      <c r="JB836" s="6"/>
      <c r="JG836" s="6"/>
      <c r="JK836" s="6"/>
      <c r="JL836" s="6"/>
      <c r="JQ836" s="6"/>
      <c r="JV836" s="8"/>
      <c r="JW836" s="8"/>
      <c r="JX836" s="8"/>
      <c r="KB836" s="6"/>
      <c r="KC836" s="6"/>
      <c r="KH836" s="6"/>
      <c r="KL836" s="6"/>
      <c r="KM836" s="6"/>
      <c r="KR836" s="6"/>
      <c r="LC836" s="6"/>
      <c r="LD836" s="6"/>
      <c r="LI836" s="6"/>
      <c r="LM836" s="6"/>
      <c r="LN836" s="6"/>
      <c r="LS836" s="6"/>
      <c r="MD836" s="6"/>
      <c r="ME836" s="6"/>
      <c r="MJ836" s="6"/>
      <c r="MN836" s="6"/>
      <c r="MO836" s="6"/>
      <c r="MT836" s="6"/>
      <c r="NE836" s="6"/>
      <c r="NF836" s="6"/>
      <c r="NK836" s="6"/>
      <c r="NO836" s="6"/>
      <c r="NP836" s="6"/>
      <c r="NU836" s="6"/>
      <c r="OF836" s="6"/>
      <c r="OG836" s="6"/>
      <c r="OL836" s="6"/>
      <c r="OP836" s="6"/>
      <c r="OQ836" s="6"/>
      <c r="OV836" s="6"/>
      <c r="QH836" s="6"/>
      <c r="QI836" s="6"/>
      <c r="QN836" s="6"/>
      <c r="QR836" s="6"/>
      <c r="QS836" s="6"/>
      <c r="QX836" s="6"/>
      <c r="RI836" s="6"/>
      <c r="RJ836" s="6"/>
      <c r="RO836" s="6"/>
      <c r="RS836" s="6"/>
      <c r="RT836" s="6"/>
      <c r="RY836" s="6"/>
    </row>
    <row r="837" spans="12:520" x14ac:dyDescent="0.3">
      <c r="O837" s="5"/>
      <c r="R837" s="5"/>
      <c r="S837" s="6"/>
      <c r="T837" s="6"/>
      <c r="U837" s="7"/>
      <c r="W837" s="6"/>
      <c r="X837" s="5"/>
      <c r="Z837" s="5"/>
      <c r="AA837" s="6"/>
      <c r="AB837" s="7"/>
      <c r="AG837" s="5"/>
      <c r="AH837" s="6"/>
      <c r="AQ837" s="5"/>
      <c r="AR837" s="5"/>
      <c r="AS837" s="6"/>
      <c r="AT837" s="7"/>
      <c r="AW837" s="5"/>
      <c r="AY837" s="7"/>
      <c r="BC837" s="6"/>
      <c r="BD837" s="6"/>
      <c r="BI837" s="6"/>
      <c r="BT837" s="6"/>
      <c r="BU837" s="6"/>
      <c r="BZ837" s="6"/>
      <c r="CD837" s="6"/>
      <c r="CE837" s="6"/>
      <c r="CJ837" s="6"/>
      <c r="CU837" s="6"/>
      <c r="CV837" s="6"/>
      <c r="DA837" s="6"/>
      <c r="DE837" s="6"/>
      <c r="DF837" s="6"/>
      <c r="DK837" s="6"/>
      <c r="DV837" s="6"/>
      <c r="DW837" s="6"/>
      <c r="EB837" s="6"/>
      <c r="EF837" s="6"/>
      <c r="EG837" s="6"/>
      <c r="EL837" s="6"/>
      <c r="EW837" s="6"/>
      <c r="EX837" s="6"/>
      <c r="FC837" s="6"/>
      <c r="FG837" s="6"/>
      <c r="FH837" s="6"/>
      <c r="FM837" s="6"/>
      <c r="FX837" s="6"/>
      <c r="FY837" s="6"/>
      <c r="GD837" s="6"/>
      <c r="GH837" s="6"/>
      <c r="GI837" s="6"/>
      <c r="GN837" s="6"/>
      <c r="HZ837" s="6"/>
      <c r="IA837" s="6"/>
      <c r="IF837" s="6"/>
      <c r="IJ837" s="6"/>
      <c r="IK837" s="6"/>
      <c r="IP837" s="6"/>
      <c r="JA837" s="6"/>
      <c r="JB837" s="6"/>
      <c r="JG837" s="6"/>
      <c r="JK837" s="6"/>
      <c r="JL837" s="6"/>
      <c r="JQ837" s="6"/>
      <c r="LC837" s="6"/>
      <c r="LD837" s="6"/>
      <c r="LI837" s="6"/>
      <c r="LM837" s="6"/>
      <c r="LN837" s="6"/>
      <c r="LS837" s="6"/>
      <c r="MD837" s="6"/>
      <c r="ME837" s="6"/>
      <c r="MJ837" s="6"/>
      <c r="MN837" s="6"/>
      <c r="MO837" s="6"/>
      <c r="MT837" s="6"/>
      <c r="NE837" s="6"/>
      <c r="NF837" s="6"/>
      <c r="NK837" s="6"/>
      <c r="NO837" s="6"/>
      <c r="NP837" s="6"/>
      <c r="NU837" s="6"/>
      <c r="OF837" s="6"/>
      <c r="OG837" s="6"/>
      <c r="OL837" s="6"/>
      <c r="OP837" s="6"/>
      <c r="OQ837" s="6"/>
      <c r="OV837" s="6"/>
      <c r="QH837" s="6"/>
      <c r="QI837" s="6"/>
      <c r="QN837" s="6"/>
      <c r="QR837" s="6"/>
      <c r="QS837" s="6"/>
      <c r="QX837" s="6"/>
      <c r="RI837" s="6"/>
      <c r="RJ837" s="6"/>
      <c r="RO837" s="6"/>
      <c r="RS837" s="6"/>
      <c r="RT837" s="6"/>
      <c r="RY837" s="6"/>
    </row>
    <row r="838" spans="12:520" x14ac:dyDescent="0.3">
      <c r="L838" s="8"/>
      <c r="M838" s="8"/>
      <c r="N838" s="8"/>
      <c r="O838" s="5"/>
      <c r="R838" s="5"/>
      <c r="S838" s="6"/>
      <c r="T838" s="6"/>
      <c r="U838" s="7"/>
      <c r="W838" s="6"/>
      <c r="X838" s="5"/>
      <c r="Z838" s="5"/>
      <c r="AA838" s="6"/>
      <c r="AB838" s="7"/>
      <c r="AG838" s="5"/>
      <c r="AH838" s="6"/>
      <c r="AQ838" s="5"/>
      <c r="AR838" s="5"/>
      <c r="AS838" s="6"/>
      <c r="AT838" s="7"/>
      <c r="AW838" s="5"/>
      <c r="AY838" s="6"/>
      <c r="BC838" s="6"/>
      <c r="BD838" s="6"/>
      <c r="BI838" s="6"/>
      <c r="BT838" s="6"/>
      <c r="BU838" s="6"/>
      <c r="BZ838" s="6"/>
      <c r="CD838" s="6"/>
      <c r="CE838" s="6"/>
      <c r="CJ838" s="6"/>
      <c r="CU838" s="6"/>
      <c r="CV838" s="6"/>
      <c r="DA838" s="6"/>
      <c r="DE838" s="6"/>
      <c r="DF838" s="6"/>
      <c r="DK838" s="6"/>
      <c r="DV838" s="6"/>
      <c r="DW838" s="6"/>
      <c r="EB838" s="6"/>
      <c r="EF838" s="6"/>
      <c r="EG838" s="6"/>
      <c r="EL838" s="6"/>
      <c r="EW838" s="6"/>
      <c r="EX838" s="6"/>
      <c r="FC838" s="6"/>
      <c r="FG838" s="6"/>
      <c r="FH838" s="6"/>
      <c r="FM838" s="6"/>
      <c r="FX838" s="6"/>
      <c r="FY838" s="6"/>
      <c r="GD838" s="6"/>
      <c r="GH838" s="6"/>
      <c r="GI838" s="6"/>
      <c r="GN838" s="6"/>
      <c r="HZ838" s="6"/>
      <c r="IA838" s="6"/>
      <c r="IF838" s="6"/>
      <c r="IJ838" s="6"/>
      <c r="IK838" s="6"/>
      <c r="IP838" s="6"/>
      <c r="JA838" s="6"/>
      <c r="JB838" s="6"/>
      <c r="JG838" s="6"/>
      <c r="JK838" s="6"/>
      <c r="JL838" s="6"/>
      <c r="JQ838" s="6"/>
      <c r="LC838" s="6"/>
      <c r="LD838" s="6"/>
      <c r="LI838" s="6"/>
      <c r="LM838" s="6"/>
      <c r="LN838" s="6"/>
      <c r="LS838" s="6"/>
      <c r="MD838" s="6"/>
      <c r="ME838" s="6"/>
      <c r="MJ838" s="6"/>
      <c r="MN838" s="6"/>
      <c r="MO838" s="6"/>
      <c r="MT838" s="6"/>
      <c r="NE838" s="6"/>
      <c r="NF838" s="6"/>
      <c r="NK838" s="6"/>
      <c r="NO838" s="6"/>
      <c r="NP838" s="6"/>
      <c r="NU838" s="6"/>
      <c r="OF838" s="6"/>
      <c r="OG838" s="6"/>
      <c r="OL838" s="6"/>
      <c r="OP838" s="6"/>
      <c r="OQ838" s="6"/>
      <c r="OV838" s="6"/>
      <c r="QH838" s="6"/>
      <c r="QI838" s="6"/>
      <c r="QN838" s="6"/>
      <c r="QR838" s="6"/>
      <c r="QS838" s="6"/>
      <c r="QX838" s="6"/>
      <c r="RI838" s="6"/>
      <c r="RJ838" s="6"/>
      <c r="RO838" s="6"/>
      <c r="RS838" s="6"/>
      <c r="RT838" s="6"/>
      <c r="RY838" s="6"/>
    </row>
    <row r="839" spans="12:520" x14ac:dyDescent="0.3">
      <c r="AQ839" s="5"/>
      <c r="AR839" s="5"/>
      <c r="AS839" s="6"/>
      <c r="AT839" s="7"/>
      <c r="AW839" s="5"/>
      <c r="AY839" s="7"/>
      <c r="BC839" s="6"/>
      <c r="BD839" s="6"/>
      <c r="BI839" s="6"/>
      <c r="BN839" s="8"/>
      <c r="BO839" s="8"/>
      <c r="BP839" s="8"/>
      <c r="BT839" s="6"/>
      <c r="BU839" s="6"/>
      <c r="BZ839" s="6"/>
      <c r="CD839" s="6"/>
      <c r="CE839" s="6"/>
      <c r="CJ839" s="6"/>
      <c r="CO839" s="8"/>
      <c r="CP839" s="8"/>
      <c r="CQ839" s="8"/>
      <c r="CU839" s="6"/>
      <c r="CV839" s="6"/>
      <c r="DA839" s="6"/>
      <c r="DE839" s="6"/>
      <c r="DF839" s="6"/>
      <c r="DK839" s="6"/>
      <c r="DP839" s="8"/>
      <c r="DQ839" s="8"/>
      <c r="DR839" s="8"/>
      <c r="DV839" s="6"/>
      <c r="DW839" s="6"/>
      <c r="EB839" s="6"/>
      <c r="EF839" s="6"/>
      <c r="EG839" s="6"/>
      <c r="EL839" s="6"/>
      <c r="EQ839" s="8"/>
      <c r="ER839" s="8"/>
      <c r="ES839" s="8"/>
      <c r="EW839" s="6"/>
      <c r="EX839" s="6"/>
      <c r="FC839" s="6"/>
      <c r="FG839" s="6"/>
      <c r="FH839" s="6"/>
      <c r="FM839" s="6"/>
      <c r="FR839" s="8"/>
      <c r="FS839" s="8"/>
      <c r="FT839" s="8"/>
      <c r="FX839" s="6"/>
      <c r="FY839" s="6"/>
      <c r="GD839" s="6"/>
      <c r="GH839" s="6"/>
      <c r="GI839" s="6"/>
      <c r="GN839" s="6"/>
      <c r="HT839" s="8"/>
      <c r="HU839" s="8"/>
      <c r="HV839" s="8"/>
      <c r="HZ839" s="6"/>
      <c r="IA839" s="6"/>
      <c r="IF839" s="6"/>
      <c r="IJ839" s="6"/>
      <c r="IK839" s="6"/>
      <c r="IP839" s="6"/>
      <c r="IU839" s="8"/>
      <c r="IV839" s="8"/>
      <c r="IW839" s="8"/>
      <c r="JA839" s="6"/>
      <c r="JB839" s="6"/>
      <c r="JG839" s="6"/>
      <c r="JK839" s="6"/>
      <c r="JL839" s="6"/>
      <c r="JQ839" s="6"/>
      <c r="KW839" s="8"/>
      <c r="KX839" s="8"/>
      <c r="KY839" s="8"/>
      <c r="LC839" s="6"/>
      <c r="LD839" s="6"/>
      <c r="LI839" s="6"/>
      <c r="LM839" s="6"/>
      <c r="LN839" s="6"/>
      <c r="LS839" s="6"/>
      <c r="LX839" s="8"/>
      <c r="LY839" s="8"/>
      <c r="LZ839" s="8"/>
      <c r="MD839" s="6"/>
      <c r="ME839" s="6"/>
      <c r="MJ839" s="6"/>
      <c r="MN839" s="6"/>
      <c r="MO839" s="6"/>
      <c r="MT839" s="6"/>
      <c r="MY839" s="8"/>
      <c r="MZ839" s="8"/>
      <c r="NA839" s="8"/>
      <c r="NE839" s="6"/>
      <c r="NF839" s="6"/>
      <c r="NK839" s="6"/>
      <c r="NO839" s="6"/>
      <c r="NP839" s="6"/>
      <c r="NU839" s="6"/>
      <c r="NZ839" s="8"/>
      <c r="OA839" s="8"/>
      <c r="OB839" s="8"/>
      <c r="OF839" s="6"/>
      <c r="OG839" s="6"/>
      <c r="OL839" s="6"/>
      <c r="OP839" s="6"/>
      <c r="OQ839" s="6"/>
      <c r="OV839" s="6"/>
      <c r="QB839" s="8"/>
      <c r="QC839" s="8"/>
      <c r="QD839" s="8"/>
      <c r="QH839" s="6"/>
      <c r="QI839" s="6"/>
      <c r="QN839" s="6"/>
      <c r="QR839" s="6"/>
      <c r="QS839" s="6"/>
      <c r="QX839" s="6"/>
      <c r="RC839" s="8"/>
      <c r="RD839" s="8"/>
      <c r="RE839" s="8"/>
      <c r="RI839" s="6"/>
      <c r="RJ839" s="6"/>
      <c r="RO839" s="6"/>
      <c r="RS839" s="6"/>
      <c r="RT839" s="6"/>
      <c r="RY839" s="6"/>
    </row>
    <row r="840" spans="12:520" x14ac:dyDescent="0.3">
      <c r="AQ840" s="5"/>
      <c r="AR840" s="5"/>
      <c r="AS840" s="6"/>
    </row>
    <row r="841" spans="12:520" x14ac:dyDescent="0.3">
      <c r="AQ841" s="5"/>
      <c r="AR841" s="5"/>
      <c r="AS841" s="6"/>
    </row>
    <row r="842" spans="12:520" x14ac:dyDescent="0.3">
      <c r="AQ842" s="5"/>
      <c r="AR842" s="5"/>
      <c r="AS842" s="6"/>
    </row>
    <row r="843" spans="12:520" x14ac:dyDescent="0.3">
      <c r="AM843" s="8"/>
      <c r="AN843" s="8"/>
      <c r="AO843" s="8"/>
      <c r="AQ843" s="5"/>
      <c r="AR843" s="5"/>
      <c r="AS843" s="6"/>
    </row>
    <row r="860" spans="18:520" x14ac:dyDescent="0.3">
      <c r="R860" s="6"/>
      <c r="S860" s="7"/>
      <c r="T860" s="7"/>
      <c r="Z860" s="6"/>
      <c r="AA860" s="7"/>
      <c r="AG860" s="6"/>
      <c r="AX860" s="6"/>
      <c r="BB860" s="6"/>
      <c r="BC860" s="7"/>
      <c r="BH860" s="6"/>
      <c r="BS860" s="6"/>
      <c r="BT860" s="7"/>
      <c r="BY860" s="6"/>
      <c r="CC860" s="6"/>
      <c r="CD860" s="7"/>
      <c r="CI860" s="6"/>
      <c r="CT860" s="6"/>
      <c r="CU860" s="7"/>
      <c r="CZ860" s="6"/>
      <c r="DD860" s="6"/>
      <c r="DE860" s="7"/>
      <c r="DJ860" s="6"/>
      <c r="DU860" s="6"/>
      <c r="DV860" s="7"/>
      <c r="EA860" s="6"/>
      <c r="EE860" s="6"/>
      <c r="EF860" s="7"/>
      <c r="EK860" s="6"/>
      <c r="EV860" s="6"/>
      <c r="EW860" s="7"/>
      <c r="FB860" s="6"/>
      <c r="FF860" s="6"/>
      <c r="FG860" s="7"/>
      <c r="FL860" s="6"/>
      <c r="FW860" s="6"/>
      <c r="FX860" s="7"/>
      <c r="GC860" s="6"/>
      <c r="GG860" s="6"/>
      <c r="GH860" s="7"/>
      <c r="GM860" s="6"/>
      <c r="GX860" s="6"/>
      <c r="GY860" s="7"/>
      <c r="HD860" s="6"/>
      <c r="HH860" s="6"/>
      <c r="HI860" s="7"/>
      <c r="HN860" s="6"/>
      <c r="HY860" s="6"/>
      <c r="HZ860" s="7"/>
      <c r="IE860" s="6"/>
      <c r="II860" s="6"/>
      <c r="IJ860" s="7"/>
      <c r="IO860" s="6"/>
      <c r="IZ860" s="6"/>
      <c r="JA860" s="7"/>
      <c r="JF860" s="6"/>
      <c r="JJ860" s="6"/>
      <c r="JK860" s="7"/>
      <c r="JP860" s="6"/>
      <c r="KA860" s="6"/>
      <c r="KB860" s="7"/>
      <c r="KG860" s="6"/>
      <c r="KK860" s="6"/>
      <c r="KL860" s="7"/>
      <c r="KQ860" s="6"/>
      <c r="LB860" s="6"/>
      <c r="LC860" s="7"/>
      <c r="LH860" s="6"/>
      <c r="LL860" s="6"/>
      <c r="LM860" s="7"/>
      <c r="LR860" s="6"/>
      <c r="MC860" s="6"/>
      <c r="MD860" s="7"/>
      <c r="MI860" s="6"/>
      <c r="MM860" s="6"/>
      <c r="MN860" s="7"/>
      <c r="MS860" s="6"/>
      <c r="ND860" s="6"/>
      <c r="NE860" s="7"/>
      <c r="NJ860" s="6"/>
      <c r="NN860" s="6"/>
      <c r="NO860" s="7"/>
      <c r="NT860" s="6"/>
      <c r="OE860" s="6"/>
      <c r="OF860" s="7"/>
      <c r="OK860" s="6"/>
      <c r="OO860" s="6"/>
      <c r="OP860" s="7"/>
      <c r="OU860" s="6"/>
      <c r="PF860" s="6"/>
      <c r="PG860" s="7"/>
      <c r="PL860" s="6"/>
      <c r="PP860" s="6"/>
      <c r="PQ860" s="7"/>
      <c r="PV860" s="6"/>
      <c r="QG860" s="6"/>
      <c r="QH860" s="7"/>
      <c r="QM860" s="6"/>
      <c r="QQ860" s="6"/>
      <c r="QR860" s="7"/>
      <c r="QW860" s="6"/>
      <c r="RH860" s="6"/>
      <c r="RI860" s="7"/>
      <c r="RN860" s="6"/>
      <c r="RR860" s="6"/>
      <c r="RS860" s="7"/>
      <c r="RX860" s="6"/>
      <c r="SI860" s="6"/>
      <c r="SJ860" s="7"/>
      <c r="SO860" s="6"/>
      <c r="SS860" s="6"/>
      <c r="ST860" s="7"/>
      <c r="SY860" s="6"/>
    </row>
    <row r="861" spans="18:520" x14ac:dyDescent="0.3">
      <c r="S861" s="6"/>
      <c r="T861" s="6"/>
      <c r="U861" s="6"/>
      <c r="W861" s="6"/>
      <c r="AA861" s="6"/>
      <c r="AB861" s="6"/>
      <c r="AH861" s="6"/>
      <c r="AT861" s="6"/>
      <c r="AY861" s="6"/>
      <c r="BC861" s="6"/>
      <c r="BD861" s="6"/>
      <c r="BI861" s="6"/>
      <c r="BT861" s="6"/>
      <c r="BU861" s="6"/>
      <c r="BZ861" s="6"/>
      <c r="CD861" s="6"/>
      <c r="CE861" s="6"/>
      <c r="CJ861" s="6"/>
      <c r="CU861" s="6"/>
      <c r="CV861" s="6"/>
      <c r="DA861" s="6"/>
      <c r="DE861" s="6"/>
      <c r="DF861" s="6"/>
      <c r="DK861" s="6"/>
      <c r="DV861" s="6"/>
      <c r="DW861" s="6"/>
      <c r="EB861" s="6"/>
      <c r="EF861" s="6"/>
      <c r="EG861" s="6"/>
      <c r="EL861" s="6"/>
      <c r="EQ861" s="8"/>
      <c r="ER861" s="8"/>
      <c r="ES861" s="8"/>
      <c r="EW861" s="6"/>
      <c r="EX861" s="6"/>
      <c r="FC861" s="6"/>
      <c r="FG861" s="6"/>
      <c r="FH861" s="6"/>
      <c r="FM861" s="6"/>
      <c r="FX861" s="6"/>
      <c r="FY861" s="6"/>
      <c r="GD861" s="6"/>
      <c r="GH861" s="6"/>
      <c r="GI861" s="6"/>
      <c r="GN861" s="6"/>
      <c r="GY861" s="6"/>
      <c r="GZ861" s="6"/>
      <c r="HE861" s="6"/>
      <c r="HI861" s="6"/>
      <c r="HJ861" s="6"/>
      <c r="HO861" s="6"/>
      <c r="HZ861" s="6"/>
      <c r="IA861" s="6"/>
      <c r="IF861" s="6"/>
      <c r="IJ861" s="6"/>
      <c r="IK861" s="6"/>
      <c r="IP861" s="6"/>
      <c r="JA861" s="6"/>
      <c r="JB861" s="6"/>
      <c r="JG861" s="6"/>
      <c r="JK861" s="6"/>
      <c r="JL861" s="6"/>
      <c r="JQ861" s="6"/>
      <c r="KB861" s="6"/>
      <c r="KC861" s="6"/>
      <c r="KH861" s="6"/>
      <c r="KL861" s="6"/>
      <c r="KM861" s="6"/>
      <c r="KR861" s="6"/>
      <c r="LC861" s="6"/>
      <c r="LD861" s="6"/>
      <c r="LI861" s="6"/>
      <c r="LM861" s="6"/>
      <c r="LN861" s="6"/>
      <c r="LS861" s="6"/>
      <c r="MD861" s="6"/>
      <c r="ME861" s="6"/>
      <c r="MJ861" s="6"/>
      <c r="MN861" s="6"/>
      <c r="MO861" s="6"/>
      <c r="MT861" s="6"/>
      <c r="NE861" s="6"/>
      <c r="NF861" s="6"/>
      <c r="NK861" s="6"/>
      <c r="NO861" s="6"/>
      <c r="NP861" s="6"/>
      <c r="NU861" s="6"/>
      <c r="OF861" s="6"/>
      <c r="OG861" s="6"/>
      <c r="OL861" s="6"/>
      <c r="OP861" s="6"/>
      <c r="OQ861" s="6"/>
      <c r="OV861" s="6"/>
      <c r="PG861" s="6"/>
      <c r="PH861" s="6"/>
      <c r="PM861" s="6"/>
      <c r="PQ861" s="6"/>
      <c r="PR861" s="6"/>
      <c r="PW861" s="6"/>
      <c r="QH861" s="6"/>
      <c r="QI861" s="6"/>
      <c r="QN861" s="6"/>
      <c r="QR861" s="6"/>
      <c r="QS861" s="6"/>
      <c r="QX861" s="6"/>
      <c r="RI861" s="6"/>
      <c r="RJ861" s="6"/>
      <c r="RO861" s="6"/>
      <c r="RS861" s="6"/>
      <c r="RT861" s="6"/>
      <c r="RY861" s="6"/>
      <c r="SJ861" s="6"/>
      <c r="SK861" s="6"/>
      <c r="SP861" s="6"/>
      <c r="ST861" s="6"/>
      <c r="SU861" s="6"/>
      <c r="SZ861" s="6"/>
    </row>
    <row r="862" spans="18:520" x14ac:dyDescent="0.3">
      <c r="S862" s="6"/>
      <c r="T862" s="6"/>
      <c r="U862" s="6"/>
      <c r="W862" s="6"/>
      <c r="AA862" s="6"/>
      <c r="AB862" s="6"/>
      <c r="AH862" s="6"/>
      <c r="AT862" s="6"/>
      <c r="AY862" s="6"/>
      <c r="BC862" s="6"/>
      <c r="BD862" s="6"/>
      <c r="BI862" s="6"/>
      <c r="BT862" s="6"/>
      <c r="BU862" s="6"/>
      <c r="BZ862" s="6"/>
      <c r="CD862" s="6"/>
      <c r="CE862" s="6"/>
      <c r="CJ862" s="6"/>
      <c r="CU862" s="6"/>
      <c r="CV862" s="6"/>
      <c r="DA862" s="6"/>
      <c r="DE862" s="6"/>
      <c r="DF862" s="6"/>
      <c r="DK862" s="6"/>
      <c r="DV862" s="6"/>
      <c r="DW862" s="6"/>
      <c r="EB862" s="6"/>
      <c r="EF862" s="6"/>
      <c r="EG862" s="6"/>
      <c r="EL862" s="6"/>
      <c r="FX862" s="6"/>
      <c r="FY862" s="6"/>
      <c r="GD862" s="6"/>
      <c r="GH862" s="6"/>
      <c r="GI862" s="6"/>
      <c r="GN862" s="6"/>
      <c r="GY862" s="6"/>
      <c r="GZ862" s="6"/>
      <c r="HE862" s="6"/>
      <c r="HI862" s="6"/>
      <c r="HJ862" s="6"/>
      <c r="HO862" s="6"/>
      <c r="HZ862" s="6"/>
      <c r="IA862" s="6"/>
      <c r="IF862" s="6"/>
      <c r="IJ862" s="6"/>
      <c r="IK862" s="6"/>
      <c r="IP862" s="6"/>
      <c r="JA862" s="6"/>
      <c r="JB862" s="6"/>
      <c r="JG862" s="6"/>
      <c r="JK862" s="6"/>
      <c r="JL862" s="6"/>
      <c r="JQ862" s="6"/>
      <c r="KB862" s="6"/>
      <c r="KC862" s="6"/>
      <c r="KH862" s="6"/>
      <c r="KL862" s="6"/>
      <c r="KM862" s="6"/>
      <c r="KR862" s="6"/>
      <c r="LC862" s="6"/>
      <c r="LD862" s="6"/>
      <c r="LI862" s="6"/>
      <c r="LM862" s="6"/>
      <c r="LN862" s="6"/>
      <c r="LS862" s="6"/>
      <c r="MD862" s="6"/>
      <c r="ME862" s="6"/>
      <c r="MJ862" s="6"/>
      <c r="MN862" s="6"/>
      <c r="MO862" s="6"/>
      <c r="MT862" s="6"/>
      <c r="NE862" s="6"/>
      <c r="NF862" s="6"/>
      <c r="NK862" s="6"/>
      <c r="NO862" s="6"/>
      <c r="NP862" s="6"/>
      <c r="NU862" s="6"/>
      <c r="OF862" s="6"/>
      <c r="OG862" s="6"/>
      <c r="OL862" s="6"/>
      <c r="OP862" s="6"/>
      <c r="OQ862" s="6"/>
      <c r="OV862" s="6"/>
      <c r="PG862" s="6"/>
      <c r="PH862" s="6"/>
      <c r="PM862" s="6"/>
      <c r="PQ862" s="6"/>
      <c r="PR862" s="6"/>
      <c r="PW862" s="6"/>
      <c r="QH862" s="6"/>
      <c r="QI862" s="6"/>
      <c r="QN862" s="6"/>
      <c r="QR862" s="6"/>
      <c r="QS862" s="6"/>
      <c r="QX862" s="6"/>
      <c r="RI862" s="6"/>
      <c r="RJ862" s="6"/>
      <c r="RO862" s="6"/>
      <c r="RS862" s="6"/>
      <c r="RT862" s="6"/>
      <c r="RY862" s="6"/>
      <c r="SJ862" s="6"/>
      <c r="SK862" s="6"/>
      <c r="SP862" s="6"/>
      <c r="ST862" s="6"/>
      <c r="SU862" s="6"/>
      <c r="SZ862" s="6"/>
    </row>
    <row r="863" spans="18:520" x14ac:dyDescent="0.3">
      <c r="S863" s="6"/>
      <c r="T863" s="6"/>
      <c r="U863" s="6"/>
      <c r="W863" s="6"/>
      <c r="AA863" s="6"/>
      <c r="AB863" s="6"/>
      <c r="AH863" s="6"/>
      <c r="AT863" s="6"/>
      <c r="AY863" s="6"/>
      <c r="BC863" s="6"/>
      <c r="BD863" s="6"/>
      <c r="BI863" s="6"/>
      <c r="BT863" s="6"/>
      <c r="BU863" s="6"/>
      <c r="BZ863" s="6"/>
      <c r="CD863" s="6"/>
      <c r="CE863" s="6"/>
      <c r="CJ863" s="6"/>
      <c r="CU863" s="6"/>
      <c r="CV863" s="6"/>
      <c r="DA863" s="6"/>
      <c r="DE863" s="6"/>
      <c r="DF863" s="6"/>
      <c r="DK863" s="6"/>
      <c r="DV863" s="6"/>
      <c r="DW863" s="6"/>
      <c r="EB863" s="6"/>
      <c r="EF863" s="6"/>
      <c r="EG863" s="6"/>
      <c r="EL863" s="6"/>
      <c r="FR863" s="8"/>
      <c r="FS863" s="8"/>
      <c r="FT863" s="8"/>
      <c r="FX863" s="6"/>
      <c r="FY863" s="6"/>
      <c r="GD863" s="6"/>
      <c r="GH863" s="6"/>
      <c r="GI863" s="6"/>
      <c r="GN863" s="6"/>
      <c r="GY863" s="6"/>
      <c r="GZ863" s="6"/>
      <c r="HE863" s="6"/>
      <c r="HI863" s="6"/>
      <c r="HJ863" s="6"/>
      <c r="HO863" s="6"/>
      <c r="HZ863" s="6"/>
      <c r="IA863" s="6"/>
      <c r="IF863" s="6"/>
      <c r="IJ863" s="6"/>
      <c r="IK863" s="6"/>
      <c r="IP863" s="6"/>
      <c r="JA863" s="6"/>
      <c r="JB863" s="6"/>
      <c r="JG863" s="6"/>
      <c r="JK863" s="6"/>
      <c r="JL863" s="6"/>
      <c r="JQ863" s="6"/>
      <c r="KB863" s="6"/>
      <c r="KC863" s="6"/>
      <c r="KH863" s="6"/>
      <c r="KL863" s="6"/>
      <c r="KM863" s="6"/>
      <c r="KR863" s="6"/>
      <c r="LC863" s="6"/>
      <c r="LD863" s="6"/>
      <c r="LI863" s="6"/>
      <c r="LM863" s="6"/>
      <c r="LN863" s="6"/>
      <c r="LS863" s="6"/>
      <c r="MD863" s="6"/>
      <c r="ME863" s="6"/>
      <c r="MJ863" s="6"/>
      <c r="MN863" s="6"/>
      <c r="MO863" s="6"/>
      <c r="MT863" s="6"/>
      <c r="NE863" s="6"/>
      <c r="NF863" s="6"/>
      <c r="NK863" s="6"/>
      <c r="NO863" s="6"/>
      <c r="NP863" s="6"/>
      <c r="NU863" s="6"/>
      <c r="OF863" s="6"/>
      <c r="OG863" s="6"/>
      <c r="OL863" s="6"/>
      <c r="OP863" s="6"/>
      <c r="OQ863" s="6"/>
      <c r="OV863" s="6"/>
      <c r="PG863" s="6"/>
      <c r="PH863" s="6"/>
      <c r="PM863" s="6"/>
      <c r="PQ863" s="6"/>
      <c r="PR863" s="6"/>
      <c r="PW863" s="6"/>
      <c r="QH863" s="6"/>
      <c r="QI863" s="6"/>
      <c r="QN863" s="6"/>
      <c r="QR863" s="6"/>
      <c r="QS863" s="6"/>
      <c r="QX863" s="6"/>
      <c r="RI863" s="6"/>
      <c r="RJ863" s="6"/>
      <c r="RO863" s="6"/>
      <c r="RS863" s="6"/>
      <c r="RT863" s="6"/>
      <c r="RY863" s="6"/>
      <c r="SJ863" s="6"/>
      <c r="SK863" s="6"/>
      <c r="SP863" s="6"/>
      <c r="ST863" s="6"/>
      <c r="SU863" s="6"/>
      <c r="SZ863" s="6"/>
    </row>
    <row r="864" spans="18:520" x14ac:dyDescent="0.3">
      <c r="S864" s="6"/>
      <c r="T864" s="6"/>
      <c r="U864" s="6"/>
      <c r="W864" s="6"/>
      <c r="AA864" s="6"/>
      <c r="AB864" s="6"/>
      <c r="AH864" s="6"/>
      <c r="AR864" s="6"/>
      <c r="AS864" s="7"/>
      <c r="AT864" s="6"/>
      <c r="AY864" s="6"/>
      <c r="BC864" s="6"/>
      <c r="BD864" s="6"/>
      <c r="BI864" s="6"/>
      <c r="BT864" s="6"/>
      <c r="BU864" s="6"/>
      <c r="BZ864" s="6"/>
      <c r="CD864" s="6"/>
      <c r="CE864" s="6"/>
      <c r="CJ864" s="6"/>
      <c r="CU864" s="6"/>
      <c r="CV864" s="6"/>
      <c r="DA864" s="6"/>
      <c r="DE864" s="6"/>
      <c r="DF864" s="6"/>
      <c r="DK864" s="6"/>
      <c r="DV864" s="6"/>
      <c r="DW864" s="6"/>
      <c r="EB864" s="6"/>
      <c r="EF864" s="6"/>
      <c r="EG864" s="6"/>
      <c r="EL864" s="6"/>
      <c r="GY864" s="6"/>
      <c r="GZ864" s="6"/>
      <c r="HE864" s="6"/>
      <c r="HI864" s="6"/>
      <c r="HJ864" s="6"/>
      <c r="HO864" s="6"/>
      <c r="HZ864" s="6"/>
      <c r="IA864" s="6"/>
      <c r="IF864" s="6"/>
      <c r="IJ864" s="6"/>
      <c r="IK864" s="6"/>
      <c r="IP864" s="6"/>
      <c r="JA864" s="6"/>
      <c r="JB864" s="6"/>
      <c r="JG864" s="6"/>
      <c r="JK864" s="6"/>
      <c r="JL864" s="6"/>
      <c r="JQ864" s="6"/>
      <c r="KB864" s="6"/>
      <c r="KC864" s="6"/>
      <c r="KH864" s="6"/>
      <c r="KL864" s="6"/>
      <c r="KM864" s="6"/>
      <c r="KR864" s="6"/>
      <c r="LC864" s="6"/>
      <c r="LD864" s="6"/>
      <c r="LI864" s="6"/>
      <c r="LM864" s="6"/>
      <c r="LN864" s="6"/>
      <c r="LS864" s="6"/>
      <c r="MD864" s="6"/>
      <c r="ME864" s="6"/>
      <c r="MJ864" s="6"/>
      <c r="MN864" s="6"/>
      <c r="MO864" s="6"/>
      <c r="MT864" s="6"/>
      <c r="NE864" s="6"/>
      <c r="NF864" s="6"/>
      <c r="NK864" s="6"/>
      <c r="NO864" s="6"/>
      <c r="NP864" s="6"/>
      <c r="NU864" s="6"/>
      <c r="OF864" s="6"/>
      <c r="OG864" s="6"/>
      <c r="OL864" s="6"/>
      <c r="OP864" s="6"/>
      <c r="OQ864" s="6"/>
      <c r="OV864" s="6"/>
      <c r="PG864" s="6"/>
      <c r="PH864" s="6"/>
      <c r="PM864" s="6"/>
      <c r="PQ864" s="6"/>
      <c r="PR864" s="6"/>
      <c r="PW864" s="6"/>
      <c r="QH864" s="6"/>
      <c r="QI864" s="6"/>
      <c r="QN864" s="6"/>
      <c r="QR864" s="6"/>
      <c r="QS864" s="6"/>
      <c r="QX864" s="6"/>
      <c r="RI864" s="6"/>
      <c r="RJ864" s="6"/>
      <c r="RO864" s="6"/>
      <c r="RS864" s="6"/>
      <c r="RT864" s="6"/>
      <c r="RY864" s="6"/>
      <c r="SJ864" s="6"/>
      <c r="SK864" s="6"/>
      <c r="SP864" s="6"/>
      <c r="ST864" s="6"/>
      <c r="SU864" s="6"/>
      <c r="SZ864" s="6"/>
    </row>
    <row r="865" spans="12:520" x14ac:dyDescent="0.3">
      <c r="S865" s="6"/>
      <c r="T865" s="6"/>
      <c r="U865" s="6"/>
      <c r="W865" s="6"/>
      <c r="AA865" s="6"/>
      <c r="AB865" s="6"/>
      <c r="AH865" s="6"/>
      <c r="AS865" s="6"/>
      <c r="AT865" s="6"/>
      <c r="AY865" s="6"/>
      <c r="BC865" s="6"/>
      <c r="BD865" s="6"/>
      <c r="BI865" s="6"/>
      <c r="BT865" s="6"/>
      <c r="BU865" s="6"/>
      <c r="BZ865" s="6"/>
      <c r="CD865" s="6"/>
      <c r="CE865" s="6"/>
      <c r="CJ865" s="6"/>
      <c r="CU865" s="6"/>
      <c r="CV865" s="6"/>
      <c r="DA865" s="6"/>
      <c r="DE865" s="6"/>
      <c r="DF865" s="6"/>
      <c r="DK865" s="6"/>
      <c r="DV865" s="6"/>
      <c r="DW865" s="6"/>
      <c r="EB865" s="6"/>
      <c r="EF865" s="6"/>
      <c r="EG865" s="6"/>
      <c r="EL865" s="6"/>
      <c r="GY865" s="6"/>
      <c r="GZ865" s="6"/>
      <c r="HE865" s="6"/>
      <c r="HI865" s="6"/>
      <c r="HJ865" s="6"/>
      <c r="HO865" s="6"/>
      <c r="HZ865" s="6"/>
      <c r="IA865" s="6"/>
      <c r="IF865" s="6"/>
      <c r="IJ865" s="6"/>
      <c r="IK865" s="6"/>
      <c r="IP865" s="6"/>
      <c r="JA865" s="6"/>
      <c r="JB865" s="6"/>
      <c r="JG865" s="6"/>
      <c r="JK865" s="6"/>
      <c r="JL865" s="6"/>
      <c r="JQ865" s="6"/>
      <c r="KB865" s="6"/>
      <c r="KC865" s="6"/>
      <c r="KH865" s="6"/>
      <c r="KL865" s="6"/>
      <c r="KM865" s="6"/>
      <c r="KR865" s="6"/>
      <c r="LC865" s="6"/>
      <c r="LD865" s="6"/>
      <c r="LI865" s="6"/>
      <c r="LM865" s="6"/>
      <c r="LN865" s="6"/>
      <c r="LS865" s="6"/>
      <c r="MD865" s="6"/>
      <c r="ME865" s="6"/>
      <c r="MJ865" s="6"/>
      <c r="MN865" s="6"/>
      <c r="MO865" s="6"/>
      <c r="MT865" s="6"/>
      <c r="MY865" s="8"/>
      <c r="MZ865" s="8"/>
      <c r="NA865" s="8"/>
      <c r="NE865" s="6"/>
      <c r="NF865" s="6"/>
      <c r="NK865" s="6"/>
      <c r="NO865" s="6"/>
      <c r="NP865" s="6"/>
      <c r="NU865" s="6"/>
      <c r="OF865" s="6"/>
      <c r="OG865" s="6"/>
      <c r="OL865" s="6"/>
      <c r="OP865" s="6"/>
      <c r="OQ865" s="6"/>
      <c r="OV865" s="6"/>
      <c r="PG865" s="6"/>
      <c r="PH865" s="6"/>
      <c r="PM865" s="6"/>
      <c r="PQ865" s="6"/>
      <c r="PR865" s="6"/>
      <c r="PW865" s="6"/>
      <c r="QH865" s="6"/>
      <c r="QI865" s="6"/>
      <c r="QN865" s="6"/>
      <c r="QR865" s="6"/>
      <c r="QS865" s="6"/>
      <c r="QX865" s="6"/>
      <c r="RI865" s="6"/>
      <c r="RJ865" s="6"/>
      <c r="RO865" s="6"/>
      <c r="RS865" s="6"/>
      <c r="RT865" s="6"/>
      <c r="RY865" s="6"/>
      <c r="SJ865" s="6"/>
      <c r="SK865" s="6"/>
      <c r="SP865" s="6"/>
      <c r="ST865" s="6"/>
      <c r="SU865" s="6"/>
      <c r="SZ865" s="6"/>
    </row>
    <row r="866" spans="12:520" x14ac:dyDescent="0.3">
      <c r="S866" s="6"/>
      <c r="T866" s="6"/>
      <c r="U866" s="6"/>
      <c r="W866" s="6"/>
      <c r="AA866" s="6"/>
      <c r="AB866" s="6"/>
      <c r="AH866" s="6"/>
      <c r="AS866" s="6"/>
      <c r="AT866" s="6"/>
      <c r="AY866" s="6"/>
      <c r="BC866" s="6"/>
      <c r="BD866" s="6"/>
      <c r="BI866" s="6"/>
      <c r="BT866" s="6"/>
      <c r="BU866" s="6"/>
      <c r="BZ866" s="6"/>
      <c r="CD866" s="6"/>
      <c r="CE866" s="6"/>
      <c r="CJ866" s="6"/>
      <c r="CU866" s="6"/>
      <c r="CV866" s="6"/>
      <c r="DA866" s="6"/>
      <c r="DE866" s="6"/>
      <c r="DF866" s="6"/>
      <c r="DK866" s="6"/>
      <c r="DV866" s="6"/>
      <c r="DW866" s="6"/>
      <c r="EB866" s="6"/>
      <c r="EF866" s="6"/>
      <c r="EG866" s="6"/>
      <c r="EL866" s="6"/>
      <c r="GY866" s="6"/>
      <c r="GZ866" s="6"/>
      <c r="HE866" s="6"/>
      <c r="HI866" s="6"/>
      <c r="HJ866" s="6"/>
      <c r="HO866" s="6"/>
      <c r="HZ866" s="6"/>
      <c r="IA866" s="6"/>
      <c r="IF866" s="6"/>
      <c r="IJ866" s="6"/>
      <c r="IK866" s="6"/>
      <c r="IP866" s="6"/>
      <c r="JA866" s="6"/>
      <c r="JB866" s="6"/>
      <c r="JG866" s="6"/>
      <c r="JK866" s="6"/>
      <c r="JL866" s="6"/>
      <c r="JQ866" s="6"/>
      <c r="KB866" s="6"/>
      <c r="KC866" s="6"/>
      <c r="KH866" s="6"/>
      <c r="KL866" s="6"/>
      <c r="KM866" s="6"/>
      <c r="KR866" s="6"/>
      <c r="LC866" s="6"/>
      <c r="LD866" s="6"/>
      <c r="LI866" s="6"/>
      <c r="LM866" s="6"/>
      <c r="LN866" s="6"/>
      <c r="LS866" s="6"/>
      <c r="MD866" s="6"/>
      <c r="ME866" s="6"/>
      <c r="MJ866" s="6"/>
      <c r="MN866" s="6"/>
      <c r="MO866" s="6"/>
      <c r="MT866" s="6"/>
      <c r="OF866" s="6"/>
      <c r="OG866" s="6"/>
      <c r="OL866" s="6"/>
      <c r="OP866" s="6"/>
      <c r="OQ866" s="6"/>
      <c r="OV866" s="6"/>
      <c r="PG866" s="6"/>
      <c r="PH866" s="6"/>
      <c r="PM866" s="6"/>
      <c r="PQ866" s="6"/>
      <c r="PR866" s="6"/>
      <c r="PW866" s="6"/>
      <c r="QH866" s="6"/>
      <c r="QI866" s="6"/>
      <c r="QN866" s="6"/>
      <c r="QR866" s="6"/>
      <c r="QS866" s="6"/>
      <c r="QX866" s="6"/>
      <c r="RI866" s="6"/>
      <c r="RJ866" s="6"/>
      <c r="RO866" s="6"/>
      <c r="RS866" s="6"/>
      <c r="RT866" s="6"/>
      <c r="RY866" s="6"/>
      <c r="SJ866" s="6"/>
      <c r="SK866" s="6"/>
      <c r="SP866" s="6"/>
      <c r="ST866" s="6"/>
      <c r="SU866" s="6"/>
      <c r="SZ866" s="6"/>
    </row>
    <row r="867" spans="12:520" x14ac:dyDescent="0.3">
      <c r="S867" s="6"/>
      <c r="T867" s="6"/>
      <c r="U867" s="6"/>
      <c r="W867" s="6"/>
      <c r="AA867" s="6"/>
      <c r="AB867" s="6"/>
      <c r="AH867" s="6"/>
      <c r="AS867" s="6"/>
      <c r="AT867" s="6"/>
      <c r="AY867" s="6"/>
      <c r="BC867" s="6"/>
      <c r="BD867" s="6"/>
      <c r="BI867" s="6"/>
      <c r="BT867" s="6"/>
      <c r="BU867" s="6"/>
      <c r="BZ867" s="6"/>
      <c r="CD867" s="6"/>
      <c r="CE867" s="6"/>
      <c r="CJ867" s="6"/>
      <c r="CO867" s="8"/>
      <c r="CP867" s="8"/>
      <c r="CQ867" s="8"/>
      <c r="CU867" s="6"/>
      <c r="CV867" s="6"/>
      <c r="DA867" s="6"/>
      <c r="DE867" s="6"/>
      <c r="DF867" s="6"/>
      <c r="DK867" s="6"/>
      <c r="DV867" s="6"/>
      <c r="DW867" s="6"/>
      <c r="EB867" s="6"/>
      <c r="EF867" s="6"/>
      <c r="EG867" s="6"/>
      <c r="EL867" s="6"/>
      <c r="GY867" s="6"/>
      <c r="GZ867" s="6"/>
      <c r="HE867" s="6"/>
      <c r="HI867" s="6"/>
      <c r="HJ867" s="6"/>
      <c r="HO867" s="6"/>
      <c r="HZ867" s="6"/>
      <c r="IA867" s="6"/>
      <c r="IF867" s="6"/>
      <c r="IJ867" s="6"/>
      <c r="IK867" s="6"/>
      <c r="IP867" s="6"/>
      <c r="JA867" s="6"/>
      <c r="JB867" s="6"/>
      <c r="JG867" s="6"/>
      <c r="JK867" s="6"/>
      <c r="JL867" s="6"/>
      <c r="JQ867" s="6"/>
      <c r="KB867" s="6"/>
      <c r="KC867" s="6"/>
      <c r="KH867" s="6"/>
      <c r="KL867" s="6"/>
      <c r="KM867" s="6"/>
      <c r="KR867" s="6"/>
      <c r="LC867" s="6"/>
      <c r="LD867" s="6"/>
      <c r="LI867" s="6"/>
      <c r="LM867" s="6"/>
      <c r="LN867" s="6"/>
      <c r="LS867" s="6"/>
      <c r="MD867" s="6"/>
      <c r="ME867" s="6"/>
      <c r="MJ867" s="6"/>
      <c r="MN867" s="6"/>
      <c r="MO867" s="6"/>
      <c r="MT867" s="6"/>
      <c r="OF867" s="6"/>
      <c r="OG867" s="6"/>
      <c r="OL867" s="6"/>
      <c r="OP867" s="6"/>
      <c r="OQ867" s="6"/>
      <c r="OV867" s="6"/>
      <c r="PG867" s="6"/>
      <c r="PH867" s="6"/>
      <c r="PM867" s="6"/>
      <c r="PQ867" s="6"/>
      <c r="PR867" s="6"/>
      <c r="PW867" s="6"/>
      <c r="QH867" s="6"/>
      <c r="QI867" s="6"/>
      <c r="QN867" s="6"/>
      <c r="QR867" s="6"/>
      <c r="QS867" s="6"/>
      <c r="QX867" s="6"/>
      <c r="RI867" s="6"/>
      <c r="RJ867" s="6"/>
      <c r="RO867" s="6"/>
      <c r="RS867" s="6"/>
      <c r="RT867" s="6"/>
      <c r="RY867" s="6"/>
      <c r="SJ867" s="6"/>
      <c r="SK867" s="6"/>
      <c r="SP867" s="6"/>
      <c r="ST867" s="6"/>
      <c r="SU867" s="6"/>
      <c r="SZ867" s="6"/>
    </row>
    <row r="868" spans="12:520" x14ac:dyDescent="0.3">
      <c r="S868" s="6"/>
      <c r="T868" s="6"/>
      <c r="U868" s="6"/>
      <c r="W868" s="6"/>
      <c r="AA868" s="6"/>
      <c r="AB868" s="6"/>
      <c r="AH868" s="6"/>
      <c r="AS868" s="6"/>
      <c r="AT868" s="6"/>
      <c r="AY868" s="6"/>
      <c r="BC868" s="6"/>
      <c r="BD868" s="6"/>
      <c r="BI868" s="6"/>
      <c r="BT868" s="6"/>
      <c r="BU868" s="6"/>
      <c r="BZ868" s="6"/>
      <c r="CD868" s="6"/>
      <c r="CE868" s="6"/>
      <c r="CJ868" s="6"/>
      <c r="DV868" s="6"/>
      <c r="DW868" s="6"/>
      <c r="EB868" s="6"/>
      <c r="EF868" s="6"/>
      <c r="EG868" s="6"/>
      <c r="EL868" s="6"/>
      <c r="GY868" s="6"/>
      <c r="GZ868" s="6"/>
      <c r="HE868" s="6"/>
      <c r="HI868" s="6"/>
      <c r="HJ868" s="6"/>
      <c r="HO868" s="6"/>
      <c r="HZ868" s="6"/>
      <c r="IA868" s="6"/>
      <c r="IF868" s="6"/>
      <c r="IJ868" s="6"/>
      <c r="IK868" s="6"/>
      <c r="IP868" s="6"/>
      <c r="JA868" s="6"/>
      <c r="JB868" s="6"/>
      <c r="JG868" s="6"/>
      <c r="JK868" s="6"/>
      <c r="JL868" s="6"/>
      <c r="JQ868" s="6"/>
      <c r="KB868" s="6"/>
      <c r="KC868" s="6"/>
      <c r="KH868" s="6"/>
      <c r="KL868" s="6"/>
      <c r="KM868" s="6"/>
      <c r="KR868" s="6"/>
      <c r="LC868" s="6"/>
      <c r="LD868" s="6"/>
      <c r="LI868" s="6"/>
      <c r="LM868" s="6"/>
      <c r="LN868" s="6"/>
      <c r="LS868" s="6"/>
      <c r="MD868" s="6"/>
      <c r="ME868" s="6"/>
      <c r="MJ868" s="6"/>
      <c r="MN868" s="6"/>
      <c r="MO868" s="6"/>
      <c r="MT868" s="6"/>
      <c r="OF868" s="6"/>
      <c r="OG868" s="6"/>
      <c r="OL868" s="6"/>
      <c r="OP868" s="6"/>
      <c r="OQ868" s="6"/>
      <c r="OV868" s="6"/>
      <c r="PG868" s="6"/>
      <c r="PH868" s="6"/>
      <c r="PM868" s="6"/>
      <c r="PQ868" s="6"/>
      <c r="PR868" s="6"/>
      <c r="PW868" s="6"/>
      <c r="QH868" s="6"/>
      <c r="QI868" s="6"/>
      <c r="QN868" s="6"/>
      <c r="QR868" s="6"/>
      <c r="QS868" s="6"/>
      <c r="QX868" s="6"/>
      <c r="RI868" s="6"/>
      <c r="RJ868" s="6"/>
      <c r="RO868" s="6"/>
      <c r="RS868" s="6"/>
      <c r="RT868" s="6"/>
      <c r="RY868" s="6"/>
      <c r="SJ868" s="6"/>
      <c r="SK868" s="6"/>
      <c r="SP868" s="6"/>
      <c r="ST868" s="6"/>
      <c r="SU868" s="6"/>
      <c r="SZ868" s="6"/>
    </row>
    <row r="869" spans="12:520" x14ac:dyDescent="0.3">
      <c r="S869" s="6"/>
      <c r="T869" s="6"/>
      <c r="U869" s="6"/>
      <c r="W869" s="6"/>
      <c r="AA869" s="6"/>
      <c r="AB869" s="6"/>
      <c r="AH869" s="6"/>
      <c r="AS869" s="6"/>
      <c r="AT869" s="6"/>
      <c r="AY869" s="6"/>
      <c r="BC869" s="6"/>
      <c r="BD869" s="6"/>
      <c r="BI869" s="6"/>
      <c r="BT869" s="6"/>
      <c r="BU869" s="6"/>
      <c r="BZ869" s="6"/>
      <c r="CD869" s="6"/>
      <c r="CE869" s="6"/>
      <c r="CJ869" s="6"/>
      <c r="DV869" s="6"/>
      <c r="DW869" s="6"/>
      <c r="EB869" s="6"/>
      <c r="EF869" s="6"/>
      <c r="EG869" s="6"/>
      <c r="EL869" s="6"/>
      <c r="GY869" s="6"/>
      <c r="GZ869" s="6"/>
      <c r="HE869" s="6"/>
      <c r="HI869" s="6"/>
      <c r="HJ869" s="6"/>
      <c r="HO869" s="6"/>
      <c r="HT869" s="8"/>
      <c r="HU869" s="8"/>
      <c r="HV869" s="8"/>
      <c r="HZ869" s="6"/>
      <c r="IA869" s="6"/>
      <c r="IF869" s="6"/>
      <c r="IJ869" s="6"/>
      <c r="IK869" s="6"/>
      <c r="IP869" s="6"/>
      <c r="JA869" s="6"/>
      <c r="JB869" s="6"/>
      <c r="JG869" s="6"/>
      <c r="JK869" s="6"/>
      <c r="JL869" s="6"/>
      <c r="JQ869" s="6"/>
      <c r="KB869" s="6"/>
      <c r="KC869" s="6"/>
      <c r="KH869" s="6"/>
      <c r="KL869" s="6"/>
      <c r="KM869" s="6"/>
      <c r="KR869" s="6"/>
      <c r="LC869" s="6"/>
      <c r="LD869" s="6"/>
      <c r="LI869" s="6"/>
      <c r="LM869" s="6"/>
      <c r="LN869" s="6"/>
      <c r="LS869" s="6"/>
      <c r="MD869" s="6"/>
      <c r="ME869" s="6"/>
      <c r="MJ869" s="6"/>
      <c r="MN869" s="6"/>
      <c r="MO869" s="6"/>
      <c r="MT869" s="6"/>
      <c r="OF869" s="6"/>
      <c r="OG869" s="6"/>
      <c r="OL869" s="6"/>
      <c r="OP869" s="6"/>
      <c r="OQ869" s="6"/>
      <c r="OV869" s="6"/>
      <c r="PG869" s="6"/>
      <c r="PH869" s="6"/>
      <c r="PM869" s="6"/>
      <c r="PQ869" s="6"/>
      <c r="PR869" s="6"/>
      <c r="PW869" s="6"/>
      <c r="QH869" s="6"/>
      <c r="QI869" s="6"/>
      <c r="QN869" s="6"/>
      <c r="QR869" s="6"/>
      <c r="QS869" s="6"/>
      <c r="QX869" s="6"/>
      <c r="RI869" s="6"/>
      <c r="RJ869" s="6"/>
      <c r="RO869" s="6"/>
      <c r="RS869" s="6"/>
      <c r="RT869" s="6"/>
      <c r="RY869" s="6"/>
      <c r="SJ869" s="6"/>
      <c r="SK869" s="6"/>
      <c r="SP869" s="6"/>
      <c r="ST869" s="6"/>
      <c r="SU869" s="6"/>
      <c r="SZ869" s="6"/>
    </row>
    <row r="870" spans="12:520" x14ac:dyDescent="0.3">
      <c r="S870" s="6"/>
      <c r="T870" s="6"/>
      <c r="U870" s="6"/>
      <c r="W870" s="6"/>
      <c r="AA870" s="6"/>
      <c r="AB870" s="6"/>
      <c r="AH870" s="6"/>
      <c r="AS870" s="6"/>
      <c r="AT870" s="6"/>
      <c r="AY870" s="6"/>
      <c r="BC870" s="6"/>
      <c r="BD870" s="6"/>
      <c r="BI870" s="6"/>
      <c r="BT870" s="6"/>
      <c r="BU870" s="6"/>
      <c r="BZ870" s="6"/>
      <c r="CD870" s="6"/>
      <c r="CE870" s="6"/>
      <c r="CJ870" s="6"/>
      <c r="DV870" s="6"/>
      <c r="DW870" s="6"/>
      <c r="EB870" s="6"/>
      <c r="EF870" s="6"/>
      <c r="EG870" s="6"/>
      <c r="EL870" s="6"/>
      <c r="GY870" s="6"/>
      <c r="GZ870" s="6"/>
      <c r="HE870" s="6"/>
      <c r="HI870" s="6"/>
      <c r="HJ870" s="6"/>
      <c r="HO870" s="6"/>
      <c r="JA870" s="6"/>
      <c r="JB870" s="6"/>
      <c r="JG870" s="6"/>
      <c r="JK870" s="6"/>
      <c r="JL870" s="6"/>
      <c r="JQ870" s="6"/>
      <c r="KB870" s="6"/>
      <c r="KC870" s="6"/>
      <c r="KH870" s="6"/>
      <c r="KL870" s="6"/>
      <c r="KM870" s="6"/>
      <c r="KR870" s="6"/>
      <c r="LC870" s="6"/>
      <c r="LD870" s="6"/>
      <c r="LI870" s="6"/>
      <c r="LM870" s="6"/>
      <c r="LN870" s="6"/>
      <c r="LS870" s="6"/>
      <c r="MD870" s="6"/>
      <c r="ME870" s="6"/>
      <c r="MJ870" s="6"/>
      <c r="MN870" s="6"/>
      <c r="MO870" s="6"/>
      <c r="MT870" s="6"/>
      <c r="OF870" s="6"/>
      <c r="OG870" s="6"/>
      <c r="OL870" s="6"/>
      <c r="OP870" s="6"/>
      <c r="OQ870" s="6"/>
      <c r="OV870" s="6"/>
      <c r="PG870" s="6"/>
      <c r="PH870" s="6"/>
      <c r="PM870" s="6"/>
      <c r="PQ870" s="6"/>
      <c r="PR870" s="6"/>
      <c r="PW870" s="6"/>
      <c r="QH870" s="6"/>
      <c r="QI870" s="6"/>
      <c r="QN870" s="6"/>
      <c r="QR870" s="6"/>
      <c r="QS870" s="6"/>
      <c r="QX870" s="6"/>
      <c r="RI870" s="6"/>
      <c r="RJ870" s="6"/>
      <c r="RO870" s="6"/>
      <c r="RS870" s="6"/>
      <c r="RT870" s="6"/>
      <c r="RY870" s="6"/>
      <c r="SJ870" s="6"/>
      <c r="SK870" s="6"/>
      <c r="SP870" s="6"/>
      <c r="ST870" s="6"/>
      <c r="SU870" s="6"/>
      <c r="SZ870" s="6"/>
    </row>
    <row r="871" spans="12:520" x14ac:dyDescent="0.3">
      <c r="L871" s="8"/>
      <c r="M871" s="8"/>
      <c r="N871" s="8"/>
      <c r="S871" s="6"/>
      <c r="T871" s="6"/>
      <c r="U871" s="6"/>
      <c r="W871" s="6"/>
      <c r="AA871" s="6"/>
      <c r="AB871" s="6"/>
      <c r="AH871" s="6"/>
      <c r="AS871" s="6"/>
      <c r="AT871" s="6"/>
      <c r="AY871" s="6"/>
      <c r="BC871" s="6"/>
      <c r="BD871" s="6"/>
      <c r="BI871" s="6"/>
      <c r="BN871" s="8"/>
      <c r="BO871" s="8"/>
      <c r="BP871" s="8"/>
      <c r="BT871" s="6"/>
      <c r="BU871" s="6"/>
      <c r="BZ871" s="6"/>
      <c r="CD871" s="6"/>
      <c r="CE871" s="6"/>
      <c r="CJ871" s="6"/>
      <c r="DP871" s="8"/>
      <c r="DQ871" s="8"/>
      <c r="DR871" s="8"/>
      <c r="DV871" s="6"/>
      <c r="DW871" s="6"/>
      <c r="EB871" s="6"/>
      <c r="EF871" s="6"/>
      <c r="EG871" s="6"/>
      <c r="EL871" s="6"/>
      <c r="GS871" s="8"/>
      <c r="GT871" s="8"/>
      <c r="GU871" s="8"/>
      <c r="GY871" s="6"/>
      <c r="GZ871" s="6"/>
      <c r="HE871" s="6"/>
      <c r="HI871" s="6"/>
      <c r="HJ871" s="6"/>
      <c r="HO871" s="6"/>
      <c r="IU871" s="8"/>
      <c r="IV871" s="8"/>
      <c r="IW871" s="8"/>
      <c r="JA871" s="6"/>
      <c r="JB871" s="6"/>
      <c r="JG871" s="6"/>
      <c r="JK871" s="6"/>
      <c r="JL871" s="6"/>
      <c r="JQ871" s="6"/>
      <c r="JV871" s="8"/>
      <c r="JW871" s="8"/>
      <c r="JX871" s="8"/>
      <c r="KB871" s="6"/>
      <c r="KC871" s="6"/>
      <c r="KH871" s="6"/>
      <c r="KL871" s="6"/>
      <c r="KM871" s="6"/>
      <c r="KR871" s="6"/>
      <c r="KW871" s="8"/>
      <c r="KX871" s="8"/>
      <c r="KY871" s="8"/>
      <c r="LC871" s="6"/>
      <c r="LD871" s="6"/>
      <c r="LI871" s="6"/>
      <c r="LM871" s="6"/>
      <c r="LN871" s="6"/>
      <c r="LS871" s="6"/>
      <c r="LX871" s="8"/>
      <c r="LY871" s="8"/>
      <c r="LZ871" s="8"/>
      <c r="MD871" s="6"/>
      <c r="ME871" s="6"/>
      <c r="MJ871" s="6"/>
      <c r="MN871" s="6"/>
      <c r="MO871" s="6"/>
      <c r="MT871" s="6"/>
      <c r="NZ871" s="8"/>
      <c r="OA871" s="8"/>
      <c r="OB871" s="8"/>
      <c r="OF871" s="6"/>
      <c r="OG871" s="6"/>
      <c r="OL871" s="6"/>
      <c r="OP871" s="6"/>
      <c r="OQ871" s="6"/>
      <c r="OV871" s="6"/>
      <c r="PA871" s="8"/>
      <c r="PB871" s="8"/>
      <c r="PC871" s="8"/>
      <c r="PG871" s="6"/>
      <c r="PH871" s="6"/>
      <c r="PM871" s="6"/>
      <c r="PQ871" s="6"/>
      <c r="PR871" s="6"/>
      <c r="PW871" s="6"/>
      <c r="QB871" s="8"/>
      <c r="QC871" s="8"/>
      <c r="QD871" s="8"/>
      <c r="QH871" s="6"/>
      <c r="QI871" s="6"/>
      <c r="QN871" s="6"/>
      <c r="QR871" s="6"/>
      <c r="QS871" s="6"/>
      <c r="QX871" s="6"/>
      <c r="RC871" s="8"/>
      <c r="RD871" s="8"/>
      <c r="RE871" s="8"/>
      <c r="RI871" s="6"/>
      <c r="RJ871" s="6"/>
      <c r="RO871" s="6"/>
      <c r="RS871" s="6"/>
      <c r="RT871" s="6"/>
      <c r="RY871" s="6"/>
      <c r="SD871" s="8"/>
      <c r="SE871" s="8"/>
      <c r="SF871" s="8"/>
      <c r="SJ871" s="6"/>
      <c r="SK871" s="6"/>
      <c r="SP871" s="6"/>
      <c r="ST871" s="6"/>
      <c r="SU871" s="6"/>
      <c r="SZ871" s="6"/>
    </row>
    <row r="872" spans="12:520" x14ac:dyDescent="0.3">
      <c r="AS872" s="6"/>
    </row>
    <row r="873" spans="12:520" x14ac:dyDescent="0.3">
      <c r="R873" s="6"/>
      <c r="S873" s="7"/>
      <c r="T873" s="7"/>
      <c r="Z873" s="6"/>
      <c r="AA873" s="7"/>
      <c r="AG873" s="6"/>
      <c r="AS873" s="6"/>
      <c r="AX873" s="6"/>
      <c r="BB873" s="6"/>
      <c r="BC873" s="7"/>
      <c r="BH873" s="6"/>
      <c r="BS873" s="6"/>
      <c r="BT873" s="7"/>
      <c r="BY873" s="6"/>
      <c r="CC873" s="6"/>
      <c r="CD873" s="7"/>
      <c r="CI873" s="6"/>
      <c r="CT873" s="6"/>
      <c r="CU873" s="7"/>
      <c r="CZ873" s="6"/>
      <c r="DD873" s="6"/>
      <c r="DE873" s="7"/>
      <c r="DJ873" s="6"/>
      <c r="DU873" s="6"/>
      <c r="DV873" s="7"/>
      <c r="EA873" s="6"/>
      <c r="EE873" s="6"/>
      <c r="EF873" s="7"/>
      <c r="EK873" s="6"/>
      <c r="EV873" s="6"/>
      <c r="EW873" s="7"/>
      <c r="FB873" s="6"/>
      <c r="FF873" s="6"/>
      <c r="FG873" s="7"/>
      <c r="FL873" s="6"/>
      <c r="FW873" s="6"/>
      <c r="FX873" s="7"/>
      <c r="GC873" s="6"/>
      <c r="GG873" s="6"/>
      <c r="GH873" s="7"/>
      <c r="GM873" s="6"/>
      <c r="GX873" s="6"/>
      <c r="GY873" s="7"/>
      <c r="HD873" s="6"/>
      <c r="HH873" s="6"/>
      <c r="HI873" s="7"/>
      <c r="HN873" s="6"/>
      <c r="HY873" s="6"/>
      <c r="HZ873" s="7"/>
      <c r="IE873" s="6"/>
      <c r="II873" s="6"/>
      <c r="IJ873" s="7"/>
      <c r="IO873" s="6"/>
      <c r="IZ873" s="6"/>
      <c r="JA873" s="7"/>
      <c r="JF873" s="6"/>
      <c r="JJ873" s="6"/>
      <c r="JK873" s="7"/>
      <c r="JP873" s="6"/>
      <c r="KA873" s="6"/>
      <c r="KB873" s="7"/>
      <c r="KG873" s="6"/>
      <c r="KK873" s="6"/>
      <c r="KL873" s="7"/>
      <c r="KQ873" s="6"/>
      <c r="LB873" s="6"/>
      <c r="LC873" s="7"/>
      <c r="LH873" s="6"/>
      <c r="LL873" s="6"/>
      <c r="LM873" s="7"/>
      <c r="LR873" s="6"/>
      <c r="MC873" s="6"/>
      <c r="MD873" s="7"/>
      <c r="MI873" s="6"/>
      <c r="MM873" s="6"/>
      <c r="MN873" s="7"/>
      <c r="MS873" s="6"/>
      <c r="ND873" s="6"/>
      <c r="NE873" s="7"/>
      <c r="NJ873" s="6"/>
      <c r="NN873" s="6"/>
      <c r="NO873" s="7"/>
      <c r="NT873" s="6"/>
      <c r="OE873" s="6"/>
      <c r="OF873" s="7"/>
      <c r="OK873" s="6"/>
      <c r="OO873" s="6"/>
      <c r="OP873" s="7"/>
      <c r="OU873" s="6"/>
      <c r="PF873" s="6"/>
      <c r="PG873" s="7"/>
      <c r="PL873" s="6"/>
      <c r="PP873" s="6"/>
      <c r="PQ873" s="7"/>
      <c r="PV873" s="6"/>
      <c r="QG873" s="6"/>
      <c r="QH873" s="7"/>
      <c r="QM873" s="6"/>
      <c r="QQ873" s="6"/>
      <c r="QR873" s="7"/>
      <c r="QW873" s="6"/>
      <c r="RH873" s="6"/>
      <c r="RI873" s="7"/>
      <c r="RN873" s="6"/>
      <c r="RR873" s="6"/>
      <c r="RS873" s="7"/>
      <c r="RX873" s="6"/>
      <c r="SI873" s="6"/>
      <c r="SJ873" s="7"/>
      <c r="SO873" s="6"/>
      <c r="SS873" s="6"/>
      <c r="ST873" s="7"/>
      <c r="SY873" s="6"/>
    </row>
    <row r="874" spans="12:520" x14ac:dyDescent="0.3">
      <c r="O874" s="5"/>
      <c r="R874" s="5"/>
      <c r="S874" s="6"/>
      <c r="T874" s="6"/>
      <c r="U874" s="7"/>
      <c r="W874" s="6"/>
      <c r="X874" s="5"/>
      <c r="Z874" s="5"/>
      <c r="AA874" s="6"/>
      <c r="AB874" s="7"/>
      <c r="AG874" s="5"/>
      <c r="AH874" s="6"/>
      <c r="AS874" s="6"/>
      <c r="AT874" s="7"/>
      <c r="AW874" s="5"/>
      <c r="AY874" s="7"/>
      <c r="BC874" s="6"/>
      <c r="BD874" s="6"/>
      <c r="BI874" s="6"/>
      <c r="BT874" s="6"/>
      <c r="BU874" s="6"/>
      <c r="BZ874" s="6"/>
      <c r="CD874" s="6"/>
      <c r="CE874" s="6"/>
      <c r="CJ874" s="6"/>
      <c r="CU874" s="6"/>
      <c r="CV874" s="6"/>
      <c r="DA874" s="6"/>
      <c r="DE874" s="6"/>
      <c r="DF874" s="6"/>
      <c r="DK874" s="6"/>
      <c r="DV874" s="6"/>
      <c r="DW874" s="6"/>
      <c r="EB874" s="6"/>
      <c r="EF874" s="6"/>
      <c r="EG874" s="6"/>
      <c r="EL874" s="6"/>
      <c r="EQ874" s="8"/>
      <c r="ER874" s="8"/>
      <c r="ES874" s="8"/>
      <c r="EW874" s="6"/>
      <c r="EX874" s="6"/>
      <c r="FC874" s="6"/>
      <c r="FG874" s="6"/>
      <c r="FH874" s="6"/>
      <c r="FM874" s="6"/>
      <c r="FX874" s="6"/>
      <c r="FY874" s="6"/>
      <c r="GD874" s="6"/>
      <c r="GH874" s="6"/>
      <c r="GI874" s="6"/>
      <c r="GN874" s="6"/>
      <c r="GY874" s="6"/>
      <c r="GZ874" s="6"/>
      <c r="HE874" s="6"/>
      <c r="HI874" s="6"/>
      <c r="HJ874" s="6"/>
      <c r="HO874" s="6"/>
      <c r="HZ874" s="6"/>
      <c r="IA874" s="6"/>
      <c r="IF874" s="6"/>
      <c r="IJ874" s="6"/>
      <c r="IK874" s="6"/>
      <c r="IP874" s="6"/>
      <c r="JA874" s="6"/>
      <c r="JB874" s="6"/>
      <c r="JG874" s="6"/>
      <c r="JK874" s="6"/>
      <c r="JL874" s="6"/>
      <c r="JQ874" s="6"/>
      <c r="KB874" s="6"/>
      <c r="KC874" s="6"/>
      <c r="KH874" s="6"/>
      <c r="KL874" s="6"/>
      <c r="KM874" s="6"/>
      <c r="KR874" s="6"/>
      <c r="LC874" s="6"/>
      <c r="LD874" s="6"/>
      <c r="LI874" s="6"/>
      <c r="LM874" s="6"/>
      <c r="LN874" s="6"/>
      <c r="LS874" s="6"/>
      <c r="MD874" s="6"/>
      <c r="ME874" s="6"/>
      <c r="MJ874" s="6"/>
      <c r="MN874" s="6"/>
      <c r="MO874" s="6"/>
      <c r="MT874" s="6"/>
      <c r="NE874" s="6"/>
      <c r="NF874" s="6"/>
      <c r="NK874" s="6"/>
      <c r="NO874" s="6"/>
      <c r="NP874" s="6"/>
      <c r="NU874" s="6"/>
      <c r="OF874" s="6"/>
      <c r="OG874" s="6"/>
      <c r="OL874" s="6"/>
      <c r="OP874" s="6"/>
      <c r="OQ874" s="6"/>
      <c r="OV874" s="6"/>
      <c r="PG874" s="6"/>
      <c r="PH874" s="6"/>
      <c r="PM874" s="6"/>
      <c r="PQ874" s="6"/>
      <c r="PR874" s="6"/>
      <c r="PW874" s="6"/>
      <c r="QH874" s="6"/>
      <c r="QI874" s="6"/>
      <c r="QN874" s="6"/>
      <c r="QR874" s="6"/>
      <c r="QS874" s="6"/>
      <c r="QX874" s="6"/>
      <c r="RI874" s="6"/>
      <c r="RJ874" s="6"/>
      <c r="RO874" s="6"/>
      <c r="RS874" s="6"/>
      <c r="RT874" s="6"/>
      <c r="RY874" s="6"/>
      <c r="SJ874" s="6"/>
      <c r="SK874" s="6"/>
      <c r="SP874" s="6"/>
      <c r="ST874" s="6"/>
      <c r="SU874" s="6"/>
      <c r="SZ874" s="6"/>
    </row>
    <row r="875" spans="12:520" x14ac:dyDescent="0.3">
      <c r="O875" s="5"/>
      <c r="R875" s="5"/>
      <c r="S875" s="6"/>
      <c r="T875" s="6"/>
      <c r="U875" s="7"/>
      <c r="W875" s="6"/>
      <c r="X875" s="5"/>
      <c r="Z875" s="5"/>
      <c r="AA875" s="6"/>
      <c r="AB875" s="7"/>
      <c r="AG875" s="5"/>
      <c r="AH875" s="6"/>
      <c r="AM875" s="8"/>
      <c r="AN875" s="8"/>
      <c r="AO875" s="8"/>
      <c r="AS875" s="6"/>
      <c r="AT875" s="7"/>
      <c r="AW875" s="5"/>
      <c r="AY875" s="6"/>
      <c r="BC875" s="6"/>
      <c r="BD875" s="6"/>
      <c r="BI875" s="6"/>
      <c r="BT875" s="6"/>
      <c r="BU875" s="6"/>
      <c r="BZ875" s="6"/>
      <c r="CD875" s="6"/>
      <c r="CE875" s="6"/>
      <c r="CJ875" s="6"/>
      <c r="CU875" s="6"/>
      <c r="CV875" s="6"/>
      <c r="DA875" s="6"/>
      <c r="DE875" s="6"/>
      <c r="DF875" s="6"/>
      <c r="DK875" s="6"/>
      <c r="DV875" s="6"/>
      <c r="DW875" s="6"/>
      <c r="EB875" s="6"/>
      <c r="EF875" s="6"/>
      <c r="EG875" s="6"/>
      <c r="EL875" s="6"/>
      <c r="FX875" s="6"/>
      <c r="FY875" s="6"/>
      <c r="GD875" s="6"/>
      <c r="GH875" s="6"/>
      <c r="GI875" s="6"/>
      <c r="GN875" s="6"/>
      <c r="GY875" s="6"/>
      <c r="GZ875" s="6"/>
      <c r="HE875" s="6"/>
      <c r="HI875" s="6"/>
      <c r="HJ875" s="6"/>
      <c r="HO875" s="6"/>
      <c r="HZ875" s="6"/>
      <c r="IA875" s="6"/>
      <c r="IF875" s="6"/>
      <c r="IJ875" s="6"/>
      <c r="IK875" s="6"/>
      <c r="IP875" s="6"/>
      <c r="JA875" s="6"/>
      <c r="JB875" s="6"/>
      <c r="JG875" s="6"/>
      <c r="JK875" s="6"/>
      <c r="JL875" s="6"/>
      <c r="JQ875" s="6"/>
      <c r="KB875" s="6"/>
      <c r="KC875" s="6"/>
      <c r="KH875" s="6"/>
      <c r="KL875" s="6"/>
      <c r="KM875" s="6"/>
      <c r="KR875" s="6"/>
      <c r="LC875" s="6"/>
      <c r="LD875" s="6"/>
      <c r="LI875" s="6"/>
      <c r="LM875" s="6"/>
      <c r="LN875" s="6"/>
      <c r="LS875" s="6"/>
      <c r="MD875" s="6"/>
      <c r="ME875" s="6"/>
      <c r="MJ875" s="6"/>
      <c r="MN875" s="6"/>
      <c r="MO875" s="6"/>
      <c r="MT875" s="6"/>
      <c r="NE875" s="6"/>
      <c r="NF875" s="6"/>
      <c r="NK875" s="6"/>
      <c r="NO875" s="6"/>
      <c r="NP875" s="6"/>
      <c r="NU875" s="6"/>
      <c r="OF875" s="6"/>
      <c r="OG875" s="6"/>
      <c r="OL875" s="6"/>
      <c r="OP875" s="6"/>
      <c r="OQ875" s="6"/>
      <c r="OV875" s="6"/>
      <c r="PG875" s="6"/>
      <c r="PH875" s="6"/>
      <c r="PM875" s="6"/>
      <c r="PQ875" s="6"/>
      <c r="PR875" s="6"/>
      <c r="PW875" s="6"/>
      <c r="QH875" s="6"/>
      <c r="QI875" s="6"/>
      <c r="QN875" s="6"/>
      <c r="QR875" s="6"/>
      <c r="QS875" s="6"/>
      <c r="QX875" s="6"/>
      <c r="RI875" s="6"/>
      <c r="RJ875" s="6"/>
      <c r="RO875" s="6"/>
      <c r="RS875" s="6"/>
      <c r="RT875" s="6"/>
      <c r="RY875" s="6"/>
      <c r="SJ875" s="6"/>
      <c r="SK875" s="6"/>
      <c r="SP875" s="6"/>
      <c r="ST875" s="6"/>
      <c r="SU875" s="6"/>
      <c r="SZ875" s="6"/>
    </row>
    <row r="876" spans="12:520" x14ac:dyDescent="0.3">
      <c r="O876" s="5"/>
      <c r="R876" s="5"/>
      <c r="S876" s="6"/>
      <c r="T876" s="6"/>
      <c r="U876" s="7"/>
      <c r="W876" s="6"/>
      <c r="X876" s="5"/>
      <c r="Z876" s="5"/>
      <c r="AA876" s="6"/>
      <c r="AB876" s="7"/>
      <c r="AG876" s="5"/>
      <c r="AH876" s="6"/>
      <c r="AT876" s="7"/>
      <c r="AW876" s="5"/>
      <c r="AY876" s="6"/>
      <c r="BC876" s="6"/>
      <c r="BD876" s="6"/>
      <c r="BI876" s="6"/>
      <c r="BT876" s="6"/>
      <c r="BU876" s="6"/>
      <c r="BZ876" s="6"/>
      <c r="CD876" s="6"/>
      <c r="CE876" s="6"/>
      <c r="CJ876" s="6"/>
      <c r="CU876" s="6"/>
      <c r="CV876" s="6"/>
      <c r="DA876" s="6"/>
      <c r="DE876" s="6"/>
      <c r="DF876" s="6"/>
      <c r="DK876" s="6"/>
      <c r="DV876" s="6"/>
      <c r="DW876" s="6"/>
      <c r="EB876" s="6"/>
      <c r="EF876" s="6"/>
      <c r="EG876" s="6"/>
      <c r="EL876" s="6"/>
      <c r="FR876" s="8"/>
      <c r="FS876" s="8"/>
      <c r="FT876" s="8"/>
      <c r="FX876" s="6"/>
      <c r="FY876" s="6"/>
      <c r="GD876" s="6"/>
      <c r="GH876" s="6"/>
      <c r="GI876" s="6"/>
      <c r="GN876" s="6"/>
      <c r="GY876" s="6"/>
      <c r="GZ876" s="6"/>
      <c r="HE876" s="6"/>
      <c r="HI876" s="6"/>
      <c r="HJ876" s="6"/>
      <c r="HO876" s="6"/>
      <c r="HZ876" s="6"/>
      <c r="IA876" s="6"/>
      <c r="IF876" s="6"/>
      <c r="IJ876" s="6"/>
      <c r="IK876" s="6"/>
      <c r="IP876" s="6"/>
      <c r="JA876" s="6"/>
      <c r="JB876" s="6"/>
      <c r="JG876" s="6"/>
      <c r="JK876" s="6"/>
      <c r="JL876" s="6"/>
      <c r="JQ876" s="6"/>
      <c r="KB876" s="6"/>
      <c r="KC876" s="6"/>
      <c r="KH876" s="6"/>
      <c r="KL876" s="6"/>
      <c r="KM876" s="6"/>
      <c r="KR876" s="6"/>
      <c r="LC876" s="6"/>
      <c r="LD876" s="6"/>
      <c r="LI876" s="6"/>
      <c r="LM876" s="6"/>
      <c r="LN876" s="6"/>
      <c r="LS876" s="6"/>
      <c r="MD876" s="6"/>
      <c r="ME876" s="6"/>
      <c r="MJ876" s="6"/>
      <c r="MN876" s="6"/>
      <c r="MO876" s="6"/>
      <c r="MT876" s="6"/>
      <c r="NE876" s="6"/>
      <c r="NF876" s="6"/>
      <c r="NK876" s="6"/>
      <c r="NO876" s="6"/>
      <c r="NP876" s="6"/>
      <c r="NU876" s="6"/>
      <c r="OF876" s="6"/>
      <c r="OG876" s="6"/>
      <c r="OL876" s="6"/>
      <c r="OP876" s="6"/>
      <c r="OQ876" s="6"/>
      <c r="OV876" s="6"/>
      <c r="PG876" s="6"/>
      <c r="PH876" s="6"/>
      <c r="PM876" s="6"/>
      <c r="PQ876" s="6"/>
      <c r="PR876" s="6"/>
      <c r="PW876" s="6"/>
      <c r="QH876" s="6"/>
      <c r="QI876" s="6"/>
      <c r="QN876" s="6"/>
      <c r="QR876" s="6"/>
      <c r="QS876" s="6"/>
      <c r="QX876" s="6"/>
      <c r="RI876" s="6"/>
      <c r="RJ876" s="6"/>
      <c r="RO876" s="6"/>
      <c r="RS876" s="6"/>
      <c r="RT876" s="6"/>
      <c r="RY876" s="6"/>
      <c r="SJ876" s="6"/>
      <c r="SK876" s="6"/>
      <c r="SP876" s="6"/>
      <c r="ST876" s="6"/>
      <c r="SU876" s="6"/>
      <c r="SZ876" s="6"/>
    </row>
    <row r="877" spans="12:520" x14ac:dyDescent="0.3">
      <c r="O877" s="5"/>
      <c r="R877" s="5"/>
      <c r="S877" s="6"/>
      <c r="T877" s="6"/>
      <c r="U877" s="7"/>
      <c r="W877" s="6"/>
      <c r="X877" s="5"/>
      <c r="Z877" s="5"/>
      <c r="AA877" s="6"/>
      <c r="AB877" s="7"/>
      <c r="AG877" s="5"/>
      <c r="AH877" s="6"/>
      <c r="AR877" s="6"/>
      <c r="AS877" s="7"/>
      <c r="AT877" s="7"/>
      <c r="AW877" s="5"/>
      <c r="AY877" s="6"/>
      <c r="BC877" s="6"/>
      <c r="BD877" s="6"/>
      <c r="BI877" s="6"/>
      <c r="BT877" s="6"/>
      <c r="BU877" s="6"/>
      <c r="BZ877" s="6"/>
      <c r="CD877" s="6"/>
      <c r="CE877" s="6"/>
      <c r="CJ877" s="6"/>
      <c r="CU877" s="6"/>
      <c r="CV877" s="6"/>
      <c r="DA877" s="6"/>
      <c r="DE877" s="6"/>
      <c r="DF877" s="6"/>
      <c r="DK877" s="6"/>
      <c r="DV877" s="6"/>
      <c r="DW877" s="6"/>
      <c r="EB877" s="6"/>
      <c r="EF877" s="6"/>
      <c r="EG877" s="6"/>
      <c r="EL877" s="6"/>
      <c r="GY877" s="6"/>
      <c r="GZ877" s="6"/>
      <c r="HE877" s="6"/>
      <c r="HI877" s="6"/>
      <c r="HJ877" s="6"/>
      <c r="HO877" s="6"/>
      <c r="HZ877" s="6"/>
      <c r="IA877" s="6"/>
      <c r="IF877" s="6"/>
      <c r="IJ877" s="6"/>
      <c r="IK877" s="6"/>
      <c r="IP877" s="6"/>
      <c r="JA877" s="6"/>
      <c r="JB877" s="6"/>
      <c r="JG877" s="6"/>
      <c r="JK877" s="6"/>
      <c r="JL877" s="6"/>
      <c r="JQ877" s="6"/>
      <c r="KB877" s="6"/>
      <c r="KC877" s="6"/>
      <c r="KH877" s="6"/>
      <c r="KL877" s="6"/>
      <c r="KM877" s="6"/>
      <c r="KR877" s="6"/>
      <c r="LC877" s="6"/>
      <c r="LD877" s="6"/>
      <c r="LI877" s="6"/>
      <c r="LM877" s="6"/>
      <c r="LN877" s="6"/>
      <c r="LS877" s="6"/>
      <c r="MD877" s="6"/>
      <c r="ME877" s="6"/>
      <c r="MJ877" s="6"/>
      <c r="MN877" s="6"/>
      <c r="MO877" s="6"/>
      <c r="MT877" s="6"/>
      <c r="NE877" s="6"/>
      <c r="NF877" s="6"/>
      <c r="NK877" s="6"/>
      <c r="NO877" s="6"/>
      <c r="NP877" s="6"/>
      <c r="NU877" s="6"/>
      <c r="OF877" s="6"/>
      <c r="OG877" s="6"/>
      <c r="OL877" s="6"/>
      <c r="OP877" s="6"/>
      <c r="OQ877" s="6"/>
      <c r="OV877" s="6"/>
      <c r="PG877" s="6"/>
      <c r="PH877" s="6"/>
      <c r="PM877" s="6"/>
      <c r="PQ877" s="6"/>
      <c r="PR877" s="6"/>
      <c r="PW877" s="6"/>
      <c r="QH877" s="6"/>
      <c r="QI877" s="6"/>
      <c r="QN877" s="6"/>
      <c r="QR877" s="6"/>
      <c r="QS877" s="6"/>
      <c r="QX877" s="6"/>
      <c r="RI877" s="6"/>
      <c r="RJ877" s="6"/>
      <c r="RO877" s="6"/>
      <c r="RS877" s="6"/>
      <c r="RT877" s="6"/>
      <c r="RY877" s="6"/>
      <c r="SJ877" s="6"/>
      <c r="SK877" s="6"/>
      <c r="SP877" s="6"/>
      <c r="ST877" s="6"/>
      <c r="SU877" s="6"/>
      <c r="SZ877" s="6"/>
    </row>
    <row r="878" spans="12:520" x14ac:dyDescent="0.3">
      <c r="O878" s="5"/>
      <c r="R878" s="5"/>
      <c r="S878" s="6"/>
      <c r="T878" s="6"/>
      <c r="U878" s="7"/>
      <c r="W878" s="6"/>
      <c r="X878" s="5"/>
      <c r="Z878" s="5"/>
      <c r="AA878" s="6"/>
      <c r="AB878" s="7"/>
      <c r="AG878" s="5"/>
      <c r="AH878" s="6"/>
      <c r="AQ878" s="5"/>
      <c r="AR878" s="5"/>
      <c r="AS878" s="6"/>
      <c r="AT878" s="7"/>
      <c r="AW878" s="5"/>
      <c r="AY878" s="6"/>
      <c r="BC878" s="6"/>
      <c r="BD878" s="6"/>
      <c r="BI878" s="6"/>
      <c r="BT878" s="6"/>
      <c r="BU878" s="6"/>
      <c r="BZ878" s="6"/>
      <c r="CD878" s="6"/>
      <c r="CE878" s="6"/>
      <c r="CJ878" s="6"/>
      <c r="CU878" s="6"/>
      <c r="CV878" s="6"/>
      <c r="DA878" s="6"/>
      <c r="DE878" s="6"/>
      <c r="DF878" s="6"/>
      <c r="DK878" s="6"/>
      <c r="DV878" s="6"/>
      <c r="DW878" s="6"/>
      <c r="EB878" s="6"/>
      <c r="EF878" s="6"/>
      <c r="EG878" s="6"/>
      <c r="EL878" s="6"/>
      <c r="GY878" s="6"/>
      <c r="GZ878" s="6"/>
      <c r="HE878" s="6"/>
      <c r="HI878" s="6"/>
      <c r="HJ878" s="6"/>
      <c r="HO878" s="6"/>
      <c r="HZ878" s="6"/>
      <c r="IA878" s="6"/>
      <c r="IF878" s="6"/>
      <c r="IJ878" s="6"/>
      <c r="IK878" s="6"/>
      <c r="IP878" s="6"/>
      <c r="JA878" s="6"/>
      <c r="JB878" s="6"/>
      <c r="JG878" s="6"/>
      <c r="JK878" s="6"/>
      <c r="JL878" s="6"/>
      <c r="JQ878" s="6"/>
      <c r="KB878" s="6"/>
      <c r="KC878" s="6"/>
      <c r="KH878" s="6"/>
      <c r="KL878" s="6"/>
      <c r="KM878" s="6"/>
      <c r="KR878" s="6"/>
      <c r="LC878" s="6"/>
      <c r="LD878" s="6"/>
      <c r="LI878" s="6"/>
      <c r="LM878" s="6"/>
      <c r="LN878" s="6"/>
      <c r="LS878" s="6"/>
      <c r="MD878" s="6"/>
      <c r="ME878" s="6"/>
      <c r="MJ878" s="6"/>
      <c r="MN878" s="6"/>
      <c r="MO878" s="6"/>
      <c r="MT878" s="6"/>
      <c r="MY878" s="8"/>
      <c r="MZ878" s="8"/>
      <c r="NA878" s="8"/>
      <c r="NE878" s="6"/>
      <c r="NF878" s="6"/>
      <c r="NK878" s="6"/>
      <c r="NO878" s="6"/>
      <c r="NP878" s="6"/>
      <c r="NU878" s="6"/>
      <c r="OF878" s="6"/>
      <c r="OG878" s="6"/>
      <c r="OL878" s="6"/>
      <c r="OP878" s="6"/>
      <c r="OQ878" s="6"/>
      <c r="OV878" s="6"/>
      <c r="PG878" s="6"/>
      <c r="PH878" s="6"/>
      <c r="PM878" s="6"/>
      <c r="PQ878" s="6"/>
      <c r="PR878" s="6"/>
      <c r="PW878" s="6"/>
      <c r="QH878" s="6"/>
      <c r="QI878" s="6"/>
      <c r="QN878" s="6"/>
      <c r="QR878" s="6"/>
      <c r="QS878" s="6"/>
      <c r="QX878" s="6"/>
      <c r="RI878" s="6"/>
      <c r="RJ878" s="6"/>
      <c r="RO878" s="6"/>
      <c r="RS878" s="6"/>
      <c r="RT878" s="6"/>
      <c r="RY878" s="6"/>
      <c r="SJ878" s="6"/>
      <c r="SK878" s="6"/>
      <c r="SP878" s="6"/>
      <c r="ST878" s="6"/>
      <c r="SU878" s="6"/>
      <c r="SZ878" s="6"/>
    </row>
    <row r="879" spans="12:520" x14ac:dyDescent="0.3">
      <c r="O879" s="5"/>
      <c r="R879" s="5"/>
      <c r="S879" s="6"/>
      <c r="T879" s="6"/>
      <c r="U879" s="7"/>
      <c r="W879" s="6"/>
      <c r="X879" s="5"/>
      <c r="Z879" s="5"/>
      <c r="AA879" s="6"/>
      <c r="AB879" s="7"/>
      <c r="AG879" s="5"/>
      <c r="AH879" s="6"/>
      <c r="AQ879" s="5"/>
      <c r="AR879" s="5"/>
      <c r="AS879" s="6"/>
      <c r="AT879" s="7"/>
      <c r="AW879" s="5"/>
      <c r="AY879" s="6"/>
      <c r="BC879" s="6"/>
      <c r="BD879" s="6"/>
      <c r="BI879" s="6"/>
      <c r="BT879" s="6"/>
      <c r="BU879" s="6"/>
      <c r="BZ879" s="6"/>
      <c r="CD879" s="6"/>
      <c r="CE879" s="6"/>
      <c r="CJ879" s="6"/>
      <c r="CU879" s="6"/>
      <c r="CV879" s="6"/>
      <c r="DA879" s="6"/>
      <c r="DE879" s="6"/>
      <c r="DF879" s="6"/>
      <c r="DK879" s="6"/>
      <c r="DV879" s="6"/>
      <c r="DW879" s="6"/>
      <c r="EB879" s="6"/>
      <c r="EF879" s="6"/>
      <c r="EG879" s="6"/>
      <c r="EL879" s="6"/>
      <c r="GY879" s="6"/>
      <c r="GZ879" s="6"/>
      <c r="HE879" s="6"/>
      <c r="HI879" s="6"/>
      <c r="HJ879" s="6"/>
      <c r="HO879" s="6"/>
      <c r="HZ879" s="6"/>
      <c r="IA879" s="6"/>
      <c r="IF879" s="6"/>
      <c r="IJ879" s="6"/>
      <c r="IK879" s="6"/>
      <c r="IP879" s="6"/>
      <c r="JA879" s="6"/>
      <c r="JB879" s="6"/>
      <c r="JG879" s="6"/>
      <c r="JK879" s="6"/>
      <c r="JL879" s="6"/>
      <c r="JQ879" s="6"/>
      <c r="KB879" s="6"/>
      <c r="KC879" s="6"/>
      <c r="KH879" s="6"/>
      <c r="KL879" s="6"/>
      <c r="KM879" s="6"/>
      <c r="KR879" s="6"/>
      <c r="LC879" s="6"/>
      <c r="LD879" s="6"/>
      <c r="LI879" s="6"/>
      <c r="LM879" s="6"/>
      <c r="LN879" s="6"/>
      <c r="LS879" s="6"/>
      <c r="MD879" s="6"/>
      <c r="ME879" s="6"/>
      <c r="MJ879" s="6"/>
      <c r="MN879" s="6"/>
      <c r="MO879" s="6"/>
      <c r="MT879" s="6"/>
      <c r="OF879" s="6"/>
      <c r="OG879" s="6"/>
      <c r="OL879" s="6"/>
      <c r="OP879" s="6"/>
      <c r="OQ879" s="6"/>
      <c r="OV879" s="6"/>
      <c r="PG879" s="6"/>
      <c r="PH879" s="6"/>
      <c r="PM879" s="6"/>
      <c r="PQ879" s="6"/>
      <c r="PR879" s="6"/>
      <c r="PW879" s="6"/>
      <c r="QH879" s="6"/>
      <c r="QI879" s="6"/>
      <c r="QN879" s="6"/>
      <c r="QR879" s="6"/>
      <c r="QS879" s="6"/>
      <c r="QX879" s="6"/>
      <c r="RI879" s="6"/>
      <c r="RJ879" s="6"/>
      <c r="RO879" s="6"/>
      <c r="RS879" s="6"/>
      <c r="RT879" s="6"/>
      <c r="RY879" s="6"/>
      <c r="SJ879" s="6"/>
      <c r="SK879" s="6"/>
      <c r="SP879" s="6"/>
      <c r="ST879" s="6"/>
      <c r="SU879" s="6"/>
      <c r="SZ879" s="6"/>
    </row>
    <row r="880" spans="12:520" x14ac:dyDescent="0.3">
      <c r="O880" s="5"/>
      <c r="R880" s="5"/>
      <c r="S880" s="6"/>
      <c r="T880" s="6"/>
      <c r="U880" s="7"/>
      <c r="W880" s="6"/>
      <c r="X880" s="5"/>
      <c r="Z880" s="5"/>
      <c r="AA880" s="6"/>
      <c r="AB880" s="7"/>
      <c r="AG880" s="5"/>
      <c r="AH880" s="6"/>
      <c r="AQ880" s="5"/>
      <c r="AR880" s="5"/>
      <c r="AS880" s="6"/>
      <c r="AT880" s="7"/>
      <c r="AW880" s="5"/>
      <c r="AY880" s="6"/>
      <c r="BC880" s="6"/>
      <c r="BD880" s="6"/>
      <c r="BI880" s="6"/>
      <c r="BT880" s="6"/>
      <c r="BU880" s="6"/>
      <c r="BZ880" s="6"/>
      <c r="CD880" s="6"/>
      <c r="CE880" s="6"/>
      <c r="CJ880" s="6"/>
      <c r="CO880" s="8"/>
      <c r="CP880" s="8"/>
      <c r="CQ880" s="8"/>
      <c r="CU880" s="6"/>
      <c r="CV880" s="6"/>
      <c r="DA880" s="6"/>
      <c r="DE880" s="6"/>
      <c r="DF880" s="6"/>
      <c r="DK880" s="6"/>
      <c r="DV880" s="6"/>
      <c r="DW880" s="6"/>
      <c r="EB880" s="6"/>
      <c r="EF880" s="6"/>
      <c r="EG880" s="6"/>
      <c r="EL880" s="6"/>
      <c r="GY880" s="6"/>
      <c r="GZ880" s="6"/>
      <c r="HE880" s="6"/>
      <c r="HI880" s="6"/>
      <c r="HJ880" s="6"/>
      <c r="HO880" s="6"/>
      <c r="HZ880" s="6"/>
      <c r="IA880" s="6"/>
      <c r="IF880" s="6"/>
      <c r="IJ880" s="6"/>
      <c r="IK880" s="6"/>
      <c r="IP880" s="6"/>
      <c r="JA880" s="6"/>
      <c r="JB880" s="6"/>
      <c r="JG880" s="6"/>
      <c r="JK880" s="6"/>
      <c r="JL880" s="6"/>
      <c r="JQ880" s="6"/>
      <c r="KB880" s="6"/>
      <c r="KC880" s="6"/>
      <c r="KH880" s="6"/>
      <c r="KL880" s="6"/>
      <c r="KM880" s="6"/>
      <c r="KR880" s="6"/>
      <c r="LC880" s="6"/>
      <c r="LD880" s="6"/>
      <c r="LI880" s="6"/>
      <c r="LM880" s="6"/>
      <c r="LN880" s="6"/>
      <c r="LS880" s="6"/>
      <c r="MD880" s="6"/>
      <c r="ME880" s="6"/>
      <c r="MJ880" s="6"/>
      <c r="MN880" s="6"/>
      <c r="MO880" s="6"/>
      <c r="MT880" s="6"/>
      <c r="OF880" s="6"/>
      <c r="OG880" s="6"/>
      <c r="OL880" s="6"/>
      <c r="OP880" s="6"/>
      <c r="OQ880" s="6"/>
      <c r="OV880" s="6"/>
      <c r="PG880" s="6"/>
      <c r="PH880" s="6"/>
      <c r="PM880" s="6"/>
      <c r="PQ880" s="6"/>
      <c r="PR880" s="6"/>
      <c r="PW880" s="6"/>
      <c r="QH880" s="6"/>
      <c r="QI880" s="6"/>
      <c r="QN880" s="6"/>
      <c r="QR880" s="6"/>
      <c r="QS880" s="6"/>
      <c r="QX880" s="6"/>
      <c r="RI880" s="6"/>
      <c r="RJ880" s="6"/>
      <c r="RO880" s="6"/>
      <c r="RS880" s="6"/>
      <c r="RT880" s="6"/>
      <c r="RY880" s="6"/>
      <c r="SJ880" s="6"/>
      <c r="SK880" s="6"/>
      <c r="SP880" s="6"/>
      <c r="ST880" s="6"/>
      <c r="SU880" s="6"/>
      <c r="SZ880" s="6"/>
    </row>
    <row r="881" spans="12:520" x14ac:dyDescent="0.3">
      <c r="O881" s="5"/>
      <c r="R881" s="5"/>
      <c r="S881" s="6"/>
      <c r="T881" s="6"/>
      <c r="U881" s="7"/>
      <c r="W881" s="6"/>
      <c r="X881" s="5"/>
      <c r="Z881" s="5"/>
      <c r="AA881" s="6"/>
      <c r="AB881" s="7"/>
      <c r="AG881" s="5"/>
      <c r="AH881" s="6"/>
      <c r="AQ881" s="5"/>
      <c r="AR881" s="5"/>
      <c r="AS881" s="6"/>
      <c r="AT881" s="7"/>
      <c r="AW881" s="5"/>
      <c r="AY881" s="6"/>
      <c r="BC881" s="6"/>
      <c r="BD881" s="6"/>
      <c r="BI881" s="6"/>
      <c r="BT881" s="6"/>
      <c r="BU881" s="6"/>
      <c r="BZ881" s="6"/>
      <c r="CD881" s="6"/>
      <c r="CE881" s="6"/>
      <c r="CJ881" s="6"/>
      <c r="DV881" s="6"/>
      <c r="DW881" s="6"/>
      <c r="EB881" s="6"/>
      <c r="EF881" s="6"/>
      <c r="EG881" s="6"/>
      <c r="EL881" s="6"/>
      <c r="GY881" s="6"/>
      <c r="GZ881" s="6"/>
      <c r="HE881" s="6"/>
      <c r="HI881" s="6"/>
      <c r="HJ881" s="6"/>
      <c r="HO881" s="6"/>
      <c r="HZ881" s="6"/>
      <c r="IA881" s="6"/>
      <c r="IF881" s="6"/>
      <c r="IJ881" s="6"/>
      <c r="IK881" s="6"/>
      <c r="IP881" s="6"/>
      <c r="JA881" s="6"/>
      <c r="JB881" s="6"/>
      <c r="JG881" s="6"/>
      <c r="JK881" s="6"/>
      <c r="JL881" s="6"/>
      <c r="JQ881" s="6"/>
      <c r="KB881" s="6"/>
      <c r="KC881" s="6"/>
      <c r="KH881" s="6"/>
      <c r="KL881" s="6"/>
      <c r="KM881" s="6"/>
      <c r="KR881" s="6"/>
      <c r="LC881" s="6"/>
      <c r="LD881" s="6"/>
      <c r="LI881" s="6"/>
      <c r="LM881" s="6"/>
      <c r="LN881" s="6"/>
      <c r="LS881" s="6"/>
      <c r="MD881" s="6"/>
      <c r="ME881" s="6"/>
      <c r="MJ881" s="6"/>
      <c r="MN881" s="6"/>
      <c r="MO881" s="6"/>
      <c r="MT881" s="6"/>
      <c r="OF881" s="6"/>
      <c r="OG881" s="6"/>
      <c r="OL881" s="6"/>
      <c r="OP881" s="6"/>
      <c r="OQ881" s="6"/>
      <c r="OV881" s="6"/>
      <c r="PG881" s="6"/>
      <c r="PH881" s="6"/>
      <c r="PM881" s="6"/>
      <c r="PQ881" s="6"/>
      <c r="PR881" s="6"/>
      <c r="PW881" s="6"/>
      <c r="QH881" s="6"/>
      <c r="QI881" s="6"/>
      <c r="QN881" s="6"/>
      <c r="QR881" s="6"/>
      <c r="QS881" s="6"/>
      <c r="QX881" s="6"/>
      <c r="RI881" s="6"/>
      <c r="RJ881" s="6"/>
      <c r="RO881" s="6"/>
      <c r="RS881" s="6"/>
      <c r="RT881" s="6"/>
      <c r="RY881" s="6"/>
      <c r="SJ881" s="6"/>
      <c r="SK881" s="6"/>
      <c r="SP881" s="6"/>
      <c r="ST881" s="6"/>
      <c r="SU881" s="6"/>
      <c r="SZ881" s="6"/>
    </row>
    <row r="882" spans="12:520" x14ac:dyDescent="0.3">
      <c r="R882" s="5"/>
      <c r="S882" s="6"/>
      <c r="T882" s="6"/>
      <c r="U882" s="7"/>
      <c r="W882" s="6"/>
      <c r="Z882" s="5"/>
      <c r="AA882" s="6"/>
      <c r="AB882" s="7"/>
      <c r="AG882" s="5"/>
      <c r="AH882" s="6"/>
      <c r="AQ882" s="5"/>
      <c r="AR882" s="5"/>
      <c r="AS882" s="6"/>
      <c r="AT882" s="7"/>
      <c r="AW882" s="5"/>
      <c r="AY882" s="6"/>
      <c r="BC882" s="6"/>
      <c r="BD882" s="6"/>
      <c r="BI882" s="6"/>
      <c r="BT882" s="6"/>
      <c r="BU882" s="6"/>
      <c r="BZ882" s="6"/>
      <c r="CD882" s="6"/>
      <c r="CE882" s="6"/>
      <c r="CJ882" s="6"/>
      <c r="DV882" s="6"/>
      <c r="DW882" s="6"/>
      <c r="EB882" s="6"/>
      <c r="EF882" s="6"/>
      <c r="EG882" s="6"/>
      <c r="EL882" s="6"/>
      <c r="GY882" s="6"/>
      <c r="GZ882" s="6"/>
      <c r="HE882" s="6"/>
      <c r="HI882" s="6"/>
      <c r="HJ882" s="6"/>
      <c r="HO882" s="6"/>
      <c r="HT882" s="8"/>
      <c r="HU882" s="8"/>
      <c r="HV882" s="8"/>
      <c r="HZ882" s="6"/>
      <c r="IA882" s="6"/>
      <c r="IF882" s="6"/>
      <c r="IJ882" s="6"/>
      <c r="IK882" s="6"/>
      <c r="IP882" s="6"/>
      <c r="JA882" s="6"/>
      <c r="JB882" s="6"/>
      <c r="JG882" s="6"/>
      <c r="JK882" s="6"/>
      <c r="JL882" s="6"/>
      <c r="JQ882" s="6"/>
      <c r="KB882" s="6"/>
      <c r="KC882" s="6"/>
      <c r="KH882" s="6"/>
      <c r="KL882" s="6"/>
      <c r="KM882" s="6"/>
      <c r="KR882" s="6"/>
      <c r="LC882" s="6"/>
      <c r="LD882" s="6"/>
      <c r="LI882" s="6"/>
      <c r="LM882" s="6"/>
      <c r="LN882" s="6"/>
      <c r="LS882" s="6"/>
      <c r="MD882" s="6"/>
      <c r="ME882" s="6"/>
      <c r="MJ882" s="6"/>
      <c r="MN882" s="6"/>
      <c r="MO882" s="6"/>
      <c r="MT882" s="6"/>
      <c r="OF882" s="6"/>
      <c r="OG882" s="6"/>
      <c r="OL882" s="6"/>
      <c r="OP882" s="6"/>
      <c r="OQ882" s="6"/>
      <c r="OV882" s="6"/>
      <c r="PG882" s="6"/>
      <c r="PH882" s="6"/>
      <c r="PM882" s="6"/>
      <c r="PQ882" s="6"/>
      <c r="PR882" s="6"/>
      <c r="PW882" s="6"/>
      <c r="QH882" s="6"/>
      <c r="QI882" s="6"/>
      <c r="QN882" s="6"/>
      <c r="QR882" s="6"/>
      <c r="QS882" s="6"/>
      <c r="QX882" s="6"/>
      <c r="RI882" s="6"/>
      <c r="RJ882" s="6"/>
      <c r="RO882" s="6"/>
      <c r="RS882" s="6"/>
      <c r="RT882" s="6"/>
      <c r="RY882" s="6"/>
      <c r="SJ882" s="6"/>
      <c r="SK882" s="6"/>
      <c r="SP882" s="6"/>
      <c r="ST882" s="6"/>
      <c r="SU882" s="6"/>
      <c r="SZ882" s="6"/>
    </row>
    <row r="883" spans="12:520" x14ac:dyDescent="0.3">
      <c r="O883" s="5"/>
      <c r="R883" s="5"/>
      <c r="S883" s="6"/>
      <c r="T883" s="6"/>
      <c r="U883" s="7"/>
      <c r="W883" s="6"/>
      <c r="X883" s="5"/>
      <c r="Z883" s="5"/>
      <c r="AA883" s="6"/>
      <c r="AB883" s="7"/>
      <c r="AG883" s="5"/>
      <c r="AH883" s="6"/>
      <c r="AQ883" s="5"/>
      <c r="AR883" s="5"/>
      <c r="AS883" s="6"/>
      <c r="AT883" s="7"/>
      <c r="AW883" s="5"/>
      <c r="AY883" s="6"/>
      <c r="BC883" s="6"/>
      <c r="BD883" s="6"/>
      <c r="BI883" s="6"/>
      <c r="BT883" s="6"/>
      <c r="BU883" s="6"/>
      <c r="BZ883" s="6"/>
      <c r="CD883" s="6"/>
      <c r="CE883" s="6"/>
      <c r="CJ883" s="6"/>
      <c r="DV883" s="6"/>
      <c r="DW883" s="6"/>
      <c r="EB883" s="6"/>
      <c r="EF883" s="6"/>
      <c r="EG883" s="6"/>
      <c r="EL883" s="6"/>
      <c r="GY883" s="6"/>
      <c r="GZ883" s="6"/>
      <c r="HE883" s="6"/>
      <c r="HI883" s="6"/>
      <c r="HJ883" s="6"/>
      <c r="HO883" s="6"/>
      <c r="JA883" s="6"/>
      <c r="JB883" s="6"/>
      <c r="JG883" s="6"/>
      <c r="JK883" s="6"/>
      <c r="JL883" s="6"/>
      <c r="JQ883" s="6"/>
      <c r="KB883" s="6"/>
      <c r="KC883" s="6"/>
      <c r="KH883" s="6"/>
      <c r="KL883" s="6"/>
      <c r="KM883" s="6"/>
      <c r="KR883" s="6"/>
      <c r="LC883" s="6"/>
      <c r="LD883" s="6"/>
      <c r="LI883" s="6"/>
      <c r="LM883" s="6"/>
      <c r="LN883" s="6"/>
      <c r="LS883" s="6"/>
      <c r="MD883" s="6"/>
      <c r="ME883" s="6"/>
      <c r="MJ883" s="6"/>
      <c r="MN883" s="6"/>
      <c r="MO883" s="6"/>
      <c r="MT883" s="6"/>
      <c r="OF883" s="6"/>
      <c r="OG883" s="6"/>
      <c r="OL883" s="6"/>
      <c r="OP883" s="6"/>
      <c r="OQ883" s="6"/>
      <c r="OV883" s="6"/>
      <c r="PG883" s="6"/>
      <c r="PH883" s="6"/>
      <c r="PM883" s="6"/>
      <c r="PQ883" s="6"/>
      <c r="PR883" s="6"/>
      <c r="PW883" s="6"/>
      <c r="QH883" s="6"/>
      <c r="QI883" s="6"/>
      <c r="QN883" s="6"/>
      <c r="QR883" s="6"/>
      <c r="QS883" s="6"/>
      <c r="QX883" s="6"/>
      <c r="RI883" s="6"/>
      <c r="RJ883" s="6"/>
      <c r="RO883" s="6"/>
      <c r="RS883" s="6"/>
      <c r="RT883" s="6"/>
      <c r="RY883" s="6"/>
      <c r="SJ883" s="6"/>
      <c r="SK883" s="6"/>
      <c r="SP883" s="6"/>
      <c r="ST883" s="6"/>
      <c r="SU883" s="6"/>
      <c r="SZ883" s="6"/>
    </row>
    <row r="884" spans="12:520" x14ac:dyDescent="0.3">
      <c r="L884" s="8"/>
      <c r="M884" s="8"/>
      <c r="N884" s="8"/>
      <c r="O884" s="5"/>
      <c r="R884" s="5"/>
      <c r="S884" s="6"/>
      <c r="T884" s="6"/>
      <c r="U884" s="7"/>
      <c r="W884" s="6"/>
      <c r="X884" s="5"/>
      <c r="Z884" s="5"/>
      <c r="AA884" s="6"/>
      <c r="AB884" s="7"/>
      <c r="AG884" s="5"/>
      <c r="AH884" s="6"/>
      <c r="AQ884" s="5"/>
      <c r="AR884" s="5"/>
      <c r="AS884" s="6"/>
      <c r="AT884" s="7"/>
      <c r="AW884" s="5"/>
      <c r="AY884" s="6"/>
      <c r="BC884" s="6"/>
      <c r="BD884" s="6"/>
      <c r="BI884" s="6"/>
      <c r="BN884" s="8"/>
      <c r="BO884" s="8"/>
      <c r="BP884" s="8"/>
      <c r="BT884" s="6"/>
      <c r="BU884" s="6"/>
      <c r="BZ884" s="6"/>
      <c r="CD884" s="6"/>
      <c r="CE884" s="6"/>
      <c r="CJ884" s="6"/>
      <c r="DP884" s="8"/>
      <c r="DQ884" s="8"/>
      <c r="DR884" s="8"/>
      <c r="DV884" s="6"/>
      <c r="DW884" s="6"/>
      <c r="EB884" s="6"/>
      <c r="EF884" s="6"/>
      <c r="EG884" s="6"/>
      <c r="EL884" s="6"/>
      <c r="GS884" s="8"/>
      <c r="GT884" s="8"/>
      <c r="GU884" s="8"/>
      <c r="GY884" s="6"/>
      <c r="GZ884" s="6"/>
      <c r="HE884" s="6"/>
      <c r="HI884" s="6"/>
      <c r="HJ884" s="6"/>
      <c r="HO884" s="6"/>
      <c r="IU884" s="8"/>
      <c r="IV884" s="8"/>
      <c r="IW884" s="8"/>
      <c r="JA884" s="6"/>
      <c r="JB884" s="6"/>
      <c r="JG884" s="6"/>
      <c r="JK884" s="6"/>
      <c r="JL884" s="6"/>
      <c r="JQ884" s="6"/>
      <c r="JV884" s="8"/>
      <c r="JW884" s="8"/>
      <c r="JX884" s="8"/>
      <c r="KB884" s="6"/>
      <c r="KC884" s="6"/>
      <c r="KH884" s="6"/>
      <c r="KL884" s="6"/>
      <c r="KM884" s="6"/>
      <c r="KR884" s="6"/>
      <c r="KW884" s="8"/>
      <c r="KX884" s="8"/>
      <c r="KY884" s="8"/>
      <c r="LC884" s="6"/>
      <c r="LD884" s="6"/>
      <c r="LI884" s="6"/>
      <c r="LM884" s="6"/>
      <c r="LN884" s="6"/>
      <c r="LS884" s="6"/>
      <c r="LX884" s="8"/>
      <c r="LY884" s="8"/>
      <c r="LZ884" s="8"/>
      <c r="MD884" s="6"/>
      <c r="ME884" s="6"/>
      <c r="MJ884" s="6"/>
      <c r="MN884" s="6"/>
      <c r="MO884" s="6"/>
      <c r="MT884" s="6"/>
      <c r="NZ884" s="8"/>
      <c r="OA884" s="8"/>
      <c r="OB884" s="8"/>
      <c r="OF884" s="6"/>
      <c r="OG884" s="6"/>
      <c r="OL884" s="6"/>
      <c r="OP884" s="6"/>
      <c r="OQ884" s="6"/>
      <c r="OV884" s="6"/>
      <c r="PA884" s="8"/>
      <c r="PB884" s="8"/>
      <c r="PC884" s="8"/>
      <c r="PG884" s="6"/>
      <c r="PH884" s="6"/>
      <c r="PM884" s="6"/>
      <c r="PQ884" s="6"/>
      <c r="PR884" s="6"/>
      <c r="PW884" s="6"/>
      <c r="QB884" s="8"/>
      <c r="QC884" s="8"/>
      <c r="QD884" s="8"/>
      <c r="QH884" s="6"/>
      <c r="QI884" s="6"/>
      <c r="QN884" s="6"/>
      <c r="QR884" s="6"/>
      <c r="QS884" s="6"/>
      <c r="QX884" s="6"/>
      <c r="RC884" s="8"/>
      <c r="RD884" s="8"/>
      <c r="RE884" s="8"/>
      <c r="RI884" s="6"/>
      <c r="RJ884" s="6"/>
      <c r="RO884" s="6"/>
      <c r="RS884" s="6"/>
      <c r="RT884" s="6"/>
      <c r="RY884" s="6"/>
      <c r="SD884" s="8"/>
      <c r="SE884" s="8"/>
      <c r="SF884" s="8"/>
      <c r="SJ884" s="6"/>
      <c r="SK884" s="6"/>
      <c r="SP884" s="6"/>
      <c r="ST884" s="6"/>
      <c r="SU884" s="6"/>
      <c r="SZ884" s="6"/>
    </row>
    <row r="885" spans="12:520" x14ac:dyDescent="0.3">
      <c r="AQ885" s="5"/>
      <c r="AR885" s="5"/>
      <c r="AS885" s="6"/>
    </row>
    <row r="886" spans="12:520" x14ac:dyDescent="0.3">
      <c r="AQ886" s="5"/>
      <c r="AR886" s="5"/>
      <c r="AS886" s="6"/>
    </row>
    <row r="887" spans="12:520" x14ac:dyDescent="0.3">
      <c r="AQ887" s="5"/>
      <c r="AR887" s="5"/>
      <c r="AS887" s="6"/>
    </row>
    <row r="888" spans="12:520" x14ac:dyDescent="0.3">
      <c r="AM888" s="8"/>
      <c r="AN888" s="8"/>
      <c r="AO888" s="8"/>
      <c r="AQ888" s="5"/>
      <c r="AR888" s="5"/>
      <c r="AS888" s="6"/>
    </row>
  </sheetData>
  <pageMargins left="0.7" right="0.7" top="0.75" bottom="0.75" header="0.3" footer="0.3"/>
  <pageSetup orientation="portrait" verticalDpi="0" r:id="rId1"/>
  <drawing r:id="rId2"/>
  <legacyDrawing r:id="rId3"/>
  <controls>
    <mc:AlternateContent xmlns:mc="http://schemas.openxmlformats.org/markup-compatibility/2006">
      <mc:Choice Requires="x14">
        <control shapeId="1030" r:id="rId4" name="my_team">
          <controlPr autoLine="0" r:id="rId5">
            <anchor moveWithCells="1">
              <from>
                <xdr:col>11</xdr:col>
                <xdr:colOff>342900</xdr:colOff>
                <xdr:row>33</xdr:row>
                <xdr:rowOff>76200</xdr:rowOff>
              </from>
              <to>
                <xdr:col>13</xdr:col>
                <xdr:colOff>38100</xdr:colOff>
                <xdr:row>34</xdr:row>
                <xdr:rowOff>144780</xdr:rowOff>
              </to>
            </anchor>
          </controlPr>
        </control>
      </mc:Choice>
      <mc:Fallback>
        <control shapeId="1030" r:id="rId4" name="my_team"/>
      </mc:Fallback>
    </mc:AlternateContent>
    <mc:AlternateContent xmlns:mc="http://schemas.openxmlformats.org/markup-compatibility/2006">
      <mc:Choice Requires="x14">
        <control shapeId="1029" r:id="rId6" name="starting_column">
          <controlPr autoLine="0" r:id="rId7">
            <anchor moveWithCells="1">
              <from>
                <xdr:col>11</xdr:col>
                <xdr:colOff>342900</xdr:colOff>
                <xdr:row>28</xdr:row>
                <xdr:rowOff>83820</xdr:rowOff>
              </from>
              <to>
                <xdr:col>13</xdr:col>
                <xdr:colOff>60960</xdr:colOff>
                <xdr:row>29</xdr:row>
                <xdr:rowOff>167640</xdr:rowOff>
              </to>
            </anchor>
          </controlPr>
        </control>
      </mc:Choice>
      <mc:Fallback>
        <control shapeId="1029" r:id="rId6" name="starting_column"/>
      </mc:Fallback>
    </mc:AlternateContent>
    <mc:AlternateContent xmlns:mc="http://schemas.openxmlformats.org/markup-compatibility/2006">
      <mc:Choice Requires="x14">
        <control shapeId="1028" r:id="rId8" name="starting_row">
          <controlPr autoLine="0" r:id="rId9">
            <anchor moveWithCells="1">
              <from>
                <xdr:col>11</xdr:col>
                <xdr:colOff>358140</xdr:colOff>
                <xdr:row>26</xdr:row>
                <xdr:rowOff>205740</xdr:rowOff>
              </from>
              <to>
                <xdr:col>13</xdr:col>
                <xdr:colOff>60960</xdr:colOff>
                <xdr:row>28</xdr:row>
                <xdr:rowOff>30480</xdr:rowOff>
              </to>
            </anchor>
          </controlPr>
        </control>
      </mc:Choice>
      <mc:Fallback>
        <control shapeId="1028" r:id="rId8" name="starting_row"/>
      </mc:Fallback>
    </mc:AlternateContent>
    <mc:AlternateContent xmlns:mc="http://schemas.openxmlformats.org/markup-compatibility/2006">
      <mc:Choice Requires="x14">
        <control shapeId="1027" r:id="rId10" name="N">
          <controlPr autoLine="0" r:id="rId11">
            <anchor moveWithCells="1">
              <from>
                <xdr:col>11</xdr:col>
                <xdr:colOff>365760</xdr:colOff>
                <xdr:row>25</xdr:row>
                <xdr:rowOff>60960</xdr:rowOff>
              </from>
              <to>
                <xdr:col>13</xdr:col>
                <xdr:colOff>76200</xdr:colOff>
                <xdr:row>26</xdr:row>
                <xdr:rowOff>144780</xdr:rowOff>
              </to>
            </anchor>
          </controlPr>
        </control>
      </mc:Choice>
      <mc:Fallback>
        <control shapeId="1027" r:id="rId10" name="N"/>
      </mc:Fallback>
    </mc:AlternateContent>
    <mc:AlternateContent xmlns:mc="http://schemas.openxmlformats.org/markup-compatibility/2006">
      <mc:Choice Requires="x14">
        <control shapeId="1031" r:id="rId12" name="number_of_parameters">
          <controlPr autoLine="0" r:id="rId13">
            <anchor moveWithCells="1">
              <from>
                <xdr:col>11</xdr:col>
                <xdr:colOff>350520</xdr:colOff>
                <xdr:row>30</xdr:row>
                <xdr:rowOff>129540</xdr:rowOff>
              </from>
              <to>
                <xdr:col>13</xdr:col>
                <xdr:colOff>45720</xdr:colOff>
                <xdr:row>32</xdr:row>
                <xdr:rowOff>7620</xdr:rowOff>
              </to>
            </anchor>
          </controlPr>
        </control>
      </mc:Choice>
      <mc:Fallback>
        <control shapeId="1031" r:id="rId12" name="number_of_parameters"/>
      </mc:Fallback>
    </mc:AlternateContent>
    <mc:AlternateContent xmlns:mc="http://schemas.openxmlformats.org/markup-compatibility/2006">
      <mc:Choice Requires="x14">
        <control shapeId="1025" r:id="rId14" name="Button 1">
          <controlPr defaultSize="0" print="0" autoFill="0" autoPict="0" macro="[0]!Worksheet____21.calculate_opponent_parameters_over_last_N_matches_2014_15">
            <anchor moveWithCells="1">
              <from>
                <xdr:col>9</xdr:col>
                <xdr:colOff>0</xdr:colOff>
                <xdr:row>26</xdr:row>
                <xdr:rowOff>68580</xdr:rowOff>
              </from>
              <to>
                <xdr:col>10</xdr:col>
                <xdr:colOff>365760</xdr:colOff>
                <xdr:row>29</xdr:row>
                <xdr:rowOff>213360</xdr:rowOff>
              </to>
            </anchor>
          </controlPr>
        </control>
      </mc:Choice>
    </mc:AlternateContent>
    <mc:AlternateContent xmlns:mc="http://schemas.openxmlformats.org/markup-compatibility/2006">
      <mc:Choice Requires="x14">
        <control shapeId="1026" r:id="rId15" name="Button 2">
          <controlPr defaultSize="0" print="0" autoFill="0" autoPict="0" macro="[0]!Worksheet____21.calculate_opponent_parameters_over_last_N_matches">
            <anchor moveWithCells="1">
              <from>
                <xdr:col>16</xdr:col>
                <xdr:colOff>152400</xdr:colOff>
                <xdr:row>17</xdr:row>
                <xdr:rowOff>76200</xdr:rowOff>
              </from>
              <to>
                <xdr:col>17</xdr:col>
                <xdr:colOff>419100</xdr:colOff>
                <xdr:row>21</xdr:row>
                <xdr:rowOff>144780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orksheet____13"/>
  <dimension ref="A1:C12"/>
  <sheetViews>
    <sheetView workbookViewId="0">
      <selection activeCell="J12" sqref="J12"/>
    </sheetView>
  </sheetViews>
  <sheetFormatPr defaultRowHeight="14.4" x14ac:dyDescent="0.3"/>
  <cols>
    <col min="1" max="1" width="21.77734375" bestFit="1" customWidth="1"/>
    <col min="2" max="2" width="7.33203125" bestFit="1" customWidth="1"/>
    <col min="3" max="3" width="9.109375" bestFit="1" customWidth="1"/>
  </cols>
  <sheetData>
    <row r="1" spans="1:3" x14ac:dyDescent="0.3">
      <c r="A1" s="88" t="s">
        <v>718</v>
      </c>
    </row>
    <row r="2" spans="1:3" x14ac:dyDescent="0.3">
      <c r="A2" s="89" t="s">
        <v>719</v>
      </c>
      <c r="B2" s="89" t="s">
        <v>720</v>
      </c>
      <c r="C2" s="89" t="s">
        <v>721</v>
      </c>
    </row>
    <row r="4" spans="1:3" x14ac:dyDescent="0.3">
      <c r="A4" s="88" t="s">
        <v>722</v>
      </c>
    </row>
    <row r="5" spans="1:3" x14ac:dyDescent="0.3">
      <c r="A5" s="89" t="s">
        <v>719</v>
      </c>
      <c r="B5" s="89" t="s">
        <v>723</v>
      </c>
      <c r="C5" s="89" t="s">
        <v>721</v>
      </c>
    </row>
    <row r="8" spans="1:3" x14ac:dyDescent="0.3">
      <c r="A8" s="88" t="s">
        <v>724</v>
      </c>
      <c r="B8" t="s">
        <v>725</v>
      </c>
    </row>
    <row r="9" spans="1:3" x14ac:dyDescent="0.3">
      <c r="B9" t="s">
        <v>726</v>
      </c>
    </row>
    <row r="11" spans="1:3" x14ac:dyDescent="0.3">
      <c r="B11" t="s">
        <v>727</v>
      </c>
    </row>
    <row r="12" spans="1:3" x14ac:dyDescent="0.3">
      <c r="B12" t="s">
        <v>728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orksheet____11"/>
  <dimension ref="A1:N1048576"/>
  <sheetViews>
    <sheetView topLeftCell="A17" workbookViewId="0">
      <selection activeCell="F32" sqref="F32"/>
    </sheetView>
  </sheetViews>
  <sheetFormatPr defaultRowHeight="14.4" x14ac:dyDescent="0.3"/>
  <sheetData>
    <row r="1" spans="1:13" x14ac:dyDescent="0.3">
      <c r="A1" s="1" t="s">
        <v>740</v>
      </c>
      <c r="J1" s="1" t="s">
        <v>748</v>
      </c>
      <c r="K1" s="3"/>
      <c r="L1" s="92" t="s">
        <v>756</v>
      </c>
    </row>
    <row r="2" spans="1:13" x14ac:dyDescent="0.3">
      <c r="A2" s="1">
        <v>1</v>
      </c>
      <c r="B2" s="1" t="s">
        <v>741</v>
      </c>
      <c r="C2" s="1" t="s">
        <v>745</v>
      </c>
      <c r="D2" s="1" t="s">
        <v>742</v>
      </c>
      <c r="E2" s="1" t="s">
        <v>746</v>
      </c>
      <c r="F2" s="3" t="s">
        <v>731</v>
      </c>
      <c r="G2" s="3" t="s">
        <v>747</v>
      </c>
      <c r="J2" s="92">
        <v>1</v>
      </c>
      <c r="K2" s="3" t="s">
        <v>663</v>
      </c>
      <c r="L2" s="3" t="s">
        <v>664</v>
      </c>
    </row>
    <row r="3" spans="1:13" x14ac:dyDescent="0.3">
      <c r="A3">
        <v>2</v>
      </c>
      <c r="B3" s="1" t="s">
        <v>751</v>
      </c>
      <c r="C3" s="3" t="s">
        <v>625</v>
      </c>
      <c r="D3" s="3" t="s">
        <v>604</v>
      </c>
      <c r="E3" s="3" t="s">
        <v>759</v>
      </c>
      <c r="J3" s="92">
        <v>2</v>
      </c>
      <c r="K3" s="3" t="s">
        <v>717</v>
      </c>
    </row>
    <row r="4" spans="1:13" x14ac:dyDescent="0.3">
      <c r="B4" s="1" t="s">
        <v>752</v>
      </c>
      <c r="C4" s="7" t="s">
        <v>755</v>
      </c>
      <c r="D4" s="1" t="s">
        <v>757</v>
      </c>
      <c r="E4" s="1" t="s">
        <v>758</v>
      </c>
      <c r="J4">
        <v>3</v>
      </c>
      <c r="K4" s="3" t="s">
        <v>739</v>
      </c>
    </row>
    <row r="5" spans="1:13" x14ac:dyDescent="0.3">
      <c r="C5" s="80" t="s">
        <v>705</v>
      </c>
      <c r="D5" s="3" t="s">
        <v>706</v>
      </c>
      <c r="E5" s="3" t="s">
        <v>696</v>
      </c>
      <c r="J5">
        <v>4</v>
      </c>
      <c r="K5" s="3" t="s">
        <v>709</v>
      </c>
    </row>
    <row r="6" spans="1:13" x14ac:dyDescent="0.3">
      <c r="C6" s="80" t="s">
        <v>707</v>
      </c>
      <c r="J6">
        <v>5</v>
      </c>
      <c r="K6" s="3" t="s">
        <v>622</v>
      </c>
      <c r="L6" s="3" t="s">
        <v>2</v>
      </c>
      <c r="M6" s="3" t="s">
        <v>623</v>
      </c>
    </row>
    <row r="7" spans="1:13" x14ac:dyDescent="0.3">
      <c r="J7">
        <v>6</v>
      </c>
      <c r="K7" s="3" t="s">
        <v>753</v>
      </c>
    </row>
    <row r="8" spans="1:13" x14ac:dyDescent="0.3">
      <c r="A8">
        <v>3</v>
      </c>
      <c r="B8" s="1" t="s">
        <v>743</v>
      </c>
      <c r="C8" s="3" t="s">
        <v>750</v>
      </c>
      <c r="D8" s="3" t="s">
        <v>621</v>
      </c>
      <c r="J8">
        <v>7</v>
      </c>
      <c r="K8" s="3" t="s">
        <v>754</v>
      </c>
    </row>
    <row r="9" spans="1:13" x14ac:dyDescent="0.3">
      <c r="A9" s="1" t="s">
        <v>749</v>
      </c>
      <c r="B9" s="3" t="s">
        <v>744</v>
      </c>
      <c r="C9" s="3" t="s">
        <v>651</v>
      </c>
      <c r="J9" s="92">
        <v>8</v>
      </c>
      <c r="K9" s="3" t="s">
        <v>637</v>
      </c>
    </row>
    <row r="10" spans="1:13" x14ac:dyDescent="0.3">
      <c r="A10" s="1" t="s">
        <v>749</v>
      </c>
      <c r="B10" s="3" t="s">
        <v>62</v>
      </c>
      <c r="C10" s="3"/>
      <c r="J10">
        <v>9</v>
      </c>
      <c r="K10" s="3" t="s">
        <v>632</v>
      </c>
    </row>
    <row r="11" spans="1:13" x14ac:dyDescent="0.3">
      <c r="A11" s="1" t="s">
        <v>749</v>
      </c>
      <c r="B11" s="3" t="s">
        <v>616</v>
      </c>
      <c r="C11" s="22"/>
      <c r="J11" s="92">
        <v>10</v>
      </c>
      <c r="K11" s="3" t="s">
        <v>716</v>
      </c>
    </row>
    <row r="12" spans="1:13" x14ac:dyDescent="0.3">
      <c r="A12" s="1" t="s">
        <v>749</v>
      </c>
      <c r="B12" s="3" t="s">
        <v>617</v>
      </c>
      <c r="C12" s="62"/>
      <c r="J12" s="92">
        <v>11</v>
      </c>
      <c r="K12" s="3" t="s">
        <v>650</v>
      </c>
    </row>
    <row r="13" spans="1:13" x14ac:dyDescent="0.3">
      <c r="A13" s="1" t="s">
        <v>749</v>
      </c>
      <c r="B13" s="3" t="s">
        <v>618</v>
      </c>
      <c r="C13" s="62"/>
      <c r="J13" s="3">
        <v>12</v>
      </c>
      <c r="K13" s="3" t="s">
        <v>646</v>
      </c>
    </row>
    <row r="14" spans="1:13" x14ac:dyDescent="0.3">
      <c r="A14" s="1" t="s">
        <v>749</v>
      </c>
      <c r="B14" s="3" t="s">
        <v>619</v>
      </c>
      <c r="C14" s="63"/>
      <c r="J14" s="92">
        <v>13</v>
      </c>
      <c r="K14" s="3" t="s">
        <v>729</v>
      </c>
    </row>
    <row r="15" spans="1:13" x14ac:dyDescent="0.3">
      <c r="A15" s="1" t="s">
        <v>749</v>
      </c>
      <c r="B15" s="3" t="s">
        <v>620</v>
      </c>
      <c r="C15" s="63"/>
      <c r="J15" s="3">
        <v>14</v>
      </c>
      <c r="K15" s="3" t="s">
        <v>701</v>
      </c>
      <c r="L15" s="3" t="s">
        <v>703</v>
      </c>
      <c r="M15" s="3" t="s">
        <v>702</v>
      </c>
    </row>
    <row r="16" spans="1:13" x14ac:dyDescent="0.3">
      <c r="A16" s="1" t="s">
        <v>749</v>
      </c>
      <c r="B16" s="3" t="s">
        <v>626</v>
      </c>
      <c r="C16" s="22"/>
      <c r="J16" s="3">
        <v>15</v>
      </c>
      <c r="K16" s="3" t="s">
        <v>736</v>
      </c>
    </row>
    <row r="17" spans="1:14" x14ac:dyDescent="0.3">
      <c r="A17" s="1" t="s">
        <v>749</v>
      </c>
      <c r="B17" s="3" t="s">
        <v>627</v>
      </c>
      <c r="C17" s="22"/>
      <c r="J17" s="3">
        <v>16</v>
      </c>
      <c r="K17" s="3" t="s">
        <v>732</v>
      </c>
    </row>
    <row r="18" spans="1:14" x14ac:dyDescent="0.3">
      <c r="J18" s="3">
        <v>17</v>
      </c>
      <c r="K18" s="3" t="s">
        <v>733</v>
      </c>
      <c r="L18" s="3" t="s">
        <v>1</v>
      </c>
      <c r="M18" s="3" t="s">
        <v>734</v>
      </c>
      <c r="N18" s="3" t="s">
        <v>735</v>
      </c>
    </row>
    <row r="19" spans="1:14" x14ac:dyDescent="0.3">
      <c r="J19" s="3">
        <v>18</v>
      </c>
      <c r="K19" s="3" t="s">
        <v>624</v>
      </c>
    </row>
    <row r="20" spans="1:14" x14ac:dyDescent="0.3">
      <c r="J20" s="3">
        <v>19</v>
      </c>
      <c r="K20" s="3" t="s">
        <v>738</v>
      </c>
      <c r="L20" s="62" t="s">
        <v>708</v>
      </c>
    </row>
    <row r="23" spans="1:14" x14ac:dyDescent="0.3">
      <c r="B23" s="3" t="s">
        <v>715</v>
      </c>
      <c r="C23" s="22"/>
      <c r="D23" s="22"/>
      <c r="F23" s="3"/>
      <c r="G23" s="22"/>
    </row>
    <row r="24" spans="1:14" x14ac:dyDescent="0.3">
      <c r="B24" s="3" t="s">
        <v>635</v>
      </c>
      <c r="C24" s="3" t="s">
        <v>714</v>
      </c>
      <c r="D24" s="3"/>
      <c r="E24" s="3"/>
      <c r="F24" s="3"/>
      <c r="G24" s="3"/>
    </row>
    <row r="25" spans="1:14" x14ac:dyDescent="0.3">
      <c r="B25" s="3" t="s">
        <v>668</v>
      </c>
      <c r="C25" s="3" t="s">
        <v>712</v>
      </c>
      <c r="D25" s="3" t="s">
        <v>713</v>
      </c>
      <c r="E25" s="3"/>
      <c r="F25" s="3"/>
      <c r="G25" s="3"/>
    </row>
    <row r="26" spans="1:14" x14ac:dyDescent="0.3">
      <c r="B26" s="3" t="s">
        <v>704</v>
      </c>
      <c r="C26" s="91" t="s">
        <v>1</v>
      </c>
      <c r="D26" s="93" t="s">
        <v>710</v>
      </c>
      <c r="E26" s="3" t="s">
        <v>711</v>
      </c>
      <c r="F26" s="3"/>
      <c r="G26" s="3"/>
    </row>
    <row r="27" spans="1:14" x14ac:dyDescent="0.3">
      <c r="B27" s="3"/>
      <c r="C27" s="91" t="s">
        <v>1</v>
      </c>
      <c r="D27" s="94" t="s">
        <v>697</v>
      </c>
      <c r="E27" s="3" t="s">
        <v>698</v>
      </c>
      <c r="F27" s="3" t="s">
        <v>699</v>
      </c>
      <c r="G27" s="3" t="s">
        <v>700</v>
      </c>
    </row>
    <row r="28" spans="1:14" x14ac:dyDescent="0.3">
      <c r="B28" s="3" t="s">
        <v>737</v>
      </c>
      <c r="C28" s="3" t="s">
        <v>730</v>
      </c>
      <c r="D28" s="3"/>
      <c r="E28" s="3"/>
      <c r="F28" s="3"/>
      <c r="G28" s="3"/>
    </row>
    <row r="30" spans="1:14" x14ac:dyDescent="0.3">
      <c r="B30" s="3" t="s">
        <v>695</v>
      </c>
      <c r="C30" s="3"/>
      <c r="D30" s="6"/>
    </row>
    <row r="31" spans="1:14" x14ac:dyDescent="0.3">
      <c r="B31" s="3" t="s">
        <v>690</v>
      </c>
      <c r="C31" s="3"/>
      <c r="D31" s="6"/>
      <c r="E31" s="3"/>
      <c r="F31" s="3"/>
      <c r="G31" s="3"/>
    </row>
    <row r="32" spans="1:14" x14ac:dyDescent="0.3">
      <c r="B32" s="6" t="s">
        <v>687</v>
      </c>
      <c r="C32" s="3"/>
      <c r="D32" s="6"/>
    </row>
    <row r="33" spans="2:4" x14ac:dyDescent="0.3">
      <c r="B33" s="6" t="s">
        <v>688</v>
      </c>
      <c r="C33" s="3"/>
      <c r="D33" s="6"/>
    </row>
    <row r="34" spans="2:4" x14ac:dyDescent="0.3">
      <c r="B34" s="3" t="s">
        <v>689</v>
      </c>
      <c r="C34" s="3"/>
      <c r="D34" s="6"/>
    </row>
    <row r="35" spans="2:4" x14ac:dyDescent="0.3">
      <c r="B35" s="3"/>
      <c r="C35" s="3"/>
      <c r="D35" s="6"/>
    </row>
    <row r="36" spans="2:4" x14ac:dyDescent="0.3">
      <c r="B36" s="3" t="s">
        <v>686</v>
      </c>
      <c r="C36" s="3"/>
      <c r="D36" s="3"/>
    </row>
    <row r="37" spans="2:4" x14ac:dyDescent="0.3">
      <c r="B37" s="3" t="s">
        <v>685</v>
      </c>
      <c r="C37" s="3"/>
      <c r="D37" s="3"/>
    </row>
    <row r="38" spans="2:4" x14ac:dyDescent="0.3">
      <c r="B38" s="3" t="s">
        <v>681</v>
      </c>
      <c r="C38" s="3"/>
      <c r="D38" s="3"/>
    </row>
    <row r="39" spans="2:4" x14ac:dyDescent="0.3">
      <c r="B39" s="3" t="s">
        <v>693</v>
      </c>
      <c r="C39" s="3"/>
      <c r="D39" s="3"/>
    </row>
    <row r="1048576" spans="1:1" x14ac:dyDescent="0.3">
      <c r="A1048576"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team-by-team match parameters</vt:lpstr>
      <vt:lpstr>Spain - correlation analysis</vt:lpstr>
      <vt:lpstr>Лист2</vt:lpstr>
      <vt:lpstr>Ideas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HP10</cp:lastModifiedBy>
  <dcterms:created xsi:type="dcterms:W3CDTF">2006-09-28T05:33:49Z</dcterms:created>
  <dcterms:modified xsi:type="dcterms:W3CDTF">2018-07-01T03:36:11Z</dcterms:modified>
</cp:coreProperties>
</file>